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laragon\www\ganobia\tabels\مهم\"/>
    </mc:Choice>
  </mc:AlternateContent>
  <xr:revisionPtr revIDLastSave="0" documentId="13_ncr:1_{4204661B-FCA7-44CE-B41A-D75F86AC96F8}" xr6:coauthVersionLast="47" xr6:coauthVersionMax="47" xr10:uidLastSave="{00000000-0000-0000-0000-000000000000}"/>
  <bookViews>
    <workbookView xWindow="-108" yWindow="-108" windowWidth="23256" windowHeight="12576" xr2:uid="{00000000-000D-0000-FFFF-FFFF00000000}"/>
  </bookViews>
  <sheets>
    <sheet name="Sheet1" sheetId="1" r:id="rId1"/>
  </sheets>
  <externalReferences>
    <externalReference r:id="rId2"/>
    <externalReference r:id="rId3"/>
  </externalReferences>
  <definedNames>
    <definedName name="_xlnm._FilterDatabase" localSheetId="0" hidden="1">Sheet1!$A$1:$AN$2150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H2108" i="1" l="1"/>
  <c r="AH2041" i="1"/>
  <c r="AH2038" i="1"/>
  <c r="AH2031" i="1"/>
  <c r="AH2030" i="1"/>
  <c r="AH2029" i="1"/>
  <c r="AH2025" i="1"/>
  <c r="AH1894" i="1"/>
  <c r="AH1891" i="1"/>
  <c r="AH1778" i="1"/>
  <c r="AH1717" i="1"/>
  <c r="AH1716" i="1"/>
  <c r="AH1715" i="1"/>
  <c r="AH1714" i="1"/>
  <c r="AH1713" i="1"/>
  <c r="AH1701" i="1"/>
  <c r="AH1650" i="1"/>
  <c r="AH1617" i="1"/>
  <c r="AH1513" i="1"/>
  <c r="AH1509" i="1"/>
  <c r="AH1498" i="1"/>
  <c r="AH1497" i="1"/>
  <c r="AH1496" i="1"/>
  <c r="AH1494" i="1"/>
  <c r="AH1493" i="1"/>
  <c r="AH1490" i="1"/>
  <c r="AH1489" i="1"/>
  <c r="AH1488" i="1"/>
  <c r="AH1486" i="1"/>
  <c r="AH1166" i="1"/>
  <c r="AH1157" i="1"/>
  <c r="AH1156" i="1"/>
  <c r="AH1128" i="1"/>
  <c r="AH1082" i="1"/>
  <c r="AH1076" i="1"/>
  <c r="AH898" i="1"/>
  <c r="AG881" i="1"/>
  <c r="AH856" i="1"/>
  <c r="AH825" i="1"/>
  <c r="AG825" i="1"/>
  <c r="AH820" i="1"/>
  <c r="AH796" i="1"/>
  <c r="AH786" i="1"/>
  <c r="AH738" i="1"/>
  <c r="AH726" i="1"/>
  <c r="AH723" i="1"/>
  <c r="AH714" i="1"/>
  <c r="AH711" i="1"/>
  <c r="AH701" i="1"/>
  <c r="AH700" i="1"/>
  <c r="AH699" i="1"/>
  <c r="AH698" i="1"/>
  <c r="AH697" i="1"/>
  <c r="AH696" i="1"/>
  <c r="AH695" i="1"/>
  <c r="AH694" i="1"/>
  <c r="AH693" i="1"/>
  <c r="AH661" i="1"/>
  <c r="AH642" i="1"/>
  <c r="AH611" i="1"/>
  <c r="AH610" i="1"/>
  <c r="AH609" i="1"/>
  <c r="AH608" i="1"/>
  <c r="AH607" i="1"/>
  <c r="AH606" i="1"/>
  <c r="AH605" i="1"/>
  <c r="AH604" i="1"/>
  <c r="AH603" i="1"/>
  <c r="AH602" i="1"/>
  <c r="AH601" i="1"/>
  <c r="AH600" i="1"/>
  <c r="AH599" i="1"/>
  <c r="AH598" i="1"/>
  <c r="AH597" i="1"/>
  <c r="AH596" i="1"/>
  <c r="AH595" i="1"/>
  <c r="AH594" i="1"/>
  <c r="AH593" i="1"/>
  <c r="AH592" i="1"/>
  <c r="AH591" i="1"/>
  <c r="AH590" i="1"/>
  <c r="AH589" i="1"/>
  <c r="AH588" i="1"/>
  <c r="AH587" i="1"/>
  <c r="AH586" i="1"/>
  <c r="AH585" i="1"/>
  <c r="AH584" i="1"/>
  <c r="AH583" i="1"/>
  <c r="AH582" i="1"/>
  <c r="AH581" i="1"/>
  <c r="AH580" i="1"/>
  <c r="AH579" i="1"/>
  <c r="AH578" i="1"/>
  <c r="AH577" i="1"/>
  <c r="AH576" i="1"/>
  <c r="AH575" i="1"/>
  <c r="AH574" i="1"/>
  <c r="AH573" i="1"/>
  <c r="AH572" i="1"/>
  <c r="AH571" i="1"/>
  <c r="AH570" i="1"/>
  <c r="AH569" i="1"/>
  <c r="AH568" i="1"/>
  <c r="AH567" i="1"/>
  <c r="AH566" i="1"/>
  <c r="AH565" i="1"/>
  <c r="AH564" i="1"/>
  <c r="AH563" i="1"/>
  <c r="AH562" i="1"/>
  <c r="AH561" i="1"/>
  <c r="AH560" i="1"/>
  <c r="AH559" i="1"/>
  <c r="AH558" i="1"/>
  <c r="AH557" i="1"/>
  <c r="AH556" i="1"/>
  <c r="AH555" i="1"/>
  <c r="AH554" i="1"/>
  <c r="AH553" i="1"/>
  <c r="AH552" i="1"/>
  <c r="AH551" i="1"/>
  <c r="AH550" i="1"/>
  <c r="AH549" i="1"/>
  <c r="AH548" i="1"/>
  <c r="AH547" i="1"/>
  <c r="AH542" i="1"/>
  <c r="AH541" i="1"/>
  <c r="AH540" i="1"/>
  <c r="AH537" i="1"/>
  <c r="AH535" i="1"/>
  <c r="AH533" i="1"/>
  <c r="AH532" i="1"/>
  <c r="AH531" i="1"/>
  <c r="AH530" i="1"/>
  <c r="AH529" i="1"/>
  <c r="AH528" i="1"/>
  <c r="AH527" i="1"/>
  <c r="AH526" i="1"/>
  <c r="AH525" i="1"/>
  <c r="AH524" i="1"/>
  <c r="AH523" i="1"/>
  <c r="AH522" i="1"/>
  <c r="AH521" i="1"/>
  <c r="AH520" i="1"/>
  <c r="AH519" i="1"/>
  <c r="AH518" i="1"/>
  <c r="AH517" i="1"/>
  <c r="AH516" i="1"/>
  <c r="AH515" i="1"/>
  <c r="AH514" i="1"/>
  <c r="AH513" i="1"/>
  <c r="AH512" i="1"/>
  <c r="AH511" i="1"/>
  <c r="AH510" i="1"/>
  <c r="AH509" i="1"/>
  <c r="AH508" i="1"/>
  <c r="AH507" i="1"/>
  <c r="AH506" i="1"/>
  <c r="AH505" i="1"/>
  <c r="AH504" i="1"/>
  <c r="AH503" i="1"/>
  <c r="AH501" i="1"/>
  <c r="AH500" i="1"/>
  <c r="AH499" i="1"/>
  <c r="AH498" i="1"/>
  <c r="AH495" i="1"/>
  <c r="AH494" i="1"/>
  <c r="AH493" i="1"/>
  <c r="AH492" i="1"/>
  <c r="AH491" i="1"/>
  <c r="AH490" i="1"/>
  <c r="AH488" i="1"/>
  <c r="AH487" i="1"/>
  <c r="AH486" i="1"/>
  <c r="AH485" i="1"/>
  <c r="AH484" i="1"/>
  <c r="AH483" i="1"/>
  <c r="AH482" i="1"/>
  <c r="AH481" i="1"/>
  <c r="AH480" i="1"/>
  <c r="AH479" i="1"/>
  <c r="AH478" i="1"/>
  <c r="AH477" i="1"/>
  <c r="AH476" i="1"/>
  <c r="AH475" i="1"/>
  <c r="AH474" i="1"/>
  <c r="AH473" i="1"/>
  <c r="AH472" i="1"/>
  <c r="AH471" i="1"/>
  <c r="AH469" i="1"/>
  <c r="AH468" i="1"/>
  <c r="AH467" i="1"/>
  <c r="AH466" i="1"/>
  <c r="AH465" i="1"/>
  <c r="AH464" i="1"/>
  <c r="AH463" i="1"/>
  <c r="AH462" i="1"/>
  <c r="AH461" i="1"/>
  <c r="AH458" i="1"/>
  <c r="AH457" i="1"/>
  <c r="AH456" i="1"/>
  <c r="AH455" i="1"/>
  <c r="AH454" i="1"/>
  <c r="AH453" i="1"/>
  <c r="AH452" i="1"/>
  <c r="AH451" i="1"/>
  <c r="AH450" i="1"/>
  <c r="AH449" i="1"/>
  <c r="AH448" i="1"/>
  <c r="AH447" i="1"/>
  <c r="AH446" i="1"/>
  <c r="AH445" i="1"/>
  <c r="AH444" i="1"/>
  <c r="AH443" i="1"/>
  <c r="AH442" i="1"/>
  <c r="AH440" i="1"/>
  <c r="AH439" i="1"/>
  <c r="AH438" i="1"/>
  <c r="AH437" i="1"/>
  <c r="AH436" i="1"/>
  <c r="AH435" i="1"/>
  <c r="AH434" i="1"/>
  <c r="AH433" i="1"/>
  <c r="AH431" i="1"/>
  <c r="AH430" i="1"/>
  <c r="AH429" i="1"/>
  <c r="AH428" i="1"/>
  <c r="AH427" i="1"/>
  <c r="AH426" i="1"/>
  <c r="AH425" i="1"/>
  <c r="AH424" i="1"/>
  <c r="AH423" i="1"/>
  <c r="AH422" i="1"/>
  <c r="AH420" i="1"/>
  <c r="AH415" i="1"/>
  <c r="AH414" i="1"/>
  <c r="AH413" i="1"/>
  <c r="AH411" i="1"/>
  <c r="AH410" i="1"/>
  <c r="AH409" i="1"/>
  <c r="AH408" i="1"/>
  <c r="AH407" i="1"/>
  <c r="AH406" i="1"/>
  <c r="AH405" i="1"/>
  <c r="AH404" i="1"/>
  <c r="AH403" i="1"/>
  <c r="AH402" i="1"/>
  <c r="AH401" i="1"/>
  <c r="AH400" i="1"/>
  <c r="AH399" i="1"/>
  <c r="AH398" i="1"/>
  <c r="AH397" i="1"/>
  <c r="AH396" i="1"/>
  <c r="AH395" i="1"/>
  <c r="AH394" i="1"/>
  <c r="AH393" i="1"/>
  <c r="AH392" i="1"/>
  <c r="AH391" i="1"/>
  <c r="AH390" i="1"/>
  <c r="AH389" i="1"/>
  <c r="AH388" i="1"/>
  <c r="AH387" i="1"/>
  <c r="AH386" i="1"/>
  <c r="AH385" i="1"/>
  <c r="AH384" i="1"/>
  <c r="AH383" i="1"/>
  <c r="AH382" i="1"/>
  <c r="AH381" i="1"/>
  <c r="AH380" i="1"/>
  <c r="AH379" i="1"/>
  <c r="AH378" i="1"/>
  <c r="AH377" i="1"/>
  <c r="AH376" i="1"/>
  <c r="AH375" i="1"/>
  <c r="AH374" i="1"/>
  <c r="AH373" i="1"/>
  <c r="AH372" i="1"/>
  <c r="AH371" i="1"/>
  <c r="AH370" i="1"/>
  <c r="AH369" i="1"/>
  <c r="AH368" i="1"/>
  <c r="AH367" i="1"/>
  <c r="AH366" i="1"/>
  <c r="AH365" i="1"/>
  <c r="AH364" i="1"/>
  <c r="AH363" i="1"/>
  <c r="AH362" i="1"/>
  <c r="AH361" i="1"/>
  <c r="AH360" i="1"/>
  <c r="AH359" i="1"/>
  <c r="AH358" i="1"/>
  <c r="AH357" i="1"/>
  <c r="AH356" i="1"/>
  <c r="AH355" i="1"/>
  <c r="AH354" i="1"/>
  <c r="AH353" i="1"/>
  <c r="AH352" i="1"/>
  <c r="AH351" i="1"/>
  <c r="AH350" i="1"/>
  <c r="AH349" i="1"/>
  <c r="AH348" i="1"/>
  <c r="AH347" i="1"/>
  <c r="AH346" i="1"/>
  <c r="AH345" i="1"/>
  <c r="AH344" i="1"/>
  <c r="AH343" i="1"/>
  <c r="AH342" i="1"/>
  <c r="AH341" i="1"/>
  <c r="AH340" i="1"/>
  <c r="AH339" i="1"/>
  <c r="AH338" i="1"/>
  <c r="AH337" i="1"/>
  <c r="AH336" i="1"/>
  <c r="AH335" i="1"/>
  <c r="AH334" i="1"/>
  <c r="AH333" i="1"/>
  <c r="AH332" i="1"/>
  <c r="AH331" i="1"/>
  <c r="AH330" i="1"/>
  <c r="AH329" i="1"/>
  <c r="AH328" i="1"/>
  <c r="AH327" i="1"/>
  <c r="AH326" i="1"/>
  <c r="AH325" i="1"/>
  <c r="AH324" i="1"/>
  <c r="AH323" i="1"/>
  <c r="AH322" i="1"/>
  <c r="AH321" i="1"/>
  <c r="AH320" i="1"/>
  <c r="AH319" i="1"/>
  <c r="AH318" i="1"/>
  <c r="AH317" i="1"/>
  <c r="AH316" i="1"/>
  <c r="AH315" i="1"/>
  <c r="AH314" i="1"/>
  <c r="AH313" i="1"/>
  <c r="AH312" i="1"/>
  <c r="AH311" i="1"/>
  <c r="AH310" i="1"/>
  <c r="AH309" i="1"/>
  <c r="AH308" i="1"/>
  <c r="AH307" i="1"/>
  <c r="AH306" i="1"/>
  <c r="AH305" i="1"/>
  <c r="AH304" i="1"/>
  <c r="AH303" i="1"/>
  <c r="AH302" i="1"/>
  <c r="AH301" i="1"/>
  <c r="AH300" i="1"/>
  <c r="AH299" i="1"/>
  <c r="AH298" i="1"/>
  <c r="AH294" i="1"/>
  <c r="AH293" i="1"/>
  <c r="AH292" i="1"/>
  <c r="AH290" i="1"/>
  <c r="AH288" i="1"/>
  <c r="AH287" i="1"/>
  <c r="AH286" i="1"/>
  <c r="AH285" i="1"/>
  <c r="AH284" i="1"/>
  <c r="AH283" i="1"/>
  <c r="AH282" i="1"/>
  <c r="AH281" i="1"/>
  <c r="AH280" i="1"/>
  <c r="AH279" i="1"/>
  <c r="AH278" i="1"/>
  <c r="AH277" i="1"/>
  <c r="AH275" i="1"/>
  <c r="AH274" i="1"/>
  <c r="AH273" i="1"/>
  <c r="AH272" i="1"/>
  <c r="AH271" i="1"/>
  <c r="AH270" i="1"/>
  <c r="AH269" i="1"/>
  <c r="AH268" i="1"/>
  <c r="AH267" i="1"/>
  <c r="AH266" i="1"/>
  <c r="AH265" i="1"/>
  <c r="AH264" i="1"/>
  <c r="AH263" i="1"/>
  <c r="AH262" i="1"/>
  <c r="AH261" i="1"/>
  <c r="AH260" i="1"/>
  <c r="AH259" i="1"/>
  <c r="AH258" i="1"/>
  <c r="AH257" i="1"/>
  <c r="AH256" i="1"/>
  <c r="AH255" i="1"/>
  <c r="AH254" i="1"/>
  <c r="AH253" i="1"/>
  <c r="AH252" i="1"/>
  <c r="AH251" i="1"/>
  <c r="AH250" i="1"/>
  <c r="AH249" i="1"/>
  <c r="AH248" i="1"/>
  <c r="AH247" i="1"/>
  <c r="AH246" i="1"/>
  <c r="AH245" i="1"/>
  <c r="AH244" i="1"/>
  <c r="AH243" i="1"/>
  <c r="AH241" i="1"/>
  <c r="AH239" i="1"/>
  <c r="AH238" i="1"/>
  <c r="AH237" i="1"/>
  <c r="AH236" i="1"/>
  <c r="AH235" i="1"/>
  <c r="AH234" i="1"/>
  <c r="AH233" i="1"/>
  <c r="AH232" i="1"/>
  <c r="AH231" i="1"/>
  <c r="AH230" i="1"/>
  <c r="AH229" i="1"/>
  <c r="AH228" i="1"/>
  <c r="AH227" i="1"/>
  <c r="AH226" i="1"/>
  <c r="AH225" i="1"/>
  <c r="AH224" i="1"/>
  <c r="AH223" i="1"/>
  <c r="AH222" i="1"/>
  <c r="AH221" i="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5" i="1"/>
  <c r="AG135" i="1"/>
  <c r="AH130" i="1"/>
  <c r="AH129" i="1"/>
  <c r="AH128" i="1"/>
  <c r="AH127" i="1"/>
  <c r="AH126" i="1"/>
  <c r="AH125" i="1"/>
  <c r="AH124" i="1"/>
  <c r="AH123" i="1"/>
  <c r="AH122" i="1"/>
  <c r="AH121" i="1"/>
  <c r="AH116" i="1"/>
  <c r="AH110"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4"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1" i="1"/>
  <c r="AH40"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 r="AH131" i="1" l="1"/>
  <c r="AG134" i="1"/>
  <c r="AH134" i="1"/>
  <c r="AH133" i="1"/>
  <c r="AG133" i="1"/>
  <c r="AG132" i="1"/>
  <c r="AH132" i="1"/>
</calcChain>
</file>

<file path=xl/sharedStrings.xml><?xml version="1.0" encoding="utf-8"?>
<sst xmlns="http://schemas.openxmlformats.org/spreadsheetml/2006/main" count="21956" uniqueCount="5942">
  <si>
    <t>الرقم العسكرى</t>
  </si>
  <si>
    <t>الدرجة</t>
  </si>
  <si>
    <t>الاسم</t>
  </si>
  <si>
    <t>الوحدة</t>
  </si>
  <si>
    <t>القطاع / اللواء</t>
  </si>
  <si>
    <t>رقم الدفعة</t>
  </si>
  <si>
    <t>تاريخ التطوع</t>
  </si>
  <si>
    <t>تاريخ صرف 
الراتب العالى</t>
  </si>
  <si>
    <t>تاريخ الترقى 
للدرجة الحالية</t>
  </si>
  <si>
    <t>تاريخ الضم على المنطقة الجنوبية</t>
  </si>
  <si>
    <t>تاريخ الضم على 
الوحدة الحالية</t>
  </si>
  <si>
    <t>المؤهل الدراسى</t>
  </si>
  <si>
    <t xml:space="preserve">السلاح </t>
  </si>
  <si>
    <t>الفئة</t>
  </si>
  <si>
    <t>التخصص</t>
  </si>
  <si>
    <t>مؤهل</t>
  </si>
  <si>
    <t>غير مؤهل</t>
  </si>
  <si>
    <t>حجز</t>
  </si>
  <si>
    <t>حبس</t>
  </si>
  <si>
    <t>محكمة</t>
  </si>
  <si>
    <t>رقم التليفون</t>
  </si>
  <si>
    <t>رقم التليفون اقرب الأقارب</t>
  </si>
  <si>
    <t>الرقم القومى</t>
  </si>
  <si>
    <t xml:space="preserve"> تاريخ الميلاد</t>
  </si>
  <si>
    <t>الحالة الأجتماعية</t>
  </si>
  <si>
    <t>عدد الأبناء</t>
  </si>
  <si>
    <t>ذكور</t>
  </si>
  <si>
    <t>إناث</t>
  </si>
  <si>
    <t>القرية</t>
  </si>
  <si>
    <t>المركز</t>
  </si>
  <si>
    <t>المحافظة</t>
  </si>
  <si>
    <t>الوزن</t>
  </si>
  <si>
    <t>الطول</t>
  </si>
  <si>
    <t>فرق الوزن</t>
  </si>
  <si>
    <t>مكان الإلحاق</t>
  </si>
  <si>
    <t>الوحدات السابقه</t>
  </si>
  <si>
    <t>سفر</t>
  </si>
  <si>
    <t>موقف طبى</t>
  </si>
  <si>
    <t>ملاحظات</t>
  </si>
  <si>
    <t>مراجعة</t>
  </si>
  <si>
    <t>صانع ممتاز</t>
  </si>
  <si>
    <t>محمد حسن الصافى الحماس</t>
  </si>
  <si>
    <t xml:space="preserve"> الورشة 314 مركبات</t>
  </si>
  <si>
    <t>أسيوط</t>
  </si>
  <si>
    <t>14 ص ع</t>
  </si>
  <si>
    <t>اعدادية</t>
  </si>
  <si>
    <t>إدارة المركبات</t>
  </si>
  <si>
    <t>مهنى</t>
  </si>
  <si>
    <t>كهربائي مركبات</t>
  </si>
  <si>
    <t>P</t>
  </si>
  <si>
    <t>01016672707</t>
  </si>
  <si>
    <t>متزوج</t>
  </si>
  <si>
    <t>قريه نديبه</t>
  </si>
  <si>
    <t>مركز دمنهور</t>
  </si>
  <si>
    <t>البحيرة</t>
  </si>
  <si>
    <t>وحدة تدريب مشترك الهيئة الهندسية للقوات المسلحة - ورشة مركبات فرقة 19 مش - مركز تدريب مهن المركبات والمدرعات والتسليح وتشغيل المعادن</t>
  </si>
  <si>
    <t>ادهم</t>
  </si>
  <si>
    <t>مساعد</t>
  </si>
  <si>
    <t>محمد عبدالعظيم السيد صالح</t>
  </si>
  <si>
    <t>دبلوم صناعة</t>
  </si>
  <si>
    <t>ميكانيكى مركبات / راتب عالى / مجند</t>
  </si>
  <si>
    <t>01289827419</t>
  </si>
  <si>
    <t xml:space="preserve">بيشة قايد </t>
  </si>
  <si>
    <t xml:space="preserve">مركز الزقازيق </t>
  </si>
  <si>
    <t>الشرقية</t>
  </si>
  <si>
    <t>ورشة اللواء ١١٧مشاة ميكانيكى مقل</t>
  </si>
  <si>
    <t>صانع دقيق</t>
  </si>
  <si>
    <t xml:space="preserve">احمد عبدالنبي سيد أحمد </t>
  </si>
  <si>
    <t>15 ص ع</t>
  </si>
  <si>
    <t>مفتش بطاريات</t>
  </si>
  <si>
    <t>01140698350</t>
  </si>
  <si>
    <t xml:space="preserve">كفر مسعود </t>
  </si>
  <si>
    <t xml:space="preserve">طنطا </t>
  </si>
  <si>
    <t>الغربية</t>
  </si>
  <si>
    <t>ورشة مركبات قطاع اسوان - ورشة مركبات قطاع برنيس</t>
  </si>
  <si>
    <t>رقيب أ</t>
  </si>
  <si>
    <t xml:space="preserve">ادهم محمد علي محمد </t>
  </si>
  <si>
    <t>اعداديه</t>
  </si>
  <si>
    <t>كاتب عسكري</t>
  </si>
  <si>
    <t>كاتب عسكرى / راتب عالى - مجند / عريف</t>
  </si>
  <si>
    <t>01008565686</t>
  </si>
  <si>
    <t>ابوالحارث</t>
  </si>
  <si>
    <t xml:space="preserve">أبو تيج </t>
  </si>
  <si>
    <t>المستودع الفرعي للمركبات المختلط رقم 6 - مركز تدريب مشترك السائقين رقم 6 - مركز تدريب مشترك السائقين رقم 5</t>
  </si>
  <si>
    <t>تمثيل عسكرى ( مكتب دفاع إسلام أباد / باكستان ) 2023/04/23</t>
  </si>
  <si>
    <t>إلتهاب عظمى غضروفى قطنى</t>
  </si>
  <si>
    <t>shhdht</t>
  </si>
  <si>
    <t>ياسر عبدالعزيز طايع عبدالرازق</t>
  </si>
  <si>
    <t>دبلوم صنايع</t>
  </si>
  <si>
    <t>ميكانيكى مركبات</t>
  </si>
  <si>
    <t>01015297631</t>
  </si>
  <si>
    <t>٦ ش زين العرب</t>
  </si>
  <si>
    <t>الزيتون</t>
  </si>
  <si>
    <t>القاهرة</t>
  </si>
  <si>
    <t>ورشة لواء 166 مش ميكا</t>
  </si>
  <si>
    <t xml:space="preserve">احمد محمد النمر علي </t>
  </si>
  <si>
    <t>خازن فني مركبات</t>
  </si>
  <si>
    <t>01009185315</t>
  </si>
  <si>
    <t xml:space="preserve">العتابيه </t>
  </si>
  <si>
    <t xml:space="preserve">قطور </t>
  </si>
  <si>
    <t>ورشة 304 مركبات - ورشة مركبات فرعية 207 ح ح - مستودع المركبات الفرعي رقم 2 - المستودع الرئيسي للمركبات المختلط رقم 5</t>
  </si>
  <si>
    <t>محمود عبدالباسط محمود شنيشن</t>
  </si>
  <si>
    <t>01552518168</t>
  </si>
  <si>
    <t>متزوج ويعول</t>
  </si>
  <si>
    <t xml:space="preserve">سجين الكوم </t>
  </si>
  <si>
    <t>ورشة 304 مركبات - ورشة مركبات الجيش الخفيفة بأسوان - س 166 سطع / ل 166 مش ميكا مقل</t>
  </si>
  <si>
    <t>رقيب</t>
  </si>
  <si>
    <t>محمد السيد مصطفى سلامه</t>
  </si>
  <si>
    <t>خراط معادن</t>
  </si>
  <si>
    <t>01028535006</t>
  </si>
  <si>
    <t>منية البندرة</t>
  </si>
  <si>
    <t xml:space="preserve">السنطة </t>
  </si>
  <si>
    <t>ورشة مركبات فرعية 207 حرس - الورشة الرئيسية رقم 9 محركات</t>
  </si>
  <si>
    <t xml:space="preserve">فكرى العيسوى فكرى العيسوى </t>
  </si>
  <si>
    <t>حكمدار فرع</t>
  </si>
  <si>
    <t>01096074118</t>
  </si>
  <si>
    <t>كفر الشيخ هلال</t>
  </si>
  <si>
    <t xml:space="preserve">ميت غمر </t>
  </si>
  <si>
    <t>الدقهلية</t>
  </si>
  <si>
    <t>ورشة مركبات قطاع برنيس</t>
  </si>
  <si>
    <t>مصطفى على احمد على</t>
  </si>
  <si>
    <t>01158727109</t>
  </si>
  <si>
    <t xml:space="preserve">الوعاضلة </t>
  </si>
  <si>
    <t xml:space="preserve">صدفا </t>
  </si>
  <si>
    <t>مجمع الصناعات الهندسية / إدارة المركبات</t>
  </si>
  <si>
    <t>عريف</t>
  </si>
  <si>
    <t>محمد السيد محمد حفيظ ابراهيم</t>
  </si>
  <si>
    <t>صف</t>
  </si>
  <si>
    <t>مساعد تعليم / إدارة المركبات</t>
  </si>
  <si>
    <t>01096165664</t>
  </si>
  <si>
    <t xml:space="preserve">الخضارية </t>
  </si>
  <si>
    <t xml:space="preserve">الإبراهيمية </t>
  </si>
  <si>
    <t>الورش الرئيسيه للمركبات رقم 3</t>
  </si>
  <si>
    <t>وليد رشدي نعمان عبدالمجيد</t>
  </si>
  <si>
    <t>الفوج 625 اشارة ( ك 1 )</t>
  </si>
  <si>
    <t>إعدادية</t>
  </si>
  <si>
    <t>إدارة المدرعات</t>
  </si>
  <si>
    <t>سائق مركبة ب.يو</t>
  </si>
  <si>
    <t>/</t>
  </si>
  <si>
    <t>01555592140</t>
  </si>
  <si>
    <t>28405102500437</t>
  </si>
  <si>
    <t>10/05/1984</t>
  </si>
  <si>
    <t>المشايعة بحرى</t>
  </si>
  <si>
    <t>الغنايم</t>
  </si>
  <si>
    <t>معامل م .م للبحوث الطبية بالجبل الأحمر</t>
  </si>
  <si>
    <t>محمود</t>
  </si>
  <si>
    <t>مصطفى محمود محمد احمد</t>
  </si>
  <si>
    <t>السكرتارية العسكرية</t>
  </si>
  <si>
    <t>كاتب عسكرى</t>
  </si>
  <si>
    <t>01501601650</t>
  </si>
  <si>
    <t>01129737384</t>
  </si>
  <si>
    <t>29403082500592</t>
  </si>
  <si>
    <t>08/03/1994</t>
  </si>
  <si>
    <t>أعزب</t>
  </si>
  <si>
    <t>أوليلة</t>
  </si>
  <si>
    <t>ميت غمر</t>
  </si>
  <si>
    <t>الرية 24 إشارة بالهايكستيب</t>
  </si>
  <si>
    <t xml:space="preserve">ايمن فوزى عبدالوكيل </t>
  </si>
  <si>
    <t>إدارة السكرتارية العسكرية</t>
  </si>
  <si>
    <t>رضوان السيد عبدالسلام على</t>
  </si>
  <si>
    <t>إدارة الإشارة</t>
  </si>
  <si>
    <t>حكمدار الجماعة</t>
  </si>
  <si>
    <t>01091447464</t>
  </si>
  <si>
    <t>29703201801397</t>
  </si>
  <si>
    <t>20/03/1997</t>
  </si>
  <si>
    <t>منشأة سلطان</t>
  </si>
  <si>
    <t>منوف</t>
  </si>
  <si>
    <t>المنوفية</t>
  </si>
  <si>
    <t>س33 إشارة/127 مشا مقل</t>
  </si>
  <si>
    <t>علاء عادل عبدالرازق عبدالعظيم</t>
  </si>
  <si>
    <t>حكمدار جماعة خطوط / إدارة الاشارة</t>
  </si>
  <si>
    <t>01144024283</t>
  </si>
  <si>
    <t>30005042200952</t>
  </si>
  <si>
    <t>04/05/2000</t>
  </si>
  <si>
    <t>نوب طحا</t>
  </si>
  <si>
    <t>شبين القناطر</t>
  </si>
  <si>
    <t>القليوبية</t>
  </si>
  <si>
    <t>س 24 إشارة</t>
  </si>
  <si>
    <t>محمد احمد عبدالحميد عبدالله</t>
  </si>
  <si>
    <t>حكمدار جماعة لاسلكى</t>
  </si>
  <si>
    <t>01220762617</t>
  </si>
  <si>
    <t>29806122200616</t>
  </si>
  <si>
    <t>12/06/1998</t>
  </si>
  <si>
    <t>أمرى</t>
  </si>
  <si>
    <t>شبراخيت</t>
  </si>
  <si>
    <t>كتيبة المقر م ج ع</t>
  </si>
  <si>
    <t xml:space="preserve">عبدالرحمن خالد عبدالباري حجازي </t>
  </si>
  <si>
    <t>عامل لاس - متعدد القنوات / إدارة الإشارة</t>
  </si>
  <si>
    <t>01044342622</t>
  </si>
  <si>
    <t>30211161702574</t>
  </si>
  <si>
    <t>16/11/2002</t>
  </si>
  <si>
    <t>العقال البحرى</t>
  </si>
  <si>
    <t>البدارى</t>
  </si>
  <si>
    <t>ك1 الفوج 625 إشارة</t>
  </si>
  <si>
    <t>احمد الجنيدى محمد الجنيدى خطاب</t>
  </si>
  <si>
    <t>01021635242</t>
  </si>
  <si>
    <t>30308131602536</t>
  </si>
  <si>
    <t>13/08/2003</t>
  </si>
  <si>
    <t>صفط الغربية</t>
  </si>
  <si>
    <t>الواسطى</t>
  </si>
  <si>
    <t>بنى سويف</t>
  </si>
  <si>
    <t>ك 2 / الفوج 682 مواصلات إستراتيجى</t>
  </si>
  <si>
    <t>كامل محمد عبدالرحيم احمد</t>
  </si>
  <si>
    <t>الفوج 625 إشارة ( ك 2 )</t>
  </si>
  <si>
    <t>عامل لاسلكى / راتب عالى / مجند</t>
  </si>
  <si>
    <t>01141919066</t>
  </si>
  <si>
    <t>28711112703593</t>
  </si>
  <si>
    <t>11/11/1987</t>
  </si>
  <si>
    <t>هلية</t>
  </si>
  <si>
    <t>ببا</t>
  </si>
  <si>
    <t>مساعد أ</t>
  </si>
  <si>
    <t>هيثم طلعت السيد محمد البابلى</t>
  </si>
  <si>
    <t>الفوج 625 إشارة ( قيادة الفوج )</t>
  </si>
  <si>
    <t>01009249053</t>
  </si>
  <si>
    <t>27706201601616</t>
  </si>
  <si>
    <t>20/06/1997</t>
  </si>
  <si>
    <t>السنطة البلد</t>
  </si>
  <si>
    <t>السنطة</t>
  </si>
  <si>
    <t>الفوج692 إشارة</t>
  </si>
  <si>
    <t>محمد عبدالمنعم عبد العزيز البحيرى</t>
  </si>
  <si>
    <t>ميكانيى إصلاح معدات لاس</t>
  </si>
  <si>
    <t>01006056864</t>
  </si>
  <si>
    <t>29207251501052</t>
  </si>
  <si>
    <t>25/07/1992</t>
  </si>
  <si>
    <t>شلش</t>
  </si>
  <si>
    <t>ديروط</t>
  </si>
  <si>
    <t>ك740 بب / ل305</t>
  </si>
  <si>
    <t>رضا ابراهيم عبدالستار سعد</t>
  </si>
  <si>
    <t>حكمدار طاقم أمن / إدارة الإشارة</t>
  </si>
  <si>
    <t>01092045057</t>
  </si>
  <si>
    <t>29110011508773</t>
  </si>
  <si>
    <t>10/10/1991</t>
  </si>
  <si>
    <t>الشقيفى</t>
  </si>
  <si>
    <t>أبوتشت</t>
  </si>
  <si>
    <t>قنا</t>
  </si>
  <si>
    <t>س 72 إشارة ل 72 م / دهشور</t>
  </si>
  <si>
    <t>محمد علي محمد طه نسيم</t>
  </si>
  <si>
    <t>01098708938</t>
  </si>
  <si>
    <t>29010271601012</t>
  </si>
  <si>
    <t>27/10/1990</t>
  </si>
  <si>
    <t>جماجمون</t>
  </si>
  <si>
    <t>دسوق</t>
  </si>
  <si>
    <t>كفر الشيخ</t>
  </si>
  <si>
    <t>ك المقر م ج ع</t>
  </si>
  <si>
    <t>محمد احمد بدير عبدالمجيد</t>
  </si>
  <si>
    <t>15ص ع</t>
  </si>
  <si>
    <t>حرفى</t>
  </si>
  <si>
    <t>ميكانيكى إصلاح محطات قدرة</t>
  </si>
  <si>
    <t>01017962815</t>
  </si>
  <si>
    <t>29611141600956</t>
  </si>
  <si>
    <t>14/11/1996</t>
  </si>
  <si>
    <t>صناديد</t>
  </si>
  <si>
    <t>طنطا</t>
  </si>
  <si>
    <t>الفوج 616 إشارة</t>
  </si>
  <si>
    <t>محمود حبشي محمد السيد</t>
  </si>
  <si>
    <t>17ص ع</t>
  </si>
  <si>
    <t>01555752468</t>
  </si>
  <si>
    <t>29802231201015</t>
  </si>
  <si>
    <t>23/02/1998</t>
  </si>
  <si>
    <t>متبول</t>
  </si>
  <si>
    <t>مركز الادارة و التحكم للقمر الصناعى للاتصالات</t>
  </si>
  <si>
    <t>محمد طارق حلمى محمد عبدالمعطى</t>
  </si>
  <si>
    <t>الدفعه الثالثه المعهد الصجي</t>
  </si>
  <si>
    <t>ثانوية عامة</t>
  </si>
  <si>
    <t>إدارة الخدمات الطبية</t>
  </si>
  <si>
    <t>فنى معمل / راتب عالى / رقيب أول</t>
  </si>
  <si>
    <t>01201096280</t>
  </si>
  <si>
    <t>01288733327</t>
  </si>
  <si>
    <t>29904102501697</t>
  </si>
  <si>
    <t>10/04/1999</t>
  </si>
  <si>
    <t>قسطا</t>
  </si>
  <si>
    <t>كفر الزيات</t>
  </si>
  <si>
    <t>س إشارة ق برانيس</t>
  </si>
  <si>
    <t>سامح محمد حسن ابو العلا</t>
  </si>
  <si>
    <t>01206000279</t>
  </si>
  <si>
    <t>01281103674</t>
  </si>
  <si>
    <t>29303011213954</t>
  </si>
  <si>
    <t>01/03/1993</t>
  </si>
  <si>
    <t xml:space="preserve">كفر إخشا </t>
  </si>
  <si>
    <t xml:space="preserve">كفر الزيات </t>
  </si>
  <si>
    <t>لا يكن</t>
  </si>
  <si>
    <t>عبدالله عادل حماد شهاب</t>
  </si>
  <si>
    <t>01092061821</t>
  </si>
  <si>
    <t>29907221401772</t>
  </si>
  <si>
    <t>22/07/1999</t>
  </si>
  <si>
    <t xml:space="preserve">تفهنا الأشراف </t>
  </si>
  <si>
    <t>كتيبة مراكز إشارة ثابتة</t>
  </si>
  <si>
    <t>اسلام محمد عبدالعزيز محمد</t>
  </si>
  <si>
    <t>01127053214</t>
  </si>
  <si>
    <t>30209232200392</t>
  </si>
  <si>
    <t>22/09/2002</t>
  </si>
  <si>
    <t>س 305 إشارة</t>
  </si>
  <si>
    <t>محمد عبدالله عبدالغني الخولى</t>
  </si>
  <si>
    <t>01009239979</t>
  </si>
  <si>
    <t>29010111600273</t>
  </si>
  <si>
    <t>11/10/1990</t>
  </si>
  <si>
    <t>شنبارة الميمونة</t>
  </si>
  <si>
    <t>الزقازيق</t>
  </si>
  <si>
    <t>لايكن</t>
  </si>
  <si>
    <t>احمد شوقى احمد بحيرى</t>
  </si>
  <si>
    <t>ميكانيكى إصلاح معدات لاسلكيه</t>
  </si>
  <si>
    <t>01286491604</t>
  </si>
  <si>
    <t>29611011700151</t>
  </si>
  <si>
    <t>01/11/1996</t>
  </si>
  <si>
    <t>دبركى</t>
  </si>
  <si>
    <t xml:space="preserve">احمد محمد احمد محمد </t>
  </si>
  <si>
    <t>الفوج 625 اشارة ( ك 2 )</t>
  </si>
  <si>
    <t>سائق عجل</t>
  </si>
  <si>
    <t>سائق عربة / راتب عالى / مجند</t>
  </si>
  <si>
    <t>01090637123</t>
  </si>
  <si>
    <t>30202022505773</t>
  </si>
  <si>
    <t>02/02/2002</t>
  </si>
  <si>
    <t>الفوزة</t>
  </si>
  <si>
    <t>إدفو</t>
  </si>
  <si>
    <t>أسوان</t>
  </si>
  <si>
    <t>فتحى سعيد عبدالفتاح عشماوى</t>
  </si>
  <si>
    <t>حكمدار جماعة خطوط / إدارة الإشارة</t>
  </si>
  <si>
    <t>01282260894</t>
  </si>
  <si>
    <t>29905011700871</t>
  </si>
  <si>
    <t>01/05/1999</t>
  </si>
  <si>
    <t>ميت خاقان</t>
  </si>
  <si>
    <t>شبين الكوم</t>
  </si>
  <si>
    <t xml:space="preserve">الحسين جابر مدني السمان </t>
  </si>
  <si>
    <t>01140485798</t>
  </si>
  <si>
    <t>30501012811334</t>
  </si>
  <si>
    <t>01/01/2005</t>
  </si>
  <si>
    <t>قمبش</t>
  </si>
  <si>
    <t>محمد سعيد زكريا محمد</t>
  </si>
  <si>
    <t>حكمدار جماعة البريد</t>
  </si>
  <si>
    <t>01094867625</t>
  </si>
  <si>
    <t>29907021300076</t>
  </si>
  <si>
    <t>02/07/1999</t>
  </si>
  <si>
    <t>ميت حبش القبلية</t>
  </si>
  <si>
    <t>مبروك الصافى عوض</t>
  </si>
  <si>
    <t>ك حرس حدود برى رقم 16</t>
  </si>
  <si>
    <t>قيادة حرس الحدود</t>
  </si>
  <si>
    <t>حكمدار جماعة ح ح</t>
  </si>
  <si>
    <t>01020109227</t>
  </si>
  <si>
    <t xml:space="preserve">متزوج ويعول </t>
  </si>
  <si>
    <t xml:space="preserve">ك 2ح ح برى </t>
  </si>
  <si>
    <t xml:space="preserve">مصطفى صلاح سليمان محمد جاد </t>
  </si>
  <si>
    <t>الوحدة 75 أسلحة</t>
  </si>
  <si>
    <t>إدارة الاسلحة والذخيرة</t>
  </si>
  <si>
    <t>امين مخزن اسلحة</t>
  </si>
  <si>
    <t>01067300149</t>
  </si>
  <si>
    <t>01552315052</t>
  </si>
  <si>
    <t>طنبشا</t>
  </si>
  <si>
    <t>بركة السبع</t>
  </si>
  <si>
    <t>ورشة 3 اسلحة - ورشة 17 اسلحة - مستودع 72 اسلحة - مستودع 36 ا ذ - قيا ل 120 مش ميكا - ورشة اسلحة الجيش رقم 4</t>
  </si>
  <si>
    <t>السيد بكرى محمود السيد بلال</t>
  </si>
  <si>
    <t>عامل إصلاح مدافع ميدان</t>
  </si>
  <si>
    <t>01065374546</t>
  </si>
  <si>
    <t>01220057055</t>
  </si>
  <si>
    <t>مشتول القاضي</t>
  </si>
  <si>
    <t>ورشة (28) جيش - الورشة (12) مد - ورشة (9) مد</t>
  </si>
  <si>
    <t>هانى رزق عبدالمطلب عبدالعزيز</t>
  </si>
  <si>
    <t>01007975792</t>
  </si>
  <si>
    <t>مكتب مخابرات ح ح العلمين</t>
  </si>
  <si>
    <t>رمضان محمود عبدالعزيز خليل</t>
  </si>
  <si>
    <t>معهد فني صناعي</t>
  </si>
  <si>
    <t>عامل اصلاح أجهزة بصرية</t>
  </si>
  <si>
    <t>01068789289</t>
  </si>
  <si>
    <t>01063992709</t>
  </si>
  <si>
    <t>خلف كليه اللغه العربيه</t>
  </si>
  <si>
    <t>إيتاى البارود</t>
  </si>
  <si>
    <t>الإنقاذ والتدخل السريع - الورشة الفرعية للأسلحة رقم (11)</t>
  </si>
  <si>
    <t xml:space="preserve">سعيد اسامة جاد سليم </t>
  </si>
  <si>
    <t>عامل إصلاح مدافع م ط</t>
  </si>
  <si>
    <t>01278787467</t>
  </si>
  <si>
    <t>حوض الطرفة</t>
  </si>
  <si>
    <t>ورشة رقم 3 اسلحة - قيا ل 112 - قيا ل 113 - التدخل السريع - ورشة ل 9 - ورشة الفرعية للاسلحة رقم 14</t>
  </si>
  <si>
    <t>احمد ممدوح عبدالكريم محمود</t>
  </si>
  <si>
    <t>خازن فني ذخيرة</t>
  </si>
  <si>
    <t>01103744465</t>
  </si>
  <si>
    <t>الرحمانية</t>
  </si>
  <si>
    <t>دير مواس</t>
  </si>
  <si>
    <t>المنيا</t>
  </si>
  <si>
    <t>قيا م ج ع - المستودع الفرعي للذخيرة رقم 45 - المستودع الميداني ا ذ رقم 2</t>
  </si>
  <si>
    <t>رمضان طه محمد محمد</t>
  </si>
  <si>
    <t>كاتب عسكري/ راتب عالى</t>
  </si>
  <si>
    <t>الجزائر</t>
  </si>
  <si>
    <t>سمالوط شرق</t>
  </si>
  <si>
    <t>مستودع فرعي ا ذ رقم 2 - مستودع الرادار والصواريخ رقم (1)</t>
  </si>
  <si>
    <t>مسعود منصور ابراهيم مسعود</t>
  </si>
  <si>
    <t>عامل إصلاح اسلحة</t>
  </si>
  <si>
    <t>01015025680</t>
  </si>
  <si>
    <t>صفط الحريه</t>
  </si>
  <si>
    <t>الورشة الرئيسية للأسلحة رقم 1</t>
  </si>
  <si>
    <t xml:space="preserve">محمد احمد ابراهيم على </t>
  </si>
  <si>
    <t>خازن فني محطات قدرة</t>
  </si>
  <si>
    <t>الجماليه</t>
  </si>
  <si>
    <t>قوص</t>
  </si>
  <si>
    <t>ورشة 60 د جو - ورشة ا ذ فر 15 د جو - مستودع 4 رادار - مستودع 3 ردار</t>
  </si>
  <si>
    <t>إسلام حامد فتح الله الحداد</t>
  </si>
  <si>
    <t>عامل إصلاح أجهزة بصرية</t>
  </si>
  <si>
    <t>01062914375</t>
  </si>
  <si>
    <t>طوخ</t>
  </si>
  <si>
    <t>تلا</t>
  </si>
  <si>
    <t>ورشة الفر 33 - ورشة 3 اسلحة</t>
  </si>
  <si>
    <t>احمد السيد احمد حسن</t>
  </si>
  <si>
    <t>01017456512</t>
  </si>
  <si>
    <t>الرياض</t>
  </si>
  <si>
    <t>زفتي</t>
  </si>
  <si>
    <t>مستودع 30 ا ذ - مستودع 20 ا ذ</t>
  </si>
  <si>
    <t>مصطفي احمد محمد السعيد</t>
  </si>
  <si>
    <t>01017937572</t>
  </si>
  <si>
    <t>مطلق</t>
  </si>
  <si>
    <t>ش خالد بن الوليد</t>
  </si>
  <si>
    <t>مشتول السوق</t>
  </si>
  <si>
    <t>فوج تأمين المجري الملاحي - ورشة الفر 9 - مستودع 63</t>
  </si>
  <si>
    <t>اسلام احمد عبدالحميد محمد</t>
  </si>
  <si>
    <t>خازن فنى اسحلة</t>
  </si>
  <si>
    <t>01126420180</t>
  </si>
  <si>
    <t>01149432960</t>
  </si>
  <si>
    <t>العدر</t>
  </si>
  <si>
    <t>منقباد</t>
  </si>
  <si>
    <t>مستودع 30 ا ذ - مستودع 36 ا ذ - مستودع 63 ا ذ</t>
  </si>
  <si>
    <t>محمود عبدالعزيز السيد عبدالعزيز</t>
  </si>
  <si>
    <t>عامل اصلاح اسلحة</t>
  </si>
  <si>
    <t>01200232026</t>
  </si>
  <si>
    <t>01052468705</t>
  </si>
  <si>
    <t>عزبة سكينة</t>
  </si>
  <si>
    <t>العوايد</t>
  </si>
  <si>
    <t>الإسكندرية</t>
  </si>
  <si>
    <t>ورشة الجيش رقم 4 - الورشة رقم 3 للأسلحة</t>
  </si>
  <si>
    <t>السعيد محمد السعيد احمد سليمان</t>
  </si>
  <si>
    <t>01017295929</t>
  </si>
  <si>
    <t>01064437622</t>
  </si>
  <si>
    <t>حانوت</t>
  </si>
  <si>
    <t>زفتى</t>
  </si>
  <si>
    <t>المستودع الرئيسي ق.غ الاسلحة والمعدات رقم 63</t>
  </si>
  <si>
    <t>احمد كامل محمد خيرالدين</t>
  </si>
  <si>
    <t>عامل إصلاح أجھزة رؤية وتنيشن</t>
  </si>
  <si>
    <t>01010270674</t>
  </si>
  <si>
    <t>01018695483</t>
  </si>
  <si>
    <t>طبلوها</t>
  </si>
  <si>
    <t>قيا الحرس الجمهوري - ورشة 1 اسلحة</t>
  </si>
  <si>
    <t>محمود عبدالعزيز عبدالنبى السيد حسين</t>
  </si>
  <si>
    <t>عامل إصلاح أجھزة بصریة</t>
  </si>
  <si>
    <t>0</t>
  </si>
  <si>
    <t>01098404982</t>
  </si>
  <si>
    <t>01061632238</t>
  </si>
  <si>
    <t>تلوانه</t>
  </si>
  <si>
    <t>الباجور</t>
  </si>
  <si>
    <t>الورشة المتوسطة للردار رقم 3 - الورشة الرئيسية للأسلحة رقم 3</t>
  </si>
  <si>
    <t>مصطفى السيد نور الدين عبدالقادر</t>
  </si>
  <si>
    <t>ك 4 بب مقلة</t>
  </si>
  <si>
    <t>قطاع أسوان العسكرى</t>
  </si>
  <si>
    <t>سائق جنزير</t>
  </si>
  <si>
    <t>أقدم سائق بب ام 60 أ 3</t>
  </si>
  <si>
    <t>01002470065</t>
  </si>
  <si>
    <t xml:space="preserve">مصطفى نبيل أحمد السيد </t>
  </si>
  <si>
    <t>01228425375</t>
  </si>
  <si>
    <t>01111553213</t>
  </si>
  <si>
    <t>دسونس</t>
  </si>
  <si>
    <t>أبو حمص</t>
  </si>
  <si>
    <t>ورشة 3 اسلحة</t>
  </si>
  <si>
    <t>احمد فوزى محمد على</t>
  </si>
  <si>
    <t>01158803274</t>
  </si>
  <si>
    <t>01036489752</t>
  </si>
  <si>
    <t>الدفراوي</t>
  </si>
  <si>
    <t>ك 228 / ل8 مد</t>
  </si>
  <si>
    <t>رؤوف عزوز عبدالرؤوف احمد</t>
  </si>
  <si>
    <t>01028261617</t>
  </si>
  <si>
    <t>ك 232 / ل 2</t>
  </si>
  <si>
    <t>علاء محمد كمال الخولى</t>
  </si>
  <si>
    <t>عامل اصلاح مدافع م ط</t>
  </si>
  <si>
    <t>01002739542</t>
  </si>
  <si>
    <t>01029199624</t>
  </si>
  <si>
    <t>منشأة الوكيل</t>
  </si>
  <si>
    <t>دمنهور</t>
  </si>
  <si>
    <t>معاذ سعد ابراهيم النجار</t>
  </si>
  <si>
    <t>عامل إصلاح أسلحة ورشاشات</t>
  </si>
  <si>
    <t>01029456752</t>
  </si>
  <si>
    <t>01095502434</t>
  </si>
  <si>
    <t>صفط خالد</t>
  </si>
  <si>
    <t xml:space="preserve">محمد عبدالحليم ابوالعلا علي </t>
  </si>
  <si>
    <t>ميكانيكي اصلاح أجهزة بصرية</t>
  </si>
  <si>
    <t>01020429030</t>
  </si>
  <si>
    <t>01062815191</t>
  </si>
  <si>
    <t>الدهرية</t>
  </si>
  <si>
    <t>اسلام سعد السيد علي الشرقاوي</t>
  </si>
  <si>
    <t>01010023875</t>
  </si>
  <si>
    <t>منية عطية</t>
  </si>
  <si>
    <t>مصطفي عادل صبيح قاسم</t>
  </si>
  <si>
    <t>عامل إصلاح معدات</t>
  </si>
  <si>
    <t>01014566315</t>
  </si>
  <si>
    <t>01125377521</t>
  </si>
  <si>
    <t>عزبة صادق</t>
  </si>
  <si>
    <t xml:space="preserve">الدلنجات </t>
  </si>
  <si>
    <t xml:space="preserve">حسن محمود حسن عبيد </t>
  </si>
  <si>
    <t>خازن فني أسلحة</t>
  </si>
  <si>
    <t>01055753558</t>
  </si>
  <si>
    <t>01069817614</t>
  </si>
  <si>
    <t>الصفة</t>
  </si>
  <si>
    <t>ملاحظ فني</t>
  </si>
  <si>
    <t>احمد السيد عبدالحميد ابو حطب</t>
  </si>
  <si>
    <t>الورشة 151 مدرعات</t>
  </si>
  <si>
    <t>9 ص ع</t>
  </si>
  <si>
    <t>ميكانيكي مجنزرات شرقي</t>
  </si>
  <si>
    <t>01007715509</t>
  </si>
  <si>
    <t>01000562500</t>
  </si>
  <si>
    <t>حصة أبار</t>
  </si>
  <si>
    <t>الورشة الرئيسية للمدرعات رقم 5 - ورشة ل177 مش ميكا - الورشة الفرعية رقم 102 للمدرعات</t>
  </si>
  <si>
    <t>لائق للمستوي الأدني وعددهم (4)</t>
  </si>
  <si>
    <t>احمد عبدالله عبدالحميد شهاوى</t>
  </si>
  <si>
    <t>13 ص ع</t>
  </si>
  <si>
    <t>01012960712</t>
  </si>
  <si>
    <t>01018142935</t>
  </si>
  <si>
    <t>إبشواي</t>
  </si>
  <si>
    <t>ورشة الفرقة 33 مش ميكا - ك 313 ل 166 مش ميكا مقل</t>
  </si>
  <si>
    <t>وائل أبو بكر بهيج بكري</t>
  </si>
  <si>
    <t>سائق بب نجدة شرقي</t>
  </si>
  <si>
    <t>01050541106</t>
  </si>
  <si>
    <t>01158348999</t>
  </si>
  <si>
    <t>البهايجة</t>
  </si>
  <si>
    <t>مكتب قائد المنطقة الجنوبية العسكرية</t>
  </si>
  <si>
    <t>ك 50 مش ل 11 مدرعات - ك 260 مش ميكا - مستودع 61 مدرعات - ك 235 بب ل 117 مش ميكا</t>
  </si>
  <si>
    <t>دولة لبنان</t>
  </si>
  <si>
    <t>اسامة محمد عبداللطيف احمد</t>
  </si>
  <si>
    <t>رقيب أول سرية رماة</t>
  </si>
  <si>
    <t>01000478189</t>
  </si>
  <si>
    <t>01018143147</t>
  </si>
  <si>
    <t>أبيس أول</t>
  </si>
  <si>
    <t>معهد المدرعات - مركز تدريب مشترك المدرعات - كتيبة 271 بب ل 11 مقل</t>
  </si>
  <si>
    <t>محمد عبدالعزيز كامل احمد</t>
  </si>
  <si>
    <t>خازن فني مدرعات</t>
  </si>
  <si>
    <t>01068262542</t>
  </si>
  <si>
    <t>01068380405</t>
  </si>
  <si>
    <t>ع الشريف</t>
  </si>
  <si>
    <t>قيادة فرقة 3 مش ميكا غربي - مستودع المدرعات الرئيسي للمرتجعات - المستودع الرئيسي للاحتاجات الفنية رقم 67 - ورشة مدرعات الجيش رقم 24 - المستودع الرئيسي للاحتاجات الفنية رقم 67 - ورشة ل 117 مش ميكا مقل</t>
  </si>
  <si>
    <t>لائق للمستوي الأدني (2)</t>
  </si>
  <si>
    <t>حمادة كمال السيد مصطفى محمود</t>
  </si>
  <si>
    <t>01024807782</t>
  </si>
  <si>
    <t>01095581966</t>
  </si>
  <si>
    <t>المنسأة الصغري</t>
  </si>
  <si>
    <t>ك 52 مش ميكا - ك 407 ل 9 مش ميكا مقل</t>
  </si>
  <si>
    <t>نادر السيد محمد سلطان</t>
  </si>
  <si>
    <t>سائق بب نجدة M88</t>
  </si>
  <si>
    <t>01001716206</t>
  </si>
  <si>
    <t>صرد</t>
  </si>
  <si>
    <t>ورشة ل 9 مش ميكا مقل تدخل سريع</t>
  </si>
  <si>
    <t>طه ابراهيم طه محمد</t>
  </si>
  <si>
    <t>01033798886</t>
  </si>
  <si>
    <t>01151091814</t>
  </si>
  <si>
    <t>قلندول</t>
  </si>
  <si>
    <t>محمد السيد محمد احمد سليم</t>
  </si>
  <si>
    <t>ميكانيكي بب شرقي</t>
  </si>
  <si>
    <t>01096788928</t>
  </si>
  <si>
    <t>01100722393</t>
  </si>
  <si>
    <t>اعزب</t>
  </si>
  <si>
    <t>الحجايزة</t>
  </si>
  <si>
    <t>محمد صبحى عبد المجيد قاروب</t>
  </si>
  <si>
    <t>س 19 ش ع</t>
  </si>
  <si>
    <t>إدارة الشرطة العسكرية</t>
  </si>
  <si>
    <t>حكمدار مجموعة تحريات</t>
  </si>
  <si>
    <t>01021218878</t>
  </si>
  <si>
    <t>المصلحة</t>
  </si>
  <si>
    <t>رئاسة إدارة الشرطة العسكرية</t>
  </si>
  <si>
    <t>مرض السكر بدون مضاعفات</t>
  </si>
  <si>
    <t>محمود على محمود حسن</t>
  </si>
  <si>
    <t>رقيب فصيلة شرطة عسكرية</t>
  </si>
  <si>
    <t>01151419956</t>
  </si>
  <si>
    <t>01063761525</t>
  </si>
  <si>
    <t>الشقر</t>
  </si>
  <si>
    <t>مركز تدريب الشرطة العسكرية - سرية 21 شرطة عسكرية خفيف / الفوج الأول شرطة عسكرية رئاسة عامةمطار وادى قنا - سرية 5 شرطة عسكرية / الفوج الثانى شرطة عسكرية</t>
  </si>
  <si>
    <t>انزلاق غضروفى في الفقرة (4،5)</t>
  </si>
  <si>
    <t>احمد خالد عبدالفتاح ضحا</t>
  </si>
  <si>
    <t>01201211577</t>
  </si>
  <si>
    <t>01275434084</t>
  </si>
  <si>
    <t>بيبان</t>
  </si>
  <si>
    <t>سرية 96 شرطة عسكرية / الجهاز الإداري والفني للكيان العسكرى - سرية 18 شرطه عسكريه رئاسة عامة (مخزنة)</t>
  </si>
  <si>
    <t>حفظ سلام ( مالى ) 2019/10/29</t>
  </si>
  <si>
    <t>منصور نبيل هوارى مرسى</t>
  </si>
  <si>
    <t>01090001226</t>
  </si>
  <si>
    <t>01205311903</t>
  </si>
  <si>
    <t>كفر الرجالات</t>
  </si>
  <si>
    <t>قيادة الحرس الجمهوري</t>
  </si>
  <si>
    <t>عبدالفتاح علي اسماعيل محمد ابوخطيطه</t>
  </si>
  <si>
    <t>حكمدار جماعة شرطة</t>
  </si>
  <si>
    <t>01014562415</t>
  </si>
  <si>
    <t>01030874375</t>
  </si>
  <si>
    <t>كفر خضر</t>
  </si>
  <si>
    <t xml:space="preserve"> سرية 66 جوية شرطة عسكرية - فصيلة 902 شرطة عسكرية - سرية 16 شرطة عسكرية</t>
  </si>
  <si>
    <t>محمد سيد جوده على</t>
  </si>
  <si>
    <t>01015971317</t>
  </si>
  <si>
    <t>01559838266</t>
  </si>
  <si>
    <t>نزله المعركة</t>
  </si>
  <si>
    <t>فصيلة 1 شرطة عسكرية / قاعدة البحرالأحمر - سرية 80 شرطة عسكرية / قاعدة الاسكندرية</t>
  </si>
  <si>
    <t>ابراهيم احمد سعيد احمد حسن</t>
  </si>
  <si>
    <t>01118163695</t>
  </si>
  <si>
    <t>المطاوعة</t>
  </si>
  <si>
    <t>مطار حلوان</t>
  </si>
  <si>
    <t>احمد جمال محمود درويش</t>
  </si>
  <si>
    <t>01099325068</t>
  </si>
  <si>
    <t>العزايزه</t>
  </si>
  <si>
    <t>الفصيلة 125 شرطة عسكرية</t>
  </si>
  <si>
    <t>كسر زرفي ملتئم بالمعصم - كسر قديم غير ملتئم بالعظام الذورقية اليمنى</t>
  </si>
  <si>
    <t>محمود على محمد عزازي ابوزيد</t>
  </si>
  <si>
    <t>01552378050</t>
  </si>
  <si>
    <t>جصفا</t>
  </si>
  <si>
    <t>س 23 شرطة عسكرية - كتيبة ٢ شرطة عسكرية حرس شرف / مقله</t>
  </si>
  <si>
    <t>محمد احمد عثمان محمد</t>
  </si>
  <si>
    <t>01000916558</t>
  </si>
  <si>
    <t>9/9/1992</t>
  </si>
  <si>
    <t>منفلوط</t>
  </si>
  <si>
    <t>فصيلة 125 شرطة عسكرية / لواء 166 مش ميكا مقل</t>
  </si>
  <si>
    <t>محمد ايمن جمعه عبدالحليم</t>
  </si>
  <si>
    <t>سائق عربة / راتب عالى</t>
  </si>
  <si>
    <t>01551686888</t>
  </si>
  <si>
    <t xml:space="preserve"> السرية الأولى تأمين وإنذار وحراسات شخصيات هامة / الفوج الأول شرطة عسكرية - سرية 14 شرطة عسكرية مدرع / الفوج الأول شرطة عسكرية رئاسة عامة</t>
  </si>
  <si>
    <t>حفظ سلام ( مالى ) 2020/08/14</t>
  </si>
  <si>
    <t>كريم سليمان عبدالحميد السيد</t>
  </si>
  <si>
    <t>10ش عمر بن عبدالعزيز عزبة محسن</t>
  </si>
  <si>
    <t>السرية 65 شرطة عسكرية</t>
  </si>
  <si>
    <t>وليد عماد عطيه محمد</t>
  </si>
  <si>
    <t>01116129519</t>
  </si>
  <si>
    <t>ابوشبل</t>
  </si>
  <si>
    <t xml:space="preserve">محمد حسن عبد الحميد احمد </t>
  </si>
  <si>
    <t>س 194 ش ع</t>
  </si>
  <si>
    <t>كاتب عسكرى / راتب عالى</t>
  </si>
  <si>
    <t>01095230808</t>
  </si>
  <si>
    <t>01004510913</t>
  </si>
  <si>
    <t>بنهاى</t>
  </si>
  <si>
    <t>س 20 ش ع - قسم 4 نيابات - قسم 2 نيابات - س 96 ش ع - ف 84 ش ع - ك 3 حراسات</t>
  </si>
  <si>
    <t>ماريو</t>
  </si>
  <si>
    <t>صبحي حامد محمود أبوالمجد</t>
  </si>
  <si>
    <t>كفر أحمد شلبى</t>
  </si>
  <si>
    <t>س 191 ش ع - س 91 ش ع</t>
  </si>
  <si>
    <t>خالد داود ابوبكر حسين</t>
  </si>
  <si>
    <t>رقيب ف ش ع</t>
  </si>
  <si>
    <t>01203251946</t>
  </si>
  <si>
    <t>01204211487</t>
  </si>
  <si>
    <t>إهناسيا</t>
  </si>
  <si>
    <t>س 33 ش ع - س 83 ش ع</t>
  </si>
  <si>
    <t xml:space="preserve">ابراهيم حماد محمد حماد </t>
  </si>
  <si>
    <t>01015213303</t>
  </si>
  <si>
    <t>01228099530</t>
  </si>
  <si>
    <t>سنهرة</t>
  </si>
  <si>
    <t>ك 3 حراسات - س 42 ش ع</t>
  </si>
  <si>
    <t xml:space="preserve">ابراهيم مجدي موسي رمضان غنيم </t>
  </si>
  <si>
    <t>01000812384</t>
  </si>
  <si>
    <t>01013675200</t>
  </si>
  <si>
    <t>سنهوت</t>
  </si>
  <si>
    <t>مركز تدريب ش ع - وحدات 999 قتال - وحدات 777 قتال</t>
  </si>
  <si>
    <t xml:space="preserve">حاتم محمود جاد ابراهيم العدوى </t>
  </si>
  <si>
    <t>01063562179</t>
  </si>
  <si>
    <t>01099399854</t>
  </si>
  <si>
    <t>نشيل</t>
  </si>
  <si>
    <t xml:space="preserve">جهاز مستقبل مصر - س 92 ش ع - قيل وحدات المدفعية الصاروخية - س 50 ش ع - س 6 ش ع </t>
  </si>
  <si>
    <t>سمير ناصر عبدالحميد عبدالكريم</t>
  </si>
  <si>
    <t>01055969748</t>
  </si>
  <si>
    <t>01098606589</t>
  </si>
  <si>
    <t>المشارقة</t>
  </si>
  <si>
    <t>قيا ل 305 مش مقل - إدارة ش ع</t>
  </si>
  <si>
    <t>مصطفى خالد مصطفى عبده</t>
  </si>
  <si>
    <t>01022523519</t>
  </si>
  <si>
    <t>01007232857</t>
  </si>
  <si>
    <t>كفر يعقوب</t>
  </si>
  <si>
    <t>قاعدة البرجات الجوية / ف 928 ش ع</t>
  </si>
  <si>
    <t>عبدالحميد محمد عبدالحميد سرحان</t>
  </si>
  <si>
    <t>01553596843</t>
  </si>
  <si>
    <t>01279243110</t>
  </si>
  <si>
    <t>كفر الشرفل الشرقى</t>
  </si>
  <si>
    <t>ف ش ع / ل 9 - ك 3 ش ع</t>
  </si>
  <si>
    <t>عاشور عيد فخرى</t>
  </si>
  <si>
    <t>حكمدار مكتب أمانات</t>
  </si>
  <si>
    <t>01221840258</t>
  </si>
  <si>
    <t>01279252448</t>
  </si>
  <si>
    <t>عزبة البوصة</t>
  </si>
  <si>
    <t>قسم 5 نيابات</t>
  </si>
  <si>
    <t>حسام محمد محمد مصطفي</t>
  </si>
  <si>
    <t>01016586852</t>
  </si>
  <si>
    <t>01067112988</t>
  </si>
  <si>
    <t>المؤنسة</t>
  </si>
  <si>
    <t>قيا الفوج الأول ش ع</t>
  </si>
  <si>
    <t>محمد محمود تهامي سليم</t>
  </si>
  <si>
    <t>0121278356</t>
  </si>
  <si>
    <t>0122634539</t>
  </si>
  <si>
    <t>العزيزية</t>
  </si>
  <si>
    <t>س 96 ش ع - قيا الفوج الثانى</t>
  </si>
  <si>
    <t>احمد جمال ابراهيم على</t>
  </si>
  <si>
    <t>01029736757</t>
  </si>
  <si>
    <t>01147640424</t>
  </si>
  <si>
    <t>الكراتية</t>
  </si>
  <si>
    <t>محمد ابراهيم حسن طه</t>
  </si>
  <si>
    <t>01027997536</t>
  </si>
  <si>
    <t>01065888626</t>
  </si>
  <si>
    <t>عزبة الخزان</t>
  </si>
  <si>
    <t>مصطفى محمود حسين</t>
  </si>
  <si>
    <t>01116908920</t>
  </si>
  <si>
    <t>01156997041</t>
  </si>
  <si>
    <t>ريده</t>
  </si>
  <si>
    <t>محمد حامد محمد البسيوني</t>
  </si>
  <si>
    <t>س 4 إطفاء</t>
  </si>
  <si>
    <t>إدارة الإطفاء والإنقاذ</t>
  </si>
  <si>
    <t>حكمدار طاقم إطفاء</t>
  </si>
  <si>
    <t>01067373696</t>
  </si>
  <si>
    <t>01062679191</t>
  </si>
  <si>
    <t>صفت العنب</t>
  </si>
  <si>
    <t>على احمد ابراهيم الكومى</t>
  </si>
  <si>
    <t>01013991531</t>
  </si>
  <si>
    <t>ك 202 ل 11 مش ميكا جيش ثاني ميداني</t>
  </si>
  <si>
    <t>محمود محمد عبدالحمید محمد</t>
  </si>
  <si>
    <t>01011442496</t>
  </si>
  <si>
    <t>01225629988</t>
  </si>
  <si>
    <t>ك 7 مقلة</t>
  </si>
  <si>
    <t>هيثم محمد محمد الهباب</t>
  </si>
  <si>
    <t>حكمدار طقم إطفاء</t>
  </si>
  <si>
    <t>01063485570</t>
  </si>
  <si>
    <t>01061373739</t>
  </si>
  <si>
    <t>بوريج</t>
  </si>
  <si>
    <t>على فتح الله احمد محمد</t>
  </si>
  <si>
    <t>01123794821</t>
  </si>
  <si>
    <t>0110726983</t>
  </si>
  <si>
    <t>برمكيم</t>
  </si>
  <si>
    <t>اشرف بلبل السيد عبدالحميد</t>
  </si>
  <si>
    <t>ك 740 بب</t>
  </si>
  <si>
    <t>ل 305 مش مقل</t>
  </si>
  <si>
    <t>رامي بب ت ٦٢</t>
  </si>
  <si>
    <t>01085771852</t>
  </si>
  <si>
    <t>01093737067</t>
  </si>
  <si>
    <t>منشأة جبران</t>
  </si>
  <si>
    <t>ك 404 بب - ك 250 بب</t>
  </si>
  <si>
    <t>جمال حسين محمد محمود</t>
  </si>
  <si>
    <t>كتيبة النقل المختلط</t>
  </si>
  <si>
    <t>إدارة النقل</t>
  </si>
  <si>
    <t xml:space="preserve">سائق </t>
  </si>
  <si>
    <t>رقيب فصيلة حملة</t>
  </si>
  <si>
    <t>01091745507</t>
  </si>
  <si>
    <t>01098955141</t>
  </si>
  <si>
    <t>شيشة الأنعام</t>
  </si>
  <si>
    <t xml:space="preserve">ك 31 نقل عامة - كتيبة نقل مختلط م ج ع </t>
  </si>
  <si>
    <t>جابر</t>
  </si>
  <si>
    <t>حسين جلال غازي عبدالله</t>
  </si>
  <si>
    <t>ف 83 ش ع</t>
  </si>
  <si>
    <t>محطة قنا العسكرية</t>
  </si>
  <si>
    <t>01013698527</t>
  </si>
  <si>
    <t>كوم حمادة</t>
  </si>
  <si>
    <t>س 190 ش ع</t>
  </si>
  <si>
    <t>احمد بدوى يحيى بدوى</t>
  </si>
  <si>
    <t>مستودع 20 تعيينات</t>
  </si>
  <si>
    <t>قطاع البحر الأحمر العسكرى</t>
  </si>
  <si>
    <t>سائق</t>
  </si>
  <si>
    <t>01070313390</t>
  </si>
  <si>
    <t>01064977989</t>
  </si>
  <si>
    <t>منيا القمح</t>
  </si>
  <si>
    <t>مستودع التبريدات الرئيسي رقم 351</t>
  </si>
  <si>
    <t>محمد صبرى عبد سيد أحمد الفار</t>
  </si>
  <si>
    <t>ك 40 سطع</t>
  </si>
  <si>
    <t>قطاع برنيس العسكرى</t>
  </si>
  <si>
    <t>جهاز الإستطلاع</t>
  </si>
  <si>
    <t>01095736433</t>
  </si>
  <si>
    <t>ك 109 سطع عام - الوحدة 888 مكافحة إرهاب - سرية ٩ إستطلاع عام / اللواء التاسع مشاة ميكانيكى  YPRمقل - فوج 303 نقل دبابات</t>
  </si>
  <si>
    <t>محمود نصر محمد مصطفى هيبة</t>
  </si>
  <si>
    <t>01003704721</t>
  </si>
  <si>
    <t>وحدة 888 مكافحة إرهاب - مركز تدريب مخ وسطع - س 305 سطع - ك 9 سطع</t>
  </si>
  <si>
    <t>محمد جميل احمد عطوه</t>
  </si>
  <si>
    <t>01062162882</t>
  </si>
  <si>
    <t>س تشغيل بوابات الكشف عن مهربات / انفاق بورسعيد غرب رقم 3</t>
  </si>
  <si>
    <t>محمود عبدالحميد محمود عبدالحميد</t>
  </si>
  <si>
    <t>01014698055</t>
  </si>
  <si>
    <t>01212345681</t>
  </si>
  <si>
    <t xml:space="preserve">دند يط </t>
  </si>
  <si>
    <t>حفظ سلام ( جمهورية افريقيا الوسطى )</t>
  </si>
  <si>
    <t>احمد السواح يونس محمد</t>
  </si>
  <si>
    <t>01092930641</t>
  </si>
  <si>
    <t xml:space="preserve">اعزب </t>
  </si>
  <si>
    <t>س تشغيل بوابات الكشف عن مهربات معدية / كوبرى طه زكى</t>
  </si>
  <si>
    <t>احمد رأفت حسين محمد على</t>
  </si>
  <si>
    <t>ك 901 مش</t>
  </si>
  <si>
    <t xml:space="preserve">اعدادية </t>
  </si>
  <si>
    <t>01287945043</t>
  </si>
  <si>
    <t xml:space="preserve">ق الدخيلة </t>
  </si>
  <si>
    <t xml:space="preserve">ك88 مش /ل166 ميكا مقل </t>
  </si>
  <si>
    <t>يوسف محمود محمد الشيخ</t>
  </si>
  <si>
    <t>01030951763</t>
  </si>
  <si>
    <t>01021281814</t>
  </si>
  <si>
    <t>سنتريس</t>
  </si>
  <si>
    <t>جهاز النقل العام</t>
  </si>
  <si>
    <t>محمود عصمت محمد زكي</t>
  </si>
  <si>
    <t xml:space="preserve"> شنواي</t>
  </si>
  <si>
    <t>احمد عبدالعال احمد عبدالعال</t>
  </si>
  <si>
    <t>قيادة قطاع أسوان العسكري</t>
  </si>
  <si>
    <t>اقدم حكمدار بب ت 62</t>
  </si>
  <si>
    <t>1202122567</t>
  </si>
  <si>
    <t>متزوج و يعول</t>
  </si>
  <si>
    <t/>
  </si>
  <si>
    <t>ك 740 بب - ك 235 بب / قطاع برنيس العسكري - ك 5 بب ح ح مقلة</t>
  </si>
  <si>
    <t>حسين احمد حسين محمد</t>
  </si>
  <si>
    <t>عامل إصلاح معدات الإطفاء</t>
  </si>
  <si>
    <t>01122920196</t>
  </si>
  <si>
    <t>01125476108</t>
  </si>
  <si>
    <t>كفر ميت العبسي</t>
  </si>
  <si>
    <t xml:space="preserve">احمد ابراهيم محمد سليمان </t>
  </si>
  <si>
    <t>01117240484</t>
  </si>
  <si>
    <t>01030041173</t>
  </si>
  <si>
    <t>احمد كمال خلف محمد</t>
  </si>
  <si>
    <t>سائق بب ام 60 أ 3</t>
  </si>
  <si>
    <t>01270177328</t>
  </si>
  <si>
    <t>01225028474</t>
  </si>
  <si>
    <t>فزاره</t>
  </si>
  <si>
    <t>المراغه</t>
  </si>
  <si>
    <t xml:space="preserve">سوهاج </t>
  </si>
  <si>
    <t>ك 210 - ك 5 - ك 145</t>
  </si>
  <si>
    <t>محمد محمود عبدالقادر حسن</t>
  </si>
  <si>
    <t>01096748020</t>
  </si>
  <si>
    <t>ك 231 بب / ل116 مش ميكا مقل</t>
  </si>
  <si>
    <t>احمد فتحى محمد مرسى</t>
  </si>
  <si>
    <t>01055907219</t>
  </si>
  <si>
    <t>احمد سيد على ذكى</t>
  </si>
  <si>
    <t>غرف حبس منقباد</t>
  </si>
  <si>
    <t>إدارة المشاة</t>
  </si>
  <si>
    <t xml:space="preserve">مساعد تعليم </t>
  </si>
  <si>
    <t>01099050414</t>
  </si>
  <si>
    <t>خشونة بالفقرات القطنية</t>
  </si>
  <si>
    <t>محمد أحمد عبدالعال ابراهيم</t>
  </si>
  <si>
    <t>أجهزة قيادة</t>
  </si>
  <si>
    <t>رقيب ف خدمة وحراسة</t>
  </si>
  <si>
    <t>01007813851</t>
  </si>
  <si>
    <t>2920805200931</t>
  </si>
  <si>
    <t>عمرو محمد عبدالرحيم عبدالعزيز</t>
  </si>
  <si>
    <t xml:space="preserve"> كاتب عسكري/ راتب عالى</t>
  </si>
  <si>
    <t>01021597751</t>
  </si>
  <si>
    <t>رافت محمد رشاد عبدالعزيز</t>
  </si>
  <si>
    <t>حكمدار جماعه مشاه</t>
  </si>
  <si>
    <t>01034665202</t>
  </si>
  <si>
    <t>احمد حسن احمد محمد</t>
  </si>
  <si>
    <t>حكمدار جماعة خدمة وحراسة</t>
  </si>
  <si>
    <t>01019110860</t>
  </si>
  <si>
    <t>سامي الشحات ابراهيم الشاعرة</t>
  </si>
  <si>
    <t>ف 84 ش ع</t>
  </si>
  <si>
    <t>01067343058</t>
  </si>
  <si>
    <t>01015876182</t>
  </si>
  <si>
    <t>مستناد</t>
  </si>
  <si>
    <t>2 مستوي</t>
  </si>
  <si>
    <t>محمود عبدالمجيد عبدالموجود الخولى</t>
  </si>
  <si>
    <t>01021224057</t>
  </si>
  <si>
    <t>01095118997</t>
  </si>
  <si>
    <t>مجمع الحداد</t>
  </si>
  <si>
    <t>محمد محمود عطيه محمود الفيشاوى</t>
  </si>
  <si>
    <t>01026636268</t>
  </si>
  <si>
    <t>01062871302</t>
  </si>
  <si>
    <t>كفر المندرة</t>
  </si>
  <si>
    <t>احمد محمد عبدالباقى عبدالحميد</t>
  </si>
  <si>
    <t>01005754182</t>
  </si>
  <si>
    <t>01002391824</t>
  </si>
  <si>
    <t>الاحراز</t>
  </si>
  <si>
    <t>اسلام محمد شريف غريب احمد</t>
  </si>
  <si>
    <t>ك 313 بب</t>
  </si>
  <si>
    <t>ل 166 مش ميكا مقل</t>
  </si>
  <si>
    <t>سائق بب ت 55</t>
  </si>
  <si>
    <t>01002692554</t>
  </si>
  <si>
    <t>01229943617</t>
  </si>
  <si>
    <t>محمد احمد ابراهيم لبن</t>
  </si>
  <si>
    <t>قيادة المنطقة الجنوبية العسكرية</t>
  </si>
  <si>
    <t>سعيد عبدالحفيظ ابراهيم</t>
  </si>
  <si>
    <t>حكمدار مجموعات تحريات</t>
  </si>
  <si>
    <t>01080492999</t>
  </si>
  <si>
    <t>عزبة شبرا</t>
  </si>
  <si>
    <t>أيمن عبدالحميد عبدالصمد خلف الله</t>
  </si>
  <si>
    <t>رقيب أ سرية ش ع</t>
  </si>
  <si>
    <t>01021704530</t>
  </si>
  <si>
    <t>حامد احمد عبدالصادق محمد</t>
  </si>
  <si>
    <t>حكمدار مكتب تحقيقات</t>
  </si>
  <si>
    <t>01090705196</t>
  </si>
  <si>
    <t>النخاس</t>
  </si>
  <si>
    <t>احمد شعبان سعد علام ابراهيم</t>
  </si>
  <si>
    <t>01093064046</t>
  </si>
  <si>
    <t>الصفاصيف</t>
  </si>
  <si>
    <t>خالد درويش احمد درويش</t>
  </si>
  <si>
    <t xml:space="preserve">حكمدار مكتب التخطيط والمتابعة </t>
  </si>
  <si>
    <t>01015353681</t>
  </si>
  <si>
    <t>شبرا ريس</t>
  </si>
  <si>
    <t>محمد عبدالعال محمد قباص</t>
  </si>
  <si>
    <t>حكمدار مكتب تنفيذ أحكام</t>
  </si>
  <si>
    <t>01121388288</t>
  </si>
  <si>
    <t>13شارع حنظلة بن ربيعة</t>
  </si>
  <si>
    <t>محمد على نعمان سالم</t>
  </si>
  <si>
    <t>حكمدار مكتب أحراز</t>
  </si>
  <si>
    <t>01099604334</t>
  </si>
  <si>
    <t>الوحدة العربية</t>
  </si>
  <si>
    <t>محمود عادل محمد اسماعيل</t>
  </si>
  <si>
    <t>01025766450</t>
  </si>
  <si>
    <t>شرشابه</t>
  </si>
  <si>
    <t>احمد سيد امام عبدالعال</t>
  </si>
  <si>
    <t>01064199509</t>
  </si>
  <si>
    <t>نجع العرب قبلى</t>
  </si>
  <si>
    <t>اسلام ناجى على محمود</t>
  </si>
  <si>
    <t>01003847609</t>
  </si>
  <si>
    <t>اولاد نجم القبلية</t>
  </si>
  <si>
    <t>محمد عبدالحميد محمد عبدالحميد</t>
  </si>
  <si>
    <t>01030783539</t>
  </si>
  <si>
    <t>سنطيس</t>
  </si>
  <si>
    <t xml:space="preserve">سامح السيد سعيد السيد </t>
  </si>
  <si>
    <t>01228299182</t>
  </si>
  <si>
    <t>منية بنى موسي</t>
  </si>
  <si>
    <t>محمد ممدوح عبده البسيونى</t>
  </si>
  <si>
    <t>عبدالسميع محمد عبدالسميع يوسف</t>
  </si>
  <si>
    <t>هيثم محمد محمد العيسوى بريه</t>
  </si>
  <si>
    <t>شعيب محمدين منصور محمد</t>
  </si>
  <si>
    <t>محمد السيد عبداللطيف عبدالمجيد</t>
  </si>
  <si>
    <t>عمر مصطفى سليم عبدالحميد</t>
  </si>
  <si>
    <t>جلال ابراهيم الدسوقى متولى محمد</t>
  </si>
  <si>
    <t>باسم احمد عبدالفتاح حسن</t>
  </si>
  <si>
    <t>هانى طلعت محمود شبل</t>
  </si>
  <si>
    <t>ايهاب رمضان ابراهيم احمد</t>
  </si>
  <si>
    <t>محمود محمد محمد عبدالعاطي</t>
  </si>
  <si>
    <t>أشرف ماهر أبو زيد اسماعيل</t>
  </si>
  <si>
    <t xml:space="preserve">محمد عبدالهادى سالمان عبدالهادي </t>
  </si>
  <si>
    <t>احمد مجدى باتع احمد على</t>
  </si>
  <si>
    <t>مصطفي ابراهيم محمد الغول</t>
  </si>
  <si>
    <t>محمد فرج انور فرج</t>
  </si>
  <si>
    <t>عمرو هلالى عبدالغنى الهلالى</t>
  </si>
  <si>
    <t>هشام محمدى ابراهيم محمد ابراهيم</t>
  </si>
  <si>
    <t>احمد عوض عبدالعال حجاج</t>
  </si>
  <si>
    <t>وائل شحات عبدالعليم محمد</t>
  </si>
  <si>
    <t>تامر حمدى عبدالخالق ابراهيم</t>
  </si>
  <si>
    <t>كمال محمد كمال احمد</t>
  </si>
  <si>
    <t>رامى محمد يونس حمود</t>
  </si>
  <si>
    <t>احمد شوقي مصطفي صالح</t>
  </si>
  <si>
    <t>احمد صبرى فرج عبد الرسول الشنشورى</t>
  </si>
  <si>
    <t>محمد عبدالحميد عبدالعزيز عمر</t>
  </si>
  <si>
    <t>التهامى سمير عبدالبديع محمد عبدالمنعم</t>
  </si>
  <si>
    <t>محمد عبدالعزيز احمد عبدالعزيز</t>
  </si>
  <si>
    <t>سامح محمد السيد ابوسمن</t>
  </si>
  <si>
    <t>السيد فكري احمد ضيف الشافعي</t>
  </si>
  <si>
    <t>محمد مصطفى حسن مصطفى</t>
  </si>
  <si>
    <t>محمد هاني رمضان عبدالفتاح</t>
  </si>
  <si>
    <t>محمد احمد عبدالمنعم محمد</t>
  </si>
  <si>
    <t xml:space="preserve">محمد عاطف محمد عبدالنعيم </t>
  </si>
  <si>
    <t>احمد عبدالمنعم رجب مجاور</t>
  </si>
  <si>
    <t>يوسف عادل شعبان السيد خليفة</t>
  </si>
  <si>
    <t>محمد احمد على محمد المقدم</t>
  </si>
  <si>
    <t>محمد احمد عبدالمنعم عبدالعظيم سالم</t>
  </si>
  <si>
    <t>محمود محمد سعد كامل</t>
  </si>
  <si>
    <t>محمد ابراهيم امين زيدان</t>
  </si>
  <si>
    <t>احمد عادل عبدالعاطى عاشور</t>
  </si>
  <si>
    <t>محمد ابراهيم مصطفى عبدالعال</t>
  </si>
  <si>
    <t>أحمد ممتاز نصر محمد عثمان</t>
  </si>
  <si>
    <t xml:space="preserve">السعيد ابراهيم محمد زناتى </t>
  </si>
  <si>
    <t>خالد عبده محمد عبدالجواد</t>
  </si>
  <si>
    <t>سعيد شوقي شعبان عبدالحميد</t>
  </si>
  <si>
    <t>عبداللطيف عبدالمنصف عبداللطيف</t>
  </si>
  <si>
    <t xml:space="preserve">عبدالرحمن ممدوح احمد محمد </t>
  </si>
  <si>
    <t>حسام عبدالرشيد محمد ابراهيم</t>
  </si>
  <si>
    <t>عبدالرحمن محمد محمد الغريب</t>
  </si>
  <si>
    <t xml:space="preserve">محمود محمود محمد عبدالحميد </t>
  </si>
  <si>
    <t>امير يحي فرج فريد</t>
  </si>
  <si>
    <t>محمد بركات السعيد راضى</t>
  </si>
  <si>
    <t xml:space="preserve">محمود محمد محمود محمد </t>
  </si>
  <si>
    <t>محمد السيد قنديل عبدالنبي</t>
  </si>
  <si>
    <t xml:space="preserve">احمد عنتر محمود إبراهيم </t>
  </si>
  <si>
    <t>صف تعليمى</t>
  </si>
  <si>
    <t>01224736140</t>
  </si>
  <si>
    <t>مكتب مساعد قائد المنطقة</t>
  </si>
  <si>
    <t>يوسف محمود يوسف محمد</t>
  </si>
  <si>
    <t xml:space="preserve">ايمن صبحى السيد عبدالحميد </t>
  </si>
  <si>
    <t>السيد عيد عبدالسلام عيد</t>
  </si>
  <si>
    <t>محمد صبرى عبدالعزيز عطوة</t>
  </si>
  <si>
    <t>تاج الدين سعد محمد عبدالرحيم</t>
  </si>
  <si>
    <t>احمد سعيد عبدالكريم احمد</t>
  </si>
  <si>
    <t>السيد محمد فهيم عبدالرازق</t>
  </si>
  <si>
    <t>محمد السيد عبدالفتاح محمد</t>
  </si>
  <si>
    <t>سامى علاء عبدلله عبدالوھاب النكلاوى</t>
  </si>
  <si>
    <t>محمود بدرى عبدالجابر ابراھیم</t>
  </si>
  <si>
    <t>احمد فتوح على السيد زوين</t>
  </si>
  <si>
    <t>هاني مصطفى محمد عبدالعظيم</t>
  </si>
  <si>
    <t>احمد حمدي علي احمد</t>
  </si>
  <si>
    <t xml:space="preserve">احمد محمد عبدالمنعم مصطفى </t>
  </si>
  <si>
    <t>01018127294</t>
  </si>
  <si>
    <t>01025402530</t>
  </si>
  <si>
    <t xml:space="preserve">شوبر </t>
  </si>
  <si>
    <t xml:space="preserve">محمد علي عبدالبصير علي </t>
  </si>
  <si>
    <t>مصطفي عبدالمقصود عبدربه عبدربه قبيل</t>
  </si>
  <si>
    <t>عبدالرحمن صبحى محمد عبدالبارى محمد يوسف</t>
  </si>
  <si>
    <t>محمد صبري فتحي قاسم</t>
  </si>
  <si>
    <t>عفيفى سامي عبدالفتاح السيد</t>
  </si>
  <si>
    <t>محمد رمضان عبدالباقى مطر</t>
  </si>
  <si>
    <t>محمد سعيد احمد محمد</t>
  </si>
  <si>
    <t xml:space="preserve">محمود عبدالواحد محمد عطية </t>
  </si>
  <si>
    <t>محمود محمد زكريا محمود</t>
  </si>
  <si>
    <t>محمود محمد محمود منوفي</t>
  </si>
  <si>
    <t>محمود اشرف سيد احمد البسيونى</t>
  </si>
  <si>
    <t>احمد يسرى حماده محمد عزام</t>
  </si>
  <si>
    <t>محمد احمد بيومى مغاورى</t>
  </si>
  <si>
    <t>احمد رمضان حسن محمد</t>
  </si>
  <si>
    <t xml:space="preserve">محمد عبدالرحمن شحاته بلال </t>
  </si>
  <si>
    <t>عطيه حسين عبدالوهاب حسين</t>
  </si>
  <si>
    <t>عبدالحميد مسعد عبدالحميد توفيق</t>
  </si>
  <si>
    <t>ضياء رزق عبدالفتاح احمد</t>
  </si>
  <si>
    <t>عبده شعبان عبده عزام</t>
  </si>
  <si>
    <t>عمرو اسامة فتحى احمد البسطويسى</t>
  </si>
  <si>
    <t>محمد أحمد شعبان أبوطبيخ</t>
  </si>
  <si>
    <t>01010064920</t>
  </si>
  <si>
    <t>01027520892</t>
  </si>
  <si>
    <t>ميت يزيد</t>
  </si>
  <si>
    <t>ك251 بب / ل 22 مدرع</t>
  </si>
  <si>
    <t>زياد محمد سرور محمد</t>
  </si>
  <si>
    <t>مجدى عبدالغنى ابراهيم</t>
  </si>
  <si>
    <t>سائق بب ت ٥٥</t>
  </si>
  <si>
    <t>01226554287</t>
  </si>
  <si>
    <t>محمد احمد محمد حسان</t>
  </si>
  <si>
    <t>هشام كرم عبده احمد</t>
  </si>
  <si>
    <t>اسلام خالد رشاد فارس</t>
  </si>
  <si>
    <t>محمود عبده محمد عبده الغندور</t>
  </si>
  <si>
    <t>محمد ابوالفضل محمد ابراهيم</t>
  </si>
  <si>
    <t>ك المقر</t>
  </si>
  <si>
    <t>محمد احمد محمد عمر</t>
  </si>
  <si>
    <t>محمد صبحى بسيونى عيد</t>
  </si>
  <si>
    <t>محمد السيد محمد حسين مشالى</t>
  </si>
  <si>
    <t>ضياء السيد عبدالسميع ابوشل</t>
  </si>
  <si>
    <t>ابراهيم عبدالمنعم ابراهيم جمعه</t>
  </si>
  <si>
    <t>محمود ماهر جوده على محمد</t>
  </si>
  <si>
    <t>حمدى احمد عبدالوهاب على</t>
  </si>
  <si>
    <t>عبدالله حمدى عبدالله زايد</t>
  </si>
  <si>
    <t>على حسن ابوزيد عبداللاه</t>
  </si>
  <si>
    <t>سعيد حامد احمد عبدالله حسان</t>
  </si>
  <si>
    <t>محمد على احمد مسعود</t>
  </si>
  <si>
    <t>محمد احمد صفوت احمد</t>
  </si>
  <si>
    <t>علي ابراهيم حسانين احمد</t>
  </si>
  <si>
    <t>محمد محمود أنور عبدالعال</t>
  </si>
  <si>
    <t>رضا مأمون شاكر محمد</t>
  </si>
  <si>
    <t>شادى محمد نصر السكرمى</t>
  </si>
  <si>
    <t>احمد لطفى احمد سليمان</t>
  </si>
  <si>
    <t>حسام حسن فتح الله</t>
  </si>
  <si>
    <t xml:space="preserve">محمود جمال فكرى يوسف </t>
  </si>
  <si>
    <t xml:space="preserve">عرفة حسن حسين عطية </t>
  </si>
  <si>
    <t>عبدالله عنتر احمد محمد</t>
  </si>
  <si>
    <t>سامح سعيد محمد بدر النجار</t>
  </si>
  <si>
    <t>احمد عبدالرحمن احمد دراز</t>
  </si>
  <si>
    <t>عبدالعزيز سعيد محمد محمد</t>
  </si>
  <si>
    <t>رامي سعيد محمود نور عبداللاه</t>
  </si>
  <si>
    <t>1/1/226</t>
  </si>
  <si>
    <t>01282860370</t>
  </si>
  <si>
    <t xml:space="preserve">النهضة </t>
  </si>
  <si>
    <t xml:space="preserve">محمود </t>
  </si>
  <si>
    <t>عادل ابراهيم ابراهيم احمد ماضي</t>
  </si>
  <si>
    <t>وائل الطنطاوى محمد الطنطاوى</t>
  </si>
  <si>
    <t xml:space="preserve">ك مهندسين عسكريين مختلط </t>
  </si>
  <si>
    <t>عماد اشرف عماد الدين راشد</t>
  </si>
  <si>
    <t>يوسف محمدى محمدى الفخرنى</t>
  </si>
  <si>
    <t>حكمدار طاقم بب ت 62</t>
  </si>
  <si>
    <t>01028839506</t>
  </si>
  <si>
    <t>الامن الحربى م ج ع</t>
  </si>
  <si>
    <t>محمد احمد عوده امام دبور</t>
  </si>
  <si>
    <t>ابراهيم حسن علي حسين</t>
  </si>
  <si>
    <t>محمد سعد السيد السيد عبدالرحمن</t>
  </si>
  <si>
    <t>فرحات السيد فرحات محمد قابيل</t>
  </si>
  <si>
    <t>محمد جابر راشد سيد</t>
  </si>
  <si>
    <t>علاء نور محمد رجب الكريدي</t>
  </si>
  <si>
    <t>محمد عبدالكريم ياسر البابلى</t>
  </si>
  <si>
    <t>حسن ممدوح عبدالرحمن حجازى</t>
  </si>
  <si>
    <t>السيد محمد ابراهيم امين</t>
  </si>
  <si>
    <t>محمد عبده فريج محمد سيف</t>
  </si>
  <si>
    <t>محمود نصيب قاسم نصيب</t>
  </si>
  <si>
    <t>احمد ربيع احمد الشرنوبى</t>
  </si>
  <si>
    <t>مصطفي محمد عواد محمد</t>
  </si>
  <si>
    <t>01020946438</t>
  </si>
  <si>
    <t>01069418557</t>
  </si>
  <si>
    <t>كفر طحا</t>
  </si>
  <si>
    <t>نادى الفروسية - مركز تدريب مشترك المدرعات - نادى الفروسية - قيادة فر 4 مدرع</t>
  </si>
  <si>
    <t xml:space="preserve">محمد منير قاسم جعفر قاسم </t>
  </si>
  <si>
    <t>01060646370</t>
  </si>
  <si>
    <t>01060345671</t>
  </si>
  <si>
    <t>عزبة جعفر</t>
  </si>
  <si>
    <t xml:space="preserve">19 تعيينات - مركز تدريب هيئة امداد وتموين رقم 2 - مركز تدريب هيئة امداد وتموين رقم 1 - ك 2 نقل أفراد - ك 4 نقل أفراد - كتيبة نقل مختلط </t>
  </si>
  <si>
    <t>عمرو محمد سعید على</t>
  </si>
  <si>
    <t>01027676366</t>
  </si>
  <si>
    <t>01149861573</t>
  </si>
  <si>
    <t>المندرة بحرى</t>
  </si>
  <si>
    <t>قيا ل24 م/ فر 23 مش - مستودع المرتجعات</t>
  </si>
  <si>
    <t xml:space="preserve">احمد عبدالرافع حسن البيه </t>
  </si>
  <si>
    <t>01017201145</t>
  </si>
  <si>
    <t>01285649912</t>
  </si>
  <si>
    <t>كفر حنوت</t>
  </si>
  <si>
    <t xml:space="preserve">س 716 نقل - ك 32 نقل - س 4 تشهيلات - كتيبة نقل م ج ع </t>
  </si>
  <si>
    <t>يحي زكريا محمد محمد زقزوق</t>
  </si>
  <si>
    <t>رقيب فصيلة شحن وتفريغ</t>
  </si>
  <si>
    <t>01012224867</t>
  </si>
  <si>
    <t>01026622671</t>
  </si>
  <si>
    <t>السوالم قلبي</t>
  </si>
  <si>
    <t>س 94 مظلات - ك 33 نقل مختلط - كتيبة نقل مختلط م ج ع</t>
  </si>
  <si>
    <t>اسلام محمد يوسف موسي</t>
  </si>
  <si>
    <t>كاتب أفراد</t>
  </si>
  <si>
    <t>01276828649</t>
  </si>
  <si>
    <t>01208026354</t>
  </si>
  <si>
    <t xml:space="preserve">دمليج </t>
  </si>
  <si>
    <t xml:space="preserve">رئاسة هيئة امداد وتموين - مركز الامداد الالي - كتيبة نقل مختلط م ج ع </t>
  </si>
  <si>
    <t>وليد مغربى عبدالمعطى سيد</t>
  </si>
  <si>
    <t>01157739013</t>
  </si>
  <si>
    <t>بركة الحاج</t>
  </si>
  <si>
    <t>محمد ابراهيم حامد القبلاوى</t>
  </si>
  <si>
    <t>01024284571</t>
  </si>
  <si>
    <t>01220597820</t>
  </si>
  <si>
    <t>محلة داود</t>
  </si>
  <si>
    <t xml:space="preserve">احمد صبرى حسين حسين </t>
  </si>
  <si>
    <t>رامى بب ت 62</t>
  </si>
  <si>
    <t>01060743413</t>
  </si>
  <si>
    <t>محمد فكرى مسعود عبدالرحمن</t>
  </si>
  <si>
    <t>مجمع ميادين الرماية رقم 23 ( ك المقر )</t>
  </si>
  <si>
    <t>محمد باز محمد احمد</t>
  </si>
  <si>
    <t>مصطفى عيد محمد عبدالحميد</t>
  </si>
  <si>
    <t>محمود عبدالمنعم محمود محمد</t>
  </si>
  <si>
    <t>مدرسة المعركة والامداد بالرجال</t>
  </si>
  <si>
    <t>مساعد تعليم</t>
  </si>
  <si>
    <t>01009008320</t>
  </si>
  <si>
    <t>صدفا</t>
  </si>
  <si>
    <t xml:space="preserve">قيا ل 305 مش - ك 336 مش - ك 137 دفاع اقليمي - ك 602 مش - ك 603 مش - ك 267 مش </t>
  </si>
  <si>
    <t>حاتم سميح محمود خفاجي</t>
  </si>
  <si>
    <t>01280987440</t>
  </si>
  <si>
    <t>أشمون</t>
  </si>
  <si>
    <t>س 305 - ك 137 مش - الكلية الحربية</t>
  </si>
  <si>
    <t>محمد سيد عبدالرحيم عبدالرحمن</t>
  </si>
  <si>
    <t>حكمدار جماعة مش ميكا</t>
  </si>
  <si>
    <t>السيد نجاح السيد رزق</t>
  </si>
  <si>
    <t>مدرسة المعركة والإمداد بالرجال</t>
  </si>
  <si>
    <t>01006173746</t>
  </si>
  <si>
    <t>01208586840</t>
  </si>
  <si>
    <t xml:space="preserve">بركة السبع </t>
  </si>
  <si>
    <t>جهاز الاستطلاع - س 26 سطع - ك 9 سطع</t>
  </si>
  <si>
    <t xml:space="preserve">على محمود السيد عبدالله </t>
  </si>
  <si>
    <t>01062735822</t>
  </si>
  <si>
    <t>باقور</t>
  </si>
  <si>
    <t xml:space="preserve">كلية الضباط الاحتياط </t>
  </si>
  <si>
    <t>صبحي سعد اسماعيل الاعصر</t>
  </si>
  <si>
    <t>01003015636</t>
  </si>
  <si>
    <t>الجيزة</t>
  </si>
  <si>
    <t>6 اكتوبر</t>
  </si>
  <si>
    <t>ك 269 بب - ك 250 بب</t>
  </si>
  <si>
    <t>محمود محمد عبدالحميد احمد</t>
  </si>
  <si>
    <t>ك 137 دفاع اقليمي - ك 262 مش - ك 33 مش - ك 258 مش</t>
  </si>
  <si>
    <t>محمد على موسى ضمرانى</t>
  </si>
  <si>
    <t>01015278200</t>
  </si>
  <si>
    <t>المطرية</t>
  </si>
  <si>
    <t>ك 888 مش - الكلية الحربية - ك 155 مش - ك 12 مش - ك 11 مش</t>
  </si>
  <si>
    <t xml:space="preserve">احمد عيسى حسنى حسن </t>
  </si>
  <si>
    <t>01018091997</t>
  </si>
  <si>
    <t>الفيوم</t>
  </si>
  <si>
    <t>سنورس</t>
  </si>
  <si>
    <t>سرية انفاق بورسعيد - ك 15 ح ح - ك 105 ح ح - الفوج الاول ح ح</t>
  </si>
  <si>
    <t>هيثم محمد محمد منيب</t>
  </si>
  <si>
    <t>01513836589</t>
  </si>
  <si>
    <t>ل 313 مش - س 313 سطع - معهد المدرعات - ك 313 بب</t>
  </si>
  <si>
    <t>صابر عبدالحى عبدالرؤوف الحرون</t>
  </si>
  <si>
    <t>01050029640</t>
  </si>
  <si>
    <t>قلين</t>
  </si>
  <si>
    <t>ك 902 مش - قيا 117 مش ميكا مقل</t>
  </si>
  <si>
    <t>احمد سالم مسلم بهنساوى غريب</t>
  </si>
  <si>
    <t>حكمدار طاقم امن</t>
  </si>
  <si>
    <t>01146991959</t>
  </si>
  <si>
    <t>قيا ل 117 مش ميكا مقل - هيئة تفتيش ق.م - هيئة بحوث ق.م - ك 645 مظلات - ك 80 مظلات - ك 20 مظلات</t>
  </si>
  <si>
    <t>محمود عطية الصافي علواني</t>
  </si>
  <si>
    <t>01014112093</t>
  </si>
  <si>
    <t>حوش عيسي</t>
  </si>
  <si>
    <t>ك 151 مش - ك 155 مش</t>
  </si>
  <si>
    <t>خالد محمد خيرى محمود محمد</t>
  </si>
  <si>
    <t>01062661694</t>
  </si>
  <si>
    <t>أبو تيج</t>
  </si>
  <si>
    <t>ك 362 مش</t>
  </si>
  <si>
    <t>عثمان رجب عثمان الفيومي</t>
  </si>
  <si>
    <t>01044105719</t>
  </si>
  <si>
    <t>ك 740 بب - ك 235 بب / قطاع برنيس العسكري</t>
  </si>
  <si>
    <t xml:space="preserve">السيد زاهر السيد عبدالعليم </t>
  </si>
  <si>
    <t>01013200414</t>
  </si>
  <si>
    <t>المحمودية</t>
  </si>
  <si>
    <t>قيا م ج ع</t>
  </si>
  <si>
    <t>سعيد رضا شبل خلف</t>
  </si>
  <si>
    <t>01064481058</t>
  </si>
  <si>
    <t>قيا قطاع برنيس العسكري</t>
  </si>
  <si>
    <t>اسلام محمد عبدالمنعم عبدالعليم سالم</t>
  </si>
  <si>
    <t>إدارة التعيينات</t>
  </si>
  <si>
    <t>حرفي</t>
  </si>
  <si>
    <t>طاهى</t>
  </si>
  <si>
    <t>01283936602</t>
  </si>
  <si>
    <t>قيا ل 30 مش ميكا</t>
  </si>
  <si>
    <t>العدوي حسن احمد حسانين</t>
  </si>
  <si>
    <t>مستشفى سوهاج العسكرى</t>
  </si>
  <si>
    <t>محمد احمد فؤاد فتح الله</t>
  </si>
  <si>
    <t xml:space="preserve">حسن احمد حسانين محمد </t>
  </si>
  <si>
    <t>احمد عصمت فتح الله عبدالحفيظ</t>
  </si>
  <si>
    <t>منى شعبان على عثمان</t>
  </si>
  <si>
    <t>محمد كمال حسين عبدالحليم</t>
  </si>
  <si>
    <t>ابتسام عبدالصبور عبدالحافظ</t>
  </si>
  <si>
    <t>فاطمه الزهراء احمد عبده ابوطالب</t>
  </si>
  <si>
    <t>كريمه سيد على احمد سلامه</t>
  </si>
  <si>
    <t>ندي ممدوح عبدالخالق محمد</t>
  </si>
  <si>
    <t>انتصار غضبان عبدالحكيم فراج</t>
  </si>
  <si>
    <t>أسماء على جابر احمد</t>
  </si>
  <si>
    <t>ساره جمال محمد علي</t>
  </si>
  <si>
    <t>روجينا عماد رمزى</t>
  </si>
  <si>
    <t>ايه رمضان محمد احمد</t>
  </si>
  <si>
    <t>نوره عصام محمد عيسي</t>
  </si>
  <si>
    <t>حنان عبدالنعيم قطب عبدالنعيم</t>
  </si>
  <si>
    <t>رحمة سمير ابوالفضل عباس</t>
  </si>
  <si>
    <t xml:space="preserve">اماني احمد خلف يوسف </t>
  </si>
  <si>
    <t>امل صلاح شعبوني احمد</t>
  </si>
  <si>
    <t>ياسمين اسماعيل عبدالحافظ عبدالمجيد</t>
  </si>
  <si>
    <t>رحاب اشرف عبدالفتاح عارف</t>
  </si>
  <si>
    <t>فاطمة السيد عبدالعال حماد</t>
  </si>
  <si>
    <t xml:space="preserve">ندا محمد ابراهيم هريدى </t>
  </si>
  <si>
    <t>ايه احمد سلمان محمد</t>
  </si>
  <si>
    <t>نداء محمد على فراج</t>
  </si>
  <si>
    <t>عابد منياوى سيد عثمان</t>
  </si>
  <si>
    <t>ايهاب مصطفى محمد مصطفى</t>
  </si>
  <si>
    <t>مريم طلعت هاشم محمد</t>
  </si>
  <si>
    <t>مارينا ماهر رمزي ميخائيل</t>
  </si>
  <si>
    <t xml:space="preserve">ايه مصطفى بدرى على </t>
  </si>
  <si>
    <t>مريانه رومانى جاد جادالله</t>
  </si>
  <si>
    <t>عبير محمد سلیم عباس</t>
  </si>
  <si>
    <t>دينا احمد خليفه محمود</t>
  </si>
  <si>
    <t>هبه محمود احمد محمد</t>
  </si>
  <si>
    <t>الشيماء حسن محمد حسن</t>
  </si>
  <si>
    <t>اسماء صلاح على عبدالحليم</t>
  </si>
  <si>
    <t>رانيا محسن محمد محمد</t>
  </si>
  <si>
    <t>ماريهان محمد احمد محمود</t>
  </si>
  <si>
    <t>ايمان نبيل عبدالفتاح ابوالدهب</t>
  </si>
  <si>
    <t>اسراء مصطفي ابو الدهب</t>
  </si>
  <si>
    <t xml:space="preserve">عبدالجواد جمال عبالجواد محمود </t>
  </si>
  <si>
    <t>بسمه جمال مبارك حسن ملتم</t>
  </si>
  <si>
    <t>مها صلاح احمد امين</t>
  </si>
  <si>
    <t>ھند عبدالمعطى توفیق وھمان</t>
  </si>
  <si>
    <t>نورا احمد عبدالسميع راتب</t>
  </si>
  <si>
    <t>ايمان محمد عاطف ابراهيم</t>
  </si>
  <si>
    <t>ھدى احمد على محمد</t>
  </si>
  <si>
    <t>ندا صلاح محمد علي</t>
  </si>
  <si>
    <t>ايه بركه الله محمد رستم</t>
  </si>
  <si>
    <t>مصطفى محمد محمود ابوالحسن</t>
  </si>
  <si>
    <t>عبدالله صلاح عبدالله زهران</t>
  </si>
  <si>
    <t>ياسمين السيد أبو الحسن عبدالعال</t>
  </si>
  <si>
    <t>هايدى عبدالباسط عبدالخالق</t>
  </si>
  <si>
    <t>مصطفى محمد فرغل فھمى</t>
  </si>
  <si>
    <t>محمد عبدالكریم محمد محمد</t>
  </si>
  <si>
    <t>محمد احمد مصطفى محمد</t>
  </si>
  <si>
    <t>مستشفى منقباد العسكرى</t>
  </si>
  <si>
    <t>الثالثة  تمريض</t>
  </si>
  <si>
    <t>مدرسة التمريض العسكري ذكور</t>
  </si>
  <si>
    <t>ممرض علاجي</t>
  </si>
  <si>
    <t>0104021478</t>
  </si>
  <si>
    <t>01121448200</t>
  </si>
  <si>
    <t>اسيوط</t>
  </si>
  <si>
    <t>مطبعة م.ج.ع</t>
  </si>
  <si>
    <t>أحمد عبدالحميد محمد عبدالجواد</t>
  </si>
  <si>
    <t>الثامنة التمريض</t>
  </si>
  <si>
    <t>مدرسة التمريض العسكري</t>
  </si>
  <si>
    <t>فنى</t>
  </si>
  <si>
    <t>مركز اولاد صقر</t>
  </si>
  <si>
    <t>ايمن حسن عبدالعظيم صالح</t>
  </si>
  <si>
    <t>معهد فنى تمريض</t>
  </si>
  <si>
    <t>01002034094</t>
  </si>
  <si>
    <t>01503592929</t>
  </si>
  <si>
    <t>حدائق القبه</t>
  </si>
  <si>
    <t>العيادات الخارجية بمدينة</t>
  </si>
  <si>
    <t>احمد سيد محمد سليمان</t>
  </si>
  <si>
    <t>الحادية عشر مدرسة</t>
  </si>
  <si>
    <t>01551910777</t>
  </si>
  <si>
    <t>01156404688</t>
  </si>
  <si>
    <t>سوهاج</t>
  </si>
  <si>
    <t>مركز طما</t>
  </si>
  <si>
    <t xml:space="preserve">جمال احمد عباس السيد </t>
  </si>
  <si>
    <t>الأولى</t>
  </si>
  <si>
    <t>معهد صحي قوات مسلحة</t>
  </si>
  <si>
    <t>01013245745</t>
  </si>
  <si>
    <t>01231479854</t>
  </si>
  <si>
    <t>الاقصر</t>
  </si>
  <si>
    <t>اسنا</t>
  </si>
  <si>
    <t>مست اسوان العسكري</t>
  </si>
  <si>
    <t>مصطفي درويش زكي محمود</t>
  </si>
  <si>
    <t>01556687921</t>
  </si>
  <si>
    <t>0101701399</t>
  </si>
  <si>
    <t>مركز ابو تيج</t>
  </si>
  <si>
    <t>قسم الامن الحربي</t>
  </si>
  <si>
    <t>حسن احمد حسن عبدالبارى</t>
  </si>
  <si>
    <t>01556687927</t>
  </si>
  <si>
    <t>مركز الغنايم</t>
  </si>
  <si>
    <t>مصطفي محمود ذكي عبدالحافظ</t>
  </si>
  <si>
    <t>01126619070</t>
  </si>
  <si>
    <t>01003860140</t>
  </si>
  <si>
    <t>مركز اول اسيوط</t>
  </si>
  <si>
    <t xml:space="preserve">احمد سعيد سيد احمد </t>
  </si>
  <si>
    <t>الثانية معهد صحي</t>
  </si>
  <si>
    <t>01017106594</t>
  </si>
  <si>
    <t>01014607617</t>
  </si>
  <si>
    <t>مركز منوف</t>
  </si>
  <si>
    <t>محمد عماد حمدى عبدالعزيز</t>
  </si>
  <si>
    <t>الثالثة</t>
  </si>
  <si>
    <t>01094185853</t>
  </si>
  <si>
    <t>01236774954</t>
  </si>
  <si>
    <t>مركز منفلوط</t>
  </si>
  <si>
    <t>محمد رضا رمضان صديق</t>
  </si>
  <si>
    <t>الخامسة</t>
  </si>
  <si>
    <t>01092047075</t>
  </si>
  <si>
    <t>01026640455</t>
  </si>
  <si>
    <t>السنبلاوين</t>
  </si>
  <si>
    <t>محمد عادل احمد داود</t>
  </si>
  <si>
    <t>معهد ضباط صف معلمين</t>
  </si>
  <si>
    <t>تعينات</t>
  </si>
  <si>
    <t>طاهي</t>
  </si>
  <si>
    <t>01011548229</t>
  </si>
  <si>
    <t>01020230923</t>
  </si>
  <si>
    <t>مركز الحامول</t>
  </si>
  <si>
    <t>حسن محمد حسن يوسف</t>
  </si>
  <si>
    <t>01064716350</t>
  </si>
  <si>
    <t>01212514440</t>
  </si>
  <si>
    <t>احمد رمضان على رزق</t>
  </si>
  <si>
    <t>01156163730</t>
  </si>
  <si>
    <t>01158549657</t>
  </si>
  <si>
    <t>الفشن</t>
  </si>
  <si>
    <t>ايمن امام هاشم امام</t>
  </si>
  <si>
    <t>مستودع 19 تعيينات</t>
  </si>
  <si>
    <t>عبدالعال احمد عبدالعال احمد</t>
  </si>
  <si>
    <t>عبدالهادى يوسف السيد يوسف عثمان</t>
  </si>
  <si>
    <t>حمدي عارف رسلان صالح</t>
  </si>
  <si>
    <t>عمار سليمان حسن السبكي</t>
  </si>
  <si>
    <t>احمد سعد محمد السيد يوسف</t>
  </si>
  <si>
    <t>محمد عاطف محمد سليم</t>
  </si>
  <si>
    <t>محمود خالد سليمان حسن</t>
  </si>
  <si>
    <t>احمد وجدي حسن رمضان عايش</t>
  </si>
  <si>
    <t>محمد خميس منور فرهود</t>
  </si>
  <si>
    <t>احمد حمادة محمود محمد</t>
  </si>
  <si>
    <t>اشرف سمير صبري عبدالفتاح</t>
  </si>
  <si>
    <t>احمد عبدالفتاح عبدالمنعم الدكماوى</t>
  </si>
  <si>
    <t>محمد حسان جلال الدين عبدالهادى</t>
  </si>
  <si>
    <t>محمد صبرى احمد السيد ابراهيم</t>
  </si>
  <si>
    <t>عوض السيد رمضان عوض المزين</t>
  </si>
  <si>
    <t>صانع ماهر</t>
  </si>
  <si>
    <t>سامى محمد محمود علم الدين بدوى</t>
  </si>
  <si>
    <t>مستودع 27 مطبوعات</t>
  </si>
  <si>
    <t>أحمد رضا عبدالمغني خيشة</t>
  </si>
  <si>
    <t>فتحى يحى فتح الله اسماعيل</t>
  </si>
  <si>
    <t>احمد محمد محمد محمود مراد</t>
  </si>
  <si>
    <t>مستودع 27 وقود</t>
  </si>
  <si>
    <t>إدارة الوقود</t>
  </si>
  <si>
    <t>ميكانيكى طلمبات وقود آلية</t>
  </si>
  <si>
    <t>01008412535</t>
  </si>
  <si>
    <t>01020247899</t>
  </si>
  <si>
    <t>مستودع وقود المجموعة الأولى إمداد وقود - المجموعة الثانية إمداد وقود</t>
  </si>
  <si>
    <t>احمد سامى عليوة محمد</t>
  </si>
  <si>
    <t>01122533286</t>
  </si>
  <si>
    <t>المجموعة الثانية إمداد وقود - مستودع الوقود الفرعى رقم 21</t>
  </si>
  <si>
    <t>احمد ربيع ضاحى محمد</t>
  </si>
  <si>
    <t>عامل تشغيل مضخات ومحطات دفع الية</t>
  </si>
  <si>
    <t>01093701428</t>
  </si>
  <si>
    <t>01157209175</t>
  </si>
  <si>
    <t>الفتح</t>
  </si>
  <si>
    <t xml:space="preserve"> المجموعة الثالثة امداد وقود - المجموعة الثانية امداد وقود</t>
  </si>
  <si>
    <t>احمد محمد يوسف مؤمن</t>
  </si>
  <si>
    <t>خازن وقود</t>
  </si>
  <si>
    <t>01009685673</t>
  </si>
  <si>
    <t>01008424641</t>
  </si>
  <si>
    <t>ديرب نحم</t>
  </si>
  <si>
    <t>مستودع الوقود الرئيسي رقم 1 - س 41 ش ع</t>
  </si>
  <si>
    <t>عصام فوزي محمد سعد</t>
  </si>
  <si>
    <t>الشركة الوطنية لإستصلاح الأراضى</t>
  </si>
  <si>
    <t>رئاسة عامة</t>
  </si>
  <si>
    <t>جهاز مشروعات الخدمة الوطنية</t>
  </si>
  <si>
    <t>مصطفى خالد مصطفى زيدانة</t>
  </si>
  <si>
    <t>01211857203</t>
  </si>
  <si>
    <t xml:space="preserve">مركز تدريب مشترك هيئة امداد وتموين رقم 1 - محطة التزويد بالغاز والشحن بالكهرباء - المجموعة الثالثة امداد وقود - مستودع وورشة معدات الوقود </t>
  </si>
  <si>
    <t xml:space="preserve">عمرو فهيم كمال على </t>
  </si>
  <si>
    <t>01001468128</t>
  </si>
  <si>
    <t>كتيبة خطوط انابيب الوقود 100مم</t>
  </si>
  <si>
    <t>محمد جمال محمد احمد جودة</t>
  </si>
  <si>
    <t>مستودع 30 اسلحة و ذخيرة</t>
  </si>
  <si>
    <t>01016077081</t>
  </si>
  <si>
    <t xml:space="preserve">مينا البصل </t>
  </si>
  <si>
    <t xml:space="preserve">الاسكندرية </t>
  </si>
  <si>
    <t xml:space="preserve">مستودع 25 ذخيرة / قيال 22مدرع س 122قيادة / س10كاميين فنى / وحدة ا د رقم 10 / مستودع ا د رقم 47 / مستودع 22 ذخيرة / وحدة ا د رقم 10 </t>
  </si>
  <si>
    <t>محمد مجدى محمد عبدالنبى</t>
  </si>
  <si>
    <t>01068692892</t>
  </si>
  <si>
    <t xml:space="preserve">ك107 ح ح ساحلى </t>
  </si>
  <si>
    <t>علاء محمد عبدالحمید عبدالغنى</t>
  </si>
  <si>
    <t>01069949602</t>
  </si>
  <si>
    <t>ك114 ح ح ساحلي</t>
  </si>
  <si>
    <t>ابراهيم حمدى محمد عجاج</t>
  </si>
  <si>
    <t>ك حرس حدود برى رقم 17</t>
  </si>
  <si>
    <t>الوفاقية</t>
  </si>
  <si>
    <t>الدلنجات</t>
  </si>
  <si>
    <t>احمد ابراھیم مصلحي شبل الجمال</t>
  </si>
  <si>
    <t>قويسنا</t>
  </si>
  <si>
    <t xml:space="preserve">محمود خلف محروص </t>
  </si>
  <si>
    <t xml:space="preserve">دبلوم صناعيى </t>
  </si>
  <si>
    <t>01121333073</t>
  </si>
  <si>
    <t xml:space="preserve">متزوج يعول </t>
  </si>
  <si>
    <t>مركز تدريب ا د مشترك / مستودع 27 ذخيرة / قيال 15 م / مستودع 45 ذخيرة / قيال المنطقة الجوبية / مستودع 30 ا د 30</t>
  </si>
  <si>
    <t>صلاح عبدالنعيم غانم سيد</t>
  </si>
  <si>
    <t>01041301259</t>
  </si>
  <si>
    <t>المطيعة</t>
  </si>
  <si>
    <t>الورشة 151 مدرعات - ك 540 مش ميكا - ك 245 مش ميكا - ك 311 مش ميكا - مركز تدريب مشترك المدرعات</t>
  </si>
  <si>
    <t>محمد أحمد عبدالغفار مصطفى صمول</t>
  </si>
  <si>
    <t xml:space="preserve">خازن اسلحة </t>
  </si>
  <si>
    <t>01021334539</t>
  </si>
  <si>
    <t xml:space="preserve">متزوج </t>
  </si>
  <si>
    <t xml:space="preserve">منوف </t>
  </si>
  <si>
    <t xml:space="preserve">المنوفية </t>
  </si>
  <si>
    <t xml:space="preserve">ورشة الفرقة الرابعة مدرعة </t>
  </si>
  <si>
    <t>السعيد على محمد على الرملاوى</t>
  </si>
  <si>
    <t>01279765338</t>
  </si>
  <si>
    <t xml:space="preserve">الغربية </t>
  </si>
  <si>
    <t>محمود حسين سليمان محمد</t>
  </si>
  <si>
    <t>01152658974</t>
  </si>
  <si>
    <t xml:space="preserve">دشنا </t>
  </si>
  <si>
    <t xml:space="preserve">قنا </t>
  </si>
  <si>
    <t>المستودع الفرعى أ د رقم 2</t>
  </si>
  <si>
    <t>احمد حمادة عبدالله محمد جمال</t>
  </si>
  <si>
    <t>01029334286</t>
  </si>
  <si>
    <t xml:space="preserve">طوخ </t>
  </si>
  <si>
    <t xml:space="preserve">القليوبية </t>
  </si>
  <si>
    <t xml:space="preserve">احمد علي عبدالعليم علي </t>
  </si>
  <si>
    <t xml:space="preserve">خ اسلحة </t>
  </si>
  <si>
    <t>01226324364</t>
  </si>
  <si>
    <t>ابوحمص</t>
  </si>
  <si>
    <t xml:space="preserve">البحيرة </t>
  </si>
  <si>
    <t>احمد محمد عبدالله سليمان</t>
  </si>
  <si>
    <t>01116572881</t>
  </si>
  <si>
    <t>01018789974</t>
  </si>
  <si>
    <t>منشية صهبره</t>
  </si>
  <si>
    <t xml:space="preserve">ديرب نجم </t>
  </si>
  <si>
    <t xml:space="preserve">الشرقية </t>
  </si>
  <si>
    <t>عبدالله عبدالمحسن عبدالله عمر</t>
  </si>
  <si>
    <t xml:space="preserve">دبلوم صنايع </t>
  </si>
  <si>
    <t>01140043132</t>
  </si>
  <si>
    <t>01030624061</t>
  </si>
  <si>
    <t xml:space="preserve">المنيا </t>
  </si>
  <si>
    <t>عمرو عبدالمنعم حسن فليفل</t>
  </si>
  <si>
    <t xml:space="preserve">م مدافع ميدان </t>
  </si>
  <si>
    <t>01069962492</t>
  </si>
  <si>
    <t xml:space="preserve">ايتاى البارود </t>
  </si>
  <si>
    <t>ورشة مدرعات الجيش رقم 21 / وحدة الاسلحة والذخيرة رقم 20</t>
  </si>
  <si>
    <t>محمد توكل سعد عيسى</t>
  </si>
  <si>
    <t xml:space="preserve">15 ص </t>
  </si>
  <si>
    <t>01557533551</t>
  </si>
  <si>
    <t xml:space="preserve">االسنطة </t>
  </si>
  <si>
    <t>ورشة مدرعات الجيش رقم 24 / الورشة المدرعات الفرعية رقم 102</t>
  </si>
  <si>
    <t xml:space="preserve">حماده محمد شعيب محمد </t>
  </si>
  <si>
    <t xml:space="preserve">ع ا اجهزة بصرية </t>
  </si>
  <si>
    <t>01099842148</t>
  </si>
  <si>
    <t xml:space="preserve">حوش عيسى </t>
  </si>
  <si>
    <t>الورشة الرئيسية للاسلحة رقم (1)</t>
  </si>
  <si>
    <t>محمد رمضان إسماعيل الفخرانى</t>
  </si>
  <si>
    <t>جناج</t>
  </si>
  <si>
    <t>بسيون</t>
  </si>
  <si>
    <t>ك 109 ح ح ساحلي</t>
  </si>
  <si>
    <t>محمد توفيق محمد السيد</t>
  </si>
  <si>
    <t xml:space="preserve">دبلوم </t>
  </si>
  <si>
    <t xml:space="preserve">ع اصلاح ذخيرة </t>
  </si>
  <si>
    <t>01144236265</t>
  </si>
  <si>
    <t xml:space="preserve">قويسنا </t>
  </si>
  <si>
    <t>ورشة رقم 1 ذخيرة / وحدة الذخيرة رقم 1</t>
  </si>
  <si>
    <t xml:space="preserve">خالد محى الدين حلمى امين الخولى </t>
  </si>
  <si>
    <t xml:space="preserve">خازن اصلاح </t>
  </si>
  <si>
    <t>01117743726</t>
  </si>
  <si>
    <t xml:space="preserve">امباية </t>
  </si>
  <si>
    <t xml:space="preserve">الجيزة </t>
  </si>
  <si>
    <t>مستودع 21 ذخيرة / وحدة ا د رقم 20 / مستودع 30 ذخيرة / المستودع الفرعى ا د رقم 3</t>
  </si>
  <si>
    <t>محمد حسن السيد محمد</t>
  </si>
  <si>
    <t>01128152465</t>
  </si>
  <si>
    <t xml:space="preserve">دسوق </t>
  </si>
  <si>
    <t xml:space="preserve">كفر الشيخ </t>
  </si>
  <si>
    <t>وحدة الذخيرة رقم 1</t>
  </si>
  <si>
    <t>احمد محمد محمد منصور محمد</t>
  </si>
  <si>
    <t>01121205434</t>
  </si>
  <si>
    <t xml:space="preserve">ورشة 1 اسلحة </t>
  </si>
  <si>
    <t>كريم ناصر رمضان كامل</t>
  </si>
  <si>
    <t>01002616004</t>
  </si>
  <si>
    <t xml:space="preserve">ناصر </t>
  </si>
  <si>
    <t xml:space="preserve">بنى سويف </t>
  </si>
  <si>
    <t xml:space="preserve">الورشة الرئيسية للذخيرة الغربية </t>
  </si>
  <si>
    <t>الامير كرم عبدالعاطى بكرى</t>
  </si>
  <si>
    <t xml:space="preserve">كاتب عسكرى </t>
  </si>
  <si>
    <t>01090117288</t>
  </si>
  <si>
    <t xml:space="preserve">ابوتشت </t>
  </si>
  <si>
    <t xml:space="preserve">رئاسة إدارة الاسلحة والذخيرة / المستودع الرئيسي لمرتجعات الردار  / والصورايخ ومحطات القدرة رقم 4 </t>
  </si>
  <si>
    <t xml:space="preserve">مصطفي محمود عبدالفتاح عبدالغفار </t>
  </si>
  <si>
    <t>01094796571</t>
  </si>
  <si>
    <t>المستودع الرئيسى للذخيرة رقم 21 / وحدة الذخيرة رق5م 2 / ل 22 مدرع / فر 33 ش ميكا / المستودع الميدانى  ا ذ رقم 37</t>
  </si>
  <si>
    <t>ممدوح ماهر محمد اسماعيل شلتوت</t>
  </si>
  <si>
    <t>8/82015</t>
  </si>
  <si>
    <t xml:space="preserve">خ ذخيرة </t>
  </si>
  <si>
    <t>01004330060</t>
  </si>
  <si>
    <t xml:space="preserve">الدقهلية </t>
  </si>
  <si>
    <t xml:space="preserve">الورشة الرئيسية للذخيرة الغربية / المستودع الميدانى  ا د رقم 37 / فوج تامين المجرى الملاحى ج 3 ميد / المستودع الرئيسيى للذخيرة رقم 23 </t>
  </si>
  <si>
    <t>محمد مجدى محمد الصدیق على</t>
  </si>
  <si>
    <t>ميت الفرماوي</t>
  </si>
  <si>
    <t>كريم محمد فوزي العماوي</t>
  </si>
  <si>
    <t>مستودع 38 مهمات</t>
  </si>
  <si>
    <t>إدارة المهمات</t>
  </si>
  <si>
    <t>01024395553</t>
  </si>
  <si>
    <t>01023725062</t>
  </si>
  <si>
    <t>مستودع المهمات رقم 105 - مستودع المهمات رقم 37 - مستودع المهمات رقم 11</t>
  </si>
  <si>
    <t>سعيد شبل سعيد شبل</t>
  </si>
  <si>
    <t>01212206568</t>
  </si>
  <si>
    <t>01285430819</t>
  </si>
  <si>
    <t>ياسين نادر ياسين يونس</t>
  </si>
  <si>
    <t>01010577635</t>
  </si>
  <si>
    <t>01064843061</t>
  </si>
  <si>
    <t xml:space="preserve">مركز السنطة </t>
  </si>
  <si>
    <t>فرع تحريات مجموعة الاعمال - وحدة 999 قتال - وحدة 777 قتال</t>
  </si>
  <si>
    <t>احمد ايمن زكريا</t>
  </si>
  <si>
    <t>حمدار طاقم تحريات</t>
  </si>
  <si>
    <t>01010685483</t>
  </si>
  <si>
    <t>01144116659</t>
  </si>
  <si>
    <t xml:space="preserve"> قسم تحريات م ش -  قسم تحريات ج ص - قسم تحريات ج س - قسم تحريات غ ق</t>
  </si>
  <si>
    <t>محمد على محمود عفصة</t>
  </si>
  <si>
    <t>01276304754</t>
  </si>
  <si>
    <t>01031632947</t>
  </si>
  <si>
    <t>عمرو الصافي عبدالقادر</t>
  </si>
  <si>
    <t>خازم مهمات</t>
  </si>
  <si>
    <t>01005862429</t>
  </si>
  <si>
    <t>01100741401</t>
  </si>
  <si>
    <t>جهاز الادارة والفنى للقيادة الاستراتيجية - وحدة رئيسية لانتاج المهمات رقم 3</t>
  </si>
  <si>
    <t xml:space="preserve">احمد سعيد محمد السيد </t>
  </si>
  <si>
    <t xml:space="preserve">حكمدار جماعة امن </t>
  </si>
  <si>
    <t>01008354802</t>
  </si>
  <si>
    <t>01005509712</t>
  </si>
  <si>
    <t>مستودع المهمات الرئيسى رقم 36</t>
  </si>
  <si>
    <t>وليد سمير عبدالعظيم</t>
  </si>
  <si>
    <t>خازن مهمات</t>
  </si>
  <si>
    <t>01226843993</t>
  </si>
  <si>
    <t>01147022531</t>
  </si>
  <si>
    <t>بني سويف</t>
  </si>
  <si>
    <t>حسين لطفى عبدالشافى عليوة</t>
  </si>
  <si>
    <t>01113174088</t>
  </si>
  <si>
    <t>01005230770</t>
  </si>
  <si>
    <t>كفرشكر</t>
  </si>
  <si>
    <t xml:space="preserve">مستودع المهمات رقم 11 المعادي - مستودع المهمات الرئيسى بدهشور </t>
  </si>
  <si>
    <t>محمود مسعد عزيز</t>
  </si>
  <si>
    <t>حكمدار مخزن مهمات</t>
  </si>
  <si>
    <t>01129627251</t>
  </si>
  <si>
    <t>01210096080</t>
  </si>
  <si>
    <t>سمسطا</t>
  </si>
  <si>
    <t>محمد فكرى محمد حسين</t>
  </si>
  <si>
    <t>01068009805</t>
  </si>
  <si>
    <t>01009905194</t>
  </si>
  <si>
    <t xml:space="preserve">ابو حماد </t>
  </si>
  <si>
    <t xml:space="preserve">السيد حمدى عبدالله السيد </t>
  </si>
  <si>
    <t>01005608051</t>
  </si>
  <si>
    <t>01008056416</t>
  </si>
  <si>
    <t>محمد فتحى على السيد السايح</t>
  </si>
  <si>
    <t>01069921329</t>
  </si>
  <si>
    <t>01019289117</t>
  </si>
  <si>
    <t>عبدالرحمن اشرف عبدالمرضى</t>
  </si>
  <si>
    <t>01278484971</t>
  </si>
  <si>
    <t>01223317895</t>
  </si>
  <si>
    <t>احمد خالد صلاح حميدة</t>
  </si>
  <si>
    <t>مستودع 5 مساحة</t>
  </si>
  <si>
    <t>إدارة المساحة العسكرية</t>
  </si>
  <si>
    <t>خازن فنى</t>
  </si>
  <si>
    <t>01065702114</t>
  </si>
  <si>
    <t>01126386048</t>
  </si>
  <si>
    <t>الهرم</t>
  </si>
  <si>
    <t>مستودع المساحة / فوج المساحة - مدرسة المساحة - المستودع الرئيسى - مستودع 7 مساحة / م غ ع - مستودع 5 مساحة - مستودع ج3ميد -مدرسة المساحة</t>
  </si>
  <si>
    <t>السيد عطية السيد عطية</t>
  </si>
  <si>
    <t>طباع أوفست</t>
  </si>
  <si>
    <t>01008545459</t>
  </si>
  <si>
    <t>01001538915</t>
  </si>
  <si>
    <t>كفر شكر</t>
  </si>
  <si>
    <t>المطابع الرئيسية للقوات المسلحة - ورشة الإشارة رقم (1) - المطابع الرئيسية للمساحة</t>
  </si>
  <si>
    <t>حسنى نجاح عبدالستار غنيم</t>
  </si>
  <si>
    <t>مدرب حواسب</t>
  </si>
  <si>
    <t>01003547782</t>
  </si>
  <si>
    <t>01147885022</t>
  </si>
  <si>
    <t>مجموعة إنتاج الخرائط</t>
  </si>
  <si>
    <t>محمد ثروت امین علام</t>
  </si>
  <si>
    <t>01021606164</t>
  </si>
  <si>
    <t>ك 110 ح ح ساحلي</t>
  </si>
  <si>
    <t>محمد محمد شقيق عبدالرازق</t>
  </si>
  <si>
    <t>01011060795</t>
  </si>
  <si>
    <t>س تشغيل بوابات الكشف عن مهربات / انفاق الاسماعاية غرب رقم 1</t>
  </si>
  <si>
    <t>حامد حامد محمود محمد شوشه</t>
  </si>
  <si>
    <t>مستودع 549 اشغال</t>
  </si>
  <si>
    <t>إدارة الأشغال العسكرية</t>
  </si>
  <si>
    <t>مساعد تعليم/ إدارة الأشغال</t>
  </si>
  <si>
    <t>01044288967</t>
  </si>
  <si>
    <t>01030607905</t>
  </si>
  <si>
    <t>ك 551 انشاءات - الفوج الثالث أشغال</t>
  </si>
  <si>
    <t>محمد ايهاب السيد سمك</t>
  </si>
  <si>
    <t>خازن عمارة</t>
  </si>
  <si>
    <t>01094488994</t>
  </si>
  <si>
    <t>01063257826</t>
  </si>
  <si>
    <t>الفوج 7 أشغال دفاع جوي</t>
  </si>
  <si>
    <t>مؤمن رزق محمد حسن</t>
  </si>
  <si>
    <t>مستودع 9 طب</t>
  </si>
  <si>
    <t>01024877903</t>
  </si>
  <si>
    <t>01063932051</t>
  </si>
  <si>
    <t xml:space="preserve"> سرية 766 طب / لواء 166 مشاة ميكانيكى مقل - مستشفى طنطا العسكري</t>
  </si>
  <si>
    <t>فتحى ايمن فتحى علم الدين احمد</t>
  </si>
  <si>
    <t>01005224069</t>
  </si>
  <si>
    <t>01025455480</t>
  </si>
  <si>
    <t>كلية الطب بالقوات المسلحة</t>
  </si>
  <si>
    <t>محمد رزق عبدالمقصود ابراهيم</t>
  </si>
  <si>
    <t>مستودع وورشة 9 كيما</t>
  </si>
  <si>
    <t>إدارة الحرب الكيميائية</t>
  </si>
  <si>
    <t>رقيب أول سرية تطهير</t>
  </si>
  <si>
    <t>01027680340</t>
  </si>
  <si>
    <t>01098038277</t>
  </si>
  <si>
    <t>14/3/31983</t>
  </si>
  <si>
    <t>ك37 كيما مقلة قوات جوية -ك49كيما مقلة-ك99سطع كيما /المجموعة 3كيما</t>
  </si>
  <si>
    <t>مدحت محمود محمد عواد</t>
  </si>
  <si>
    <t>دبلوم</t>
  </si>
  <si>
    <t>01027104330</t>
  </si>
  <si>
    <t>01013011400</t>
  </si>
  <si>
    <t>29301261400196</t>
  </si>
  <si>
    <t>قليوب</t>
  </si>
  <si>
    <t xml:space="preserve">كتيبة 37 كيما / الماظه-قيادة المنطقة  الجويه الجنوبية قاعدة بني سويف- انورشة 47 كيما قاعدة بني سويف </t>
  </si>
  <si>
    <t>طه محمد طه حسين</t>
  </si>
  <si>
    <t>دبلوم صناعي</t>
  </si>
  <si>
    <t xml:space="preserve">المستودع الكيميائي الرئيسي-الورشة الرئيسية للحرب الكيميائية </t>
  </si>
  <si>
    <t xml:space="preserve">مؤمن ابراهيم محمد عبدالحميد  </t>
  </si>
  <si>
    <t>23/2/20217</t>
  </si>
  <si>
    <t>عامل تحاليل</t>
  </si>
  <si>
    <t>01285214648</t>
  </si>
  <si>
    <t>01110793854</t>
  </si>
  <si>
    <t>مصنع الاجهزة الطبية للقوات المسلحة - المعامل الرئيسية للحرب الكيميائية</t>
  </si>
  <si>
    <t>خالد عبدالوكيل احمد على الشرقاوى</t>
  </si>
  <si>
    <t xml:space="preserve">كهربائي اجهزة </t>
  </si>
  <si>
    <t>01061955973</t>
  </si>
  <si>
    <t>011127471973</t>
  </si>
  <si>
    <t>بنها</t>
  </si>
  <si>
    <t>القليوبيه</t>
  </si>
  <si>
    <t>المعاما الرئيسية للحرب الكيميائية - المستودع والاورشة ح كيما رقم 6</t>
  </si>
  <si>
    <t>حسن صابور حسن عبدالموجود</t>
  </si>
  <si>
    <t>01061153517</t>
  </si>
  <si>
    <t>01000292493</t>
  </si>
  <si>
    <t>الزاوية</t>
  </si>
  <si>
    <t>ك 530 مش ميكا - ك 236 بب</t>
  </si>
  <si>
    <t>اسلام عاطف مرسى حمزة</t>
  </si>
  <si>
    <t>01029411190</t>
  </si>
  <si>
    <t>01029412223</t>
  </si>
  <si>
    <t xml:space="preserve">اشمون </t>
  </si>
  <si>
    <t>المستودع و الورشة ح كيما رقم 3 - المعامل الرئيسية للحرب الكيميائية</t>
  </si>
  <si>
    <t>محمد احمد عبده ابراهيم</t>
  </si>
  <si>
    <t>01011288349</t>
  </si>
  <si>
    <t>01115669852</t>
  </si>
  <si>
    <t>المعمل رقم 17 ح كيما - الورشة والمستودع 47 كيما</t>
  </si>
  <si>
    <t>امير السعيد ابوالعزم الهنداوى</t>
  </si>
  <si>
    <t>معدات كيما</t>
  </si>
  <si>
    <t>01007410975</t>
  </si>
  <si>
    <t>01056915447</t>
  </si>
  <si>
    <t>المستودع  و الورشة ح كيما رقم 3 - الورشه الرئيسية للحرب الكيميائية - ك 53 تطهير - المستودع و الورشه ح كيما رقم 2</t>
  </si>
  <si>
    <t>محمود محمد يوسف سعدالدين</t>
  </si>
  <si>
    <t>خازن فنى مهمات كيميائية</t>
  </si>
  <si>
    <t>01069803109</t>
  </si>
  <si>
    <t>01259865301</t>
  </si>
  <si>
    <t xml:space="preserve">مستودع و الورشه ح كيما رقم 6-معمل الحرب الكيميائية رقم 17- الورشه والمستودع 47 كيما - ك الاولى خدمه فنية- معمل الحرب الكيميائية رقم17 </t>
  </si>
  <si>
    <t>محمد السعيد عبدالجواد ابراهيم</t>
  </si>
  <si>
    <t>كهربائي اجهزة</t>
  </si>
  <si>
    <t>01009036418</t>
  </si>
  <si>
    <t>01059826452</t>
  </si>
  <si>
    <t>كوم حماده</t>
  </si>
  <si>
    <t>الورشة الرئيسية للحرب الكيمائية - المستودع و الورشه ح كيما رقم 30 -سرية ح كيما قوات بحرية - المركز الفني الكيماوى</t>
  </si>
  <si>
    <t xml:space="preserve">محمد حلمى حسانين عبداللطيف </t>
  </si>
  <si>
    <t>حكمدار جماعة التطهير</t>
  </si>
  <si>
    <t>01033755610</t>
  </si>
  <si>
    <t>01158849718</t>
  </si>
  <si>
    <t>طامية</t>
  </si>
  <si>
    <t>السيد حسن السيد على محمد</t>
  </si>
  <si>
    <t>ميكانيكي مهمات وقاية</t>
  </si>
  <si>
    <t>01026391377</t>
  </si>
  <si>
    <t>01017095910</t>
  </si>
  <si>
    <t>الورشة الرئيسية للحرب الكيميائية</t>
  </si>
  <si>
    <t>ابراهيم صلاح ابراهيم احمد حجاج</t>
  </si>
  <si>
    <t>16 ص ع</t>
  </si>
  <si>
    <t>ابتدائية</t>
  </si>
  <si>
    <t>ميكانيكى اصلاح مهمات وقائية</t>
  </si>
  <si>
    <t>01029513486</t>
  </si>
  <si>
    <t>01022857083</t>
  </si>
  <si>
    <t xml:space="preserve">منيا لقمح </t>
  </si>
  <si>
    <t>المستودع  والورشة ح كيما رقم 9- اللواء 118 صار م ط -اللواء صار هوك-الورشة الرئيسية للحرب الكيميائية - معهد الحرب الكيميائية</t>
  </si>
  <si>
    <t>احمد عبدالعليم محمد احمد</t>
  </si>
  <si>
    <t>ميكانيكي معدات دخان</t>
  </si>
  <si>
    <t>01029508703</t>
  </si>
  <si>
    <t>01021835954</t>
  </si>
  <si>
    <t>نجع حمادى</t>
  </si>
  <si>
    <t>احمد ابراهيم محمد لبيب</t>
  </si>
  <si>
    <t>ميكانيكي اصلاح معدات</t>
  </si>
  <si>
    <t>01016317413</t>
  </si>
  <si>
    <t>محمد مصطفي السباعي مصطفي</t>
  </si>
  <si>
    <t>كهربيائي اجهزة</t>
  </si>
  <si>
    <t>01097882775</t>
  </si>
  <si>
    <t>01056699423</t>
  </si>
  <si>
    <t>اجا</t>
  </si>
  <si>
    <t xml:space="preserve">عمر أشرف على حسن محمد سلامة </t>
  </si>
  <si>
    <t>01020973806</t>
  </si>
  <si>
    <t>01553122376</t>
  </si>
  <si>
    <t>محمود مسعد رشاد عزقول</t>
  </si>
  <si>
    <t>س30 ش ع</t>
  </si>
  <si>
    <t>01000159552</t>
  </si>
  <si>
    <t>28509151601371</t>
  </si>
  <si>
    <t>حرس سفارات ( فرنسا )</t>
  </si>
  <si>
    <t>مؤمن السعيد عثمان صالح</t>
  </si>
  <si>
    <t>01092489489</t>
  </si>
  <si>
    <t>لجنة روماتيد</t>
  </si>
  <si>
    <t>احمد محمد عطية شاكر</t>
  </si>
  <si>
    <t>01025917226</t>
  </si>
  <si>
    <t>رجب عبدالغفار محمد عبدالغفار</t>
  </si>
  <si>
    <t>01005786395</t>
  </si>
  <si>
    <t>احمد كمال السيد محمد</t>
  </si>
  <si>
    <t>01033441502</t>
  </si>
  <si>
    <t>حرس السيد القائد</t>
  </si>
  <si>
    <t>ف 82 ش ع</t>
  </si>
  <si>
    <t>محمد كامل فهمى موسى</t>
  </si>
  <si>
    <t>01200594570</t>
  </si>
  <si>
    <t>احمد محمد زكى محمود حسانين</t>
  </si>
  <si>
    <t>01013399201</t>
  </si>
  <si>
    <t>عزبة عرفان</t>
  </si>
  <si>
    <t>ورشة 28 جيش - ك 235 بب</t>
  </si>
  <si>
    <t>محمد عبدالسميع عبدالعليم عبدالسميع</t>
  </si>
  <si>
    <t>01063541974</t>
  </si>
  <si>
    <t xml:space="preserve">حازم خالد عبدالحميد احمد </t>
  </si>
  <si>
    <t>01090825164</t>
  </si>
  <si>
    <t>عبدالرحمن احمد حامد</t>
  </si>
  <si>
    <t>01023414801</t>
  </si>
  <si>
    <t>عبدالرحمن محمود صبحى عبدالعزيز</t>
  </si>
  <si>
    <t>01141648151</t>
  </si>
  <si>
    <t>3040517230094</t>
  </si>
  <si>
    <t>محمود محمد رمضان أبو النجا</t>
  </si>
  <si>
    <t>01146497240</t>
  </si>
  <si>
    <t>على أحمد محمد محمد</t>
  </si>
  <si>
    <t>غرف حبس أسوان</t>
  </si>
  <si>
    <t>إدارة المدفعية</t>
  </si>
  <si>
    <t>حكمدار جم مساحة</t>
  </si>
  <si>
    <t>01096412358</t>
  </si>
  <si>
    <t>حسام بكر محمد عطا الله</t>
  </si>
  <si>
    <t>01021853135</t>
  </si>
  <si>
    <t>ك ح ح ساحلى رقم 112</t>
  </si>
  <si>
    <t>محمدي السید محمدى السید</t>
  </si>
  <si>
    <t>01001630156</t>
  </si>
  <si>
    <t>01010591391</t>
  </si>
  <si>
    <t xml:space="preserve"> عماد السيد عبدالرحمن عبدالرحيم</t>
  </si>
  <si>
    <t>مساعد معلم</t>
  </si>
  <si>
    <t>01140309417</t>
  </si>
  <si>
    <t>01150332267</t>
  </si>
  <si>
    <t>منطقة تجنيد وتعبئة قنا - منطقة تجنيد وتعبئة الجيزة</t>
  </si>
  <si>
    <t>احمد ماهر محمد شلبى</t>
  </si>
  <si>
    <t>01061465724</t>
  </si>
  <si>
    <t>01124254474</t>
  </si>
  <si>
    <t>محمد رمضان محمدى جاد</t>
  </si>
  <si>
    <t>سائق مركبات</t>
  </si>
  <si>
    <t>01003480978</t>
  </si>
  <si>
    <t>01115670828</t>
  </si>
  <si>
    <t>ك3 نقل أفراد جهاز النقل العام للقوات المسلحة</t>
  </si>
  <si>
    <t>عبدالحفيظ السيد عبدالباسط محمود</t>
  </si>
  <si>
    <t>ك 336 مش</t>
  </si>
  <si>
    <t>مساعد تعليم ك / مشاة / دفاع حراسة</t>
  </si>
  <si>
    <t>01006961155</t>
  </si>
  <si>
    <t xml:space="preserve">نادي الأقصر - نادي أسيوط ومنقباد - ك 901 مش - ك 3 تعليم / مركز تدريب المشاة رقم 1 - مركز تدريب مشترك المشاه الاخصائي - ك 57 مش ميكا / ل 71 مد - ك 12 مش ميكا / ل 4 مش ميكا
</t>
  </si>
  <si>
    <t>اليمن</t>
  </si>
  <si>
    <t xml:space="preserve">علي فرحات على عبدالحافظ </t>
  </si>
  <si>
    <t>ورشة ل 305 مش مقل</t>
  </si>
  <si>
    <t>01023163010</t>
  </si>
  <si>
    <t>محمود عبدالعزيز محمد عبدالوهاب</t>
  </si>
  <si>
    <t xml:space="preserve">حكمدار جماعو مش مقل </t>
  </si>
  <si>
    <t>01202588581</t>
  </si>
  <si>
    <t>ك 50 مش ميكا قنفد ل11 مدع / ك 15 مش ميكا ل 5 مش ميكا فهد 20</t>
  </si>
  <si>
    <t>احمد جاد سيد عبدالرازق</t>
  </si>
  <si>
    <t>حكمدار طاقم / تو / اهرام</t>
  </si>
  <si>
    <t>01099968969</t>
  </si>
  <si>
    <t>ك 7 مش ميكا / ل 3 ميكا - ك 16 مش ميكا / ل 16 ميكا</t>
  </si>
  <si>
    <t>احمد سعيد عطية مصطفى</t>
  </si>
  <si>
    <t>01008052895</t>
  </si>
  <si>
    <t>ك 900 مش - ك 501 مش ميكا / ل 118 ميكا</t>
  </si>
  <si>
    <t xml:space="preserve">ايهاب عبدالنبى محمد بسيونى </t>
  </si>
  <si>
    <t xml:space="preserve">مساعد تعليم  ك مشاة </t>
  </si>
  <si>
    <t>01097705178</t>
  </si>
  <si>
    <t xml:space="preserve">ك 30 مش ميكا ل 10 مش ميكا / قيادة ل 222 مش ميكا فرقة 3 مشاة </t>
  </si>
  <si>
    <t>فيصل مصطفى صالح زهران</t>
  </si>
  <si>
    <t>رقيب فصيلة مش / مش ميكا</t>
  </si>
  <si>
    <t>01111572171</t>
  </si>
  <si>
    <t>ك 8 مش مقل - ك 288 مش ميكا - ك 360 مش ميكا</t>
  </si>
  <si>
    <t>احمد مصطفى احمد محمد شتا</t>
  </si>
  <si>
    <t xml:space="preserve">رقيب اول سرية مش ميكا </t>
  </si>
  <si>
    <t>01022523368</t>
  </si>
  <si>
    <t xml:space="preserve">ك 150 مش ميكا ل 90مش / معهد ضباط الصف المعلمين </t>
  </si>
  <si>
    <t>بسام بكرى محمد خضر</t>
  </si>
  <si>
    <t xml:space="preserve">مساعد تعليم ك </t>
  </si>
  <si>
    <t>01063911865</t>
  </si>
  <si>
    <t>ك 900 مش - ك 408 مش ميكا / ل 9 تدخل سريع - ك 6 مش ميكا</t>
  </si>
  <si>
    <t>احمد محمد عبدالحميد عبداللطيف</t>
  </si>
  <si>
    <t>01006151091</t>
  </si>
  <si>
    <t xml:space="preserve">معهد ضباط الصف المعلمين / ك 12 مش ميكا ل 4مش ميكا / ك 409 مش ميكا </t>
  </si>
  <si>
    <t xml:space="preserve">اسامه ابراهيم عبدالحميد ذكرى </t>
  </si>
  <si>
    <t>كاتب عسكري / راتب عالي</t>
  </si>
  <si>
    <t>01112890097</t>
  </si>
  <si>
    <t>مركز تدريب المشاة رقم 1 - قيا ل 7 مش ميكا / فر 19 مش</t>
  </si>
  <si>
    <t>حسين محمد حسين يعقوب</t>
  </si>
  <si>
    <t>01144667623</t>
  </si>
  <si>
    <t>ك 44 مش - ل 117مق / ك 888 مش مق ل 166</t>
  </si>
  <si>
    <t>عبدربه منصور عبدربه محمد</t>
  </si>
  <si>
    <t>حكمدار جماعة مش / مش ميكا</t>
  </si>
  <si>
    <t>01097959862</t>
  </si>
  <si>
    <t xml:space="preserve">معهد ضباط صف المعلمين / ك 73 مش ميكا مقل </t>
  </si>
  <si>
    <t>احمد مشهور عزيز مسعود</t>
  </si>
  <si>
    <t xml:space="preserve">رقيب فصيلة شرطة عسكرية </t>
  </si>
  <si>
    <t>01040845141</t>
  </si>
  <si>
    <t xml:space="preserve">س 90ش ع خفيف الفوج الاول رئاسة عامة / س33ش ع فرقة 23 مش ميكا </t>
  </si>
  <si>
    <t>محمود مصطفى محمد الكتاتنى</t>
  </si>
  <si>
    <t>01050332455</t>
  </si>
  <si>
    <t>ك 38 مش ميكا / ل 12 مقل</t>
  </si>
  <si>
    <t>عبدالرحمن عبدالحليم يوسف عبدالغفار الابيارى</t>
  </si>
  <si>
    <t>01023354591</t>
  </si>
  <si>
    <t xml:space="preserve">محمد حسينى عطا حسينى الدسوقى </t>
  </si>
  <si>
    <t>01016030613</t>
  </si>
  <si>
    <t>ك 256 مش ميكا / ل 6 مش ميكا</t>
  </si>
  <si>
    <t>ايمن محمود عبداللاه ابراهيم السيد</t>
  </si>
  <si>
    <t>01095284751</t>
  </si>
  <si>
    <t>احمد سيد فهمى على</t>
  </si>
  <si>
    <t>كاتب عسكري / راتب عالي - مجند / عريف</t>
  </si>
  <si>
    <t>01069894127</t>
  </si>
  <si>
    <t xml:space="preserve">ك 362 مش ميكا ل 117 مش ميكا </t>
  </si>
  <si>
    <t>موسى مصطفى موسى محمد</t>
  </si>
  <si>
    <t>الورشة الرئيسية للاسلحة رقم 3</t>
  </si>
  <si>
    <t>حسام حسن احمد عبدالحليم</t>
  </si>
  <si>
    <t xml:space="preserve">سائق عجل </t>
  </si>
  <si>
    <t>01094833045</t>
  </si>
  <si>
    <t xml:space="preserve">ك 3 نقل افراد / فوج نقل افراد </t>
  </si>
  <si>
    <t>رمضان السيد عبدالعزيز محمد</t>
  </si>
  <si>
    <t xml:space="preserve">رقيب فصيلة مش ميكا </t>
  </si>
  <si>
    <t>01061458643</t>
  </si>
  <si>
    <t xml:space="preserve">قطاع تحريات الشمال / قطاع تحريات الجيش الثالث الميدانى </t>
  </si>
  <si>
    <t>طه ابراهيم طه ابراهيم</t>
  </si>
  <si>
    <t>01064925087</t>
  </si>
  <si>
    <t>515 مش ميكا / ل 166 مش ميكا مقل</t>
  </si>
  <si>
    <t>احمد محمد محمود على</t>
  </si>
  <si>
    <t>01020442379</t>
  </si>
  <si>
    <t>ك 515 مش ميكا</t>
  </si>
  <si>
    <t>اسلام رأفت كامل احمد</t>
  </si>
  <si>
    <t>رقيب فصيلة طاقم / تو /اهرام</t>
  </si>
  <si>
    <t>01100505910</t>
  </si>
  <si>
    <t xml:space="preserve">ك 515 مش ميكا - ك 155 مش ميكا </t>
  </si>
  <si>
    <t>اسلام سليمان عثمان ابوالجود</t>
  </si>
  <si>
    <t xml:space="preserve">سائق عربة / راتب عالى </t>
  </si>
  <si>
    <t>محمد على خليل على</t>
  </si>
  <si>
    <t>حكمدار جماعة مشاة / مش ميكا</t>
  </si>
  <si>
    <t>01016109957</t>
  </si>
  <si>
    <t>محمود سيد محمد مهنى</t>
  </si>
  <si>
    <t>01062859665</t>
  </si>
  <si>
    <t>احمد حامد موسي السید موسي</t>
  </si>
  <si>
    <t>01033199902</t>
  </si>
  <si>
    <t>معاذ حسن سید أحمد إبراھیم</t>
  </si>
  <si>
    <t>01010694316</t>
  </si>
  <si>
    <t>كریم عصام الدین زكى حسن</t>
  </si>
  <si>
    <t>01150334561</t>
  </si>
  <si>
    <t>محمد ابراهيم عبدالحميد خطاب</t>
  </si>
  <si>
    <t>01064615369</t>
  </si>
  <si>
    <t>01025488953</t>
  </si>
  <si>
    <t>قرية جروان</t>
  </si>
  <si>
    <t>شعبة التنظيم والإدارة</t>
  </si>
  <si>
    <t>قيا فر 9 مد - ك 2014 بب - قيا فر 21 مد</t>
  </si>
  <si>
    <t>السعيد ناصر محمد السعيد عيد</t>
  </si>
  <si>
    <t>سائق بب نجدة م 88</t>
  </si>
  <si>
    <t>01281904247</t>
  </si>
  <si>
    <t>01229661059</t>
  </si>
  <si>
    <t>ك النقل الثقيلة رقم (1) - الورشة 102 مدرعات</t>
  </si>
  <si>
    <t xml:space="preserve">محمد علي محمد احمد </t>
  </si>
  <si>
    <t xml:space="preserve"> س 166 أهرام</t>
  </si>
  <si>
    <t>01099815208</t>
  </si>
  <si>
    <t>احمد فوزى السيد محمد الشوريجى</t>
  </si>
  <si>
    <t>حكمدار طاقم بب أم 60 أ  3</t>
  </si>
  <si>
    <t>01030545477</t>
  </si>
  <si>
    <t>01010323698</t>
  </si>
  <si>
    <t>3</t>
  </si>
  <si>
    <t>محلة بشر</t>
  </si>
  <si>
    <t>احمد رمضان فرج الله علواني</t>
  </si>
  <si>
    <t>ورشة 7 إشارة</t>
  </si>
  <si>
    <t>01063989415</t>
  </si>
  <si>
    <t>أطسا</t>
  </si>
  <si>
    <t>احمد نصر احمد يوسف</t>
  </si>
  <si>
    <t>سائق عربة</t>
  </si>
  <si>
    <t>01028235483</t>
  </si>
  <si>
    <t>01022599863</t>
  </si>
  <si>
    <t>مستودع والورشة حرب كيما رقم 9 - مستودع 30 كيما</t>
  </si>
  <si>
    <t xml:space="preserve">حامد عبدالقادر محمد احمد </t>
  </si>
  <si>
    <t>س 117 سطع</t>
  </si>
  <si>
    <t>ل 117 مش ميكا مقل</t>
  </si>
  <si>
    <t>011544622528</t>
  </si>
  <si>
    <t>01157460961</t>
  </si>
  <si>
    <t>محمد مصطفى مختار سيد</t>
  </si>
  <si>
    <t>س 717 نقل</t>
  </si>
  <si>
    <t>دبلوم سياحة وفنادق</t>
  </si>
  <si>
    <t>01009594407</t>
  </si>
  <si>
    <t>عبدالفتاح لطفى عبدالفتاح</t>
  </si>
  <si>
    <t>17 ص ع</t>
  </si>
  <si>
    <t>عامل إصلاح مجنزرات غربي</t>
  </si>
  <si>
    <t>01016175828</t>
  </si>
  <si>
    <t>01012162040</t>
  </si>
  <si>
    <t>ك 7 بب - ك 4 بب - ورشة 101 مد - مركز تدريب مهني مركبات ومجنزرات</t>
  </si>
  <si>
    <t>شعبان ابراهيم فصيح أبوحطب</t>
  </si>
  <si>
    <t>01001736048</t>
  </si>
  <si>
    <t>01025448789</t>
  </si>
  <si>
    <t>المنطقة المركزية العسكرية</t>
  </si>
  <si>
    <t>مصطفى محمود محمد محمود</t>
  </si>
  <si>
    <t>قيا ل 117 مش ميكا مقل</t>
  </si>
  <si>
    <t>01019703171</t>
  </si>
  <si>
    <t>01062006480</t>
  </si>
  <si>
    <t>دسوقي علي سليمان حجازي</t>
  </si>
  <si>
    <t>س 766 نقل</t>
  </si>
  <si>
    <t>01025052380</t>
  </si>
  <si>
    <t xml:space="preserve">ابراهيم السيد بسطويسى البحيرى </t>
  </si>
  <si>
    <t>قيادة قطاع برنيس العسكري</t>
  </si>
  <si>
    <t xml:space="preserve">سائق عربة </t>
  </si>
  <si>
    <t>كلية القادة /</t>
  </si>
  <si>
    <t>محمد سعيد دسوقي الصادق</t>
  </si>
  <si>
    <t>ك 515 مش</t>
  </si>
  <si>
    <t>01060198605</t>
  </si>
  <si>
    <t>حملة رئيس اركان (مؤخرة م ج ع)</t>
  </si>
  <si>
    <t xml:space="preserve">احمد مصطفى فاروق ابراهيم منسى </t>
  </si>
  <si>
    <t>سائق عربة / جرار ثقيل / راتب عالي</t>
  </si>
  <si>
    <t>01146637604</t>
  </si>
  <si>
    <t>01002771994</t>
  </si>
  <si>
    <t>محمد مهدى عبداللاه احمد</t>
  </si>
  <si>
    <t>رامى بب ام 60 أ 3</t>
  </si>
  <si>
    <t>01010130916</t>
  </si>
  <si>
    <t>01023674586</t>
  </si>
  <si>
    <t>هشام صديق غازى البنا</t>
  </si>
  <si>
    <t>حكمدار طاقم أمن</t>
  </si>
  <si>
    <t>01018284649</t>
  </si>
  <si>
    <t>01026861554</t>
  </si>
  <si>
    <t>قاعدة محمد نجيب</t>
  </si>
  <si>
    <t>مصطفى ايمن حجاج محمد</t>
  </si>
  <si>
    <t>01202588744</t>
  </si>
  <si>
    <t>محمود حسن على محمد</t>
  </si>
  <si>
    <t>01128692851</t>
  </si>
  <si>
    <t>01110470853</t>
  </si>
  <si>
    <t>عبدالراضى احمد عبدالراضى مصطفى</t>
  </si>
  <si>
    <t>مجمع ميادين الرماية رقم 25</t>
  </si>
  <si>
    <t>حكمدار جماعة مش / مش میكا</t>
  </si>
  <si>
    <t>01080705079</t>
  </si>
  <si>
    <t>الورشة الرئيسية رقم (7) مركبات - الورشة الرئيسية رقم (3) مركبات - ورشة ل118 مش ميكا - الورشة الرئيسية رقم (10) مركبات - مستودع المركبات الميداني رقم (2)</t>
  </si>
  <si>
    <t>محمود معاذ فتحى عبدالمولى</t>
  </si>
  <si>
    <t>01011298486</t>
  </si>
  <si>
    <t>قيا ل 166 مش ميكا مقل - ك 137 دفاع إقليمي - ك 135 مش ميكا / ل 30 ميكا</t>
  </si>
  <si>
    <t>احمد عادل رجب عرفة</t>
  </si>
  <si>
    <t>مستشفى العسكري بالنوبة</t>
  </si>
  <si>
    <t>عامل إصلاح وتشغيل أجهزة طبية</t>
  </si>
  <si>
    <t>01068828070</t>
  </si>
  <si>
    <t>اسامه عبداللطيف احمد النظامى</t>
  </si>
  <si>
    <t>01275792225</t>
  </si>
  <si>
    <t>عمر احمد محمود جاد</t>
  </si>
  <si>
    <t>01149553425</t>
  </si>
  <si>
    <t>خيري مصطفى على احمد</t>
  </si>
  <si>
    <t>01124692445</t>
  </si>
  <si>
    <t>محمد رمضان عبدالوهاب احمد علي</t>
  </si>
  <si>
    <t>01099187567</t>
  </si>
  <si>
    <t>محمد أيمن محمود محمد الشرقاوى</t>
  </si>
  <si>
    <t>فني تركيبات أسنان</t>
  </si>
  <si>
    <t>01017936919</t>
  </si>
  <si>
    <t>اسلام حماده سيد موسى</t>
  </si>
  <si>
    <t>01100175618</t>
  </si>
  <si>
    <t>عمار فرغل رمضان عبدالله</t>
  </si>
  <si>
    <t>01064168541</t>
  </si>
  <si>
    <t xml:space="preserve">اسامه فتحى خليل الحوشى </t>
  </si>
  <si>
    <t>مستودع 18 وقود</t>
  </si>
  <si>
    <t>01025044517</t>
  </si>
  <si>
    <t>بريم</t>
  </si>
  <si>
    <t>مج 3 وقود - مج 2 وقود - مكتب إتصال السويس - قيا فر 21 مدرع - ك خطوط أنابيب 120 م - قيا الحرس الجمهورى</t>
  </si>
  <si>
    <t>محمد عاطف السيد فراج</t>
  </si>
  <si>
    <t>01022327758</t>
  </si>
  <si>
    <t>ميت يعيش</t>
  </si>
  <si>
    <t>مستودع الوقود الرئيسي رقم 1 - مج 3 وقود - مج 2 وقود</t>
  </si>
  <si>
    <t>رامى جمعة عبده حسن عبدالله</t>
  </si>
  <si>
    <t>01092730375</t>
  </si>
  <si>
    <t>منشأة شبراطو</t>
  </si>
  <si>
    <t>مركز تدريب مشترك هيئة امداد وتموين رقم 1 - مج 2 وقود - مستودع 14 وقود</t>
  </si>
  <si>
    <t>خالد احمد محمد ابراهيم</t>
  </si>
  <si>
    <t>0121927406</t>
  </si>
  <si>
    <t>عزبة على عمارة</t>
  </si>
  <si>
    <t>مركز تدريب مشترك هيئة امداد وتموين رقم 1 - ك خطوط أنابيب 120 م - الوحدة 999 قتال</t>
  </si>
  <si>
    <t xml:space="preserve">محمود محمد عاطف محمود متولى </t>
  </si>
  <si>
    <t>01095004651</t>
  </si>
  <si>
    <t>قويسنا البلد</t>
  </si>
  <si>
    <t>ورشة فر 4 م - مج 2 وقود - مستودع 21 وقود</t>
  </si>
  <si>
    <t>محمد على محمد على</t>
  </si>
  <si>
    <t>01022170847</t>
  </si>
  <si>
    <t>مج 3 وقود - مج 2 وقود</t>
  </si>
  <si>
    <t>عمر وجيه عبدالمعز علي الفقي</t>
  </si>
  <si>
    <t>01069686027</t>
  </si>
  <si>
    <t>العمار الكبرى</t>
  </si>
  <si>
    <t>مركز تدريب مشترك هيئة امداد وتموين رقم 1 - مستودع 17 وقود رئيسى خاص - مج 2 وقود</t>
  </si>
  <si>
    <t>محمد عماد رشاد اسماعيل</t>
  </si>
  <si>
    <t>01229080761</t>
  </si>
  <si>
    <t>مركز تدريب مشترك هيئة امداد وتموين رقم 1 - مج 2 وقود -مستودع وورشة معدات وقود</t>
  </si>
  <si>
    <t>محمد على سيد احمد محمد</t>
  </si>
  <si>
    <t>01000611848</t>
  </si>
  <si>
    <t>عزبه الرحمه خلف ليسكو</t>
  </si>
  <si>
    <t>المنتزة</t>
  </si>
  <si>
    <t>معتز عبدالوهاب احمد عصفور</t>
  </si>
  <si>
    <t>مستودع 21 تعيينات</t>
  </si>
  <si>
    <t>01000857728</t>
  </si>
  <si>
    <t>01021964274</t>
  </si>
  <si>
    <t>الكتيبة الثانية ش ع حرس شرف - س 56 ش ع - الكتيبة الثالة ش ع حرسات - المعهد الفنى ق م - حديقة الاسرة - عمارات المعموره</t>
  </si>
  <si>
    <t>ربيع بدر على حسان</t>
  </si>
  <si>
    <t>خباز</t>
  </si>
  <si>
    <t>حكمدار مخبز</t>
  </si>
  <si>
    <t>01152366160</t>
  </si>
  <si>
    <t>01113713556</t>
  </si>
  <si>
    <t>الروضة</t>
  </si>
  <si>
    <t>مجمع انتاج النصف الى رقم 4 - مستودع التعيينات المختلط رقم 20</t>
  </si>
  <si>
    <t>عبدالله محمد شوقى رمضان</t>
  </si>
  <si>
    <t>أمين مخزن تعيينات</t>
  </si>
  <si>
    <t>01064057940</t>
  </si>
  <si>
    <t>01063890127</t>
  </si>
  <si>
    <t>ميت غريطة</t>
  </si>
  <si>
    <t>مج 28 نيابات ش ع - ادارة الشرطة العسكرية - س 5 ش ع</t>
  </si>
  <si>
    <t>احمد هلال خليل محمد</t>
  </si>
  <si>
    <t>رقيب فصيلة إنتاج خبز</t>
  </si>
  <si>
    <t>01017706518</t>
  </si>
  <si>
    <t>01017706519</t>
  </si>
  <si>
    <t>كفر مجر</t>
  </si>
  <si>
    <t>مستودع المختلط رقم 1 -  مستودع المختلط رقم 15</t>
  </si>
  <si>
    <t>محمود حاتم محمود سليمان</t>
  </si>
  <si>
    <t>01015791613</t>
  </si>
  <si>
    <t>01092409561</t>
  </si>
  <si>
    <t xml:space="preserve">شطورة </t>
  </si>
  <si>
    <t>مستودع التعيينات المختلط رقم 1</t>
  </si>
  <si>
    <t>السيد عبده السيد احمد</t>
  </si>
  <si>
    <t>01033619020</t>
  </si>
  <si>
    <t>01145837269</t>
  </si>
  <si>
    <t>تفهنا العزب</t>
  </si>
  <si>
    <t>مجمع رقم 5 - فوج إنتاج الخبز المتحرك</t>
  </si>
  <si>
    <t>محمد عامر حماد جاد</t>
  </si>
  <si>
    <t>01119358124</t>
  </si>
  <si>
    <t>01129148768</t>
  </si>
  <si>
    <t>جراجوس</t>
  </si>
  <si>
    <t>مجمع انتاج الخبز نصف الى رقم 8</t>
  </si>
  <si>
    <t>ابراهيم ربيع عبدالمنعم محمد</t>
  </si>
  <si>
    <t>01009407436</t>
  </si>
  <si>
    <t>01067015266</t>
  </si>
  <si>
    <t>الرباعى</t>
  </si>
  <si>
    <t>مستودع التعيينات الرئيسي رقم 302</t>
  </si>
  <si>
    <t>احمد ايهاب محمد عبدالله</t>
  </si>
  <si>
    <t>01061772982</t>
  </si>
  <si>
    <t>حلوان</t>
  </si>
  <si>
    <t>مستودع الأسلحة والذخيرة رقم 37</t>
  </si>
  <si>
    <t>جمال عادل احمد عبدالعليم</t>
  </si>
  <si>
    <t>حكمدار مطبخ</t>
  </si>
  <si>
    <t>01121252056</t>
  </si>
  <si>
    <t>01011362587</t>
  </si>
  <si>
    <t>كوم الصعايدة</t>
  </si>
  <si>
    <t>احمد محمد حلمى لبيب</t>
  </si>
  <si>
    <t>خازن تعيينات</t>
  </si>
  <si>
    <t>01119038979</t>
  </si>
  <si>
    <t>مساكن الزخف والصيني مسطرد</t>
  </si>
  <si>
    <t>مستودع رئيسي لمعدات التعيينات</t>
  </si>
  <si>
    <t>عمرو يحي السيد محمد</t>
  </si>
  <si>
    <t>01080375366</t>
  </si>
  <si>
    <t>الهجارسة</t>
  </si>
  <si>
    <t>س154 مخابز ميدانيه / قيا ج 3 ميد - مستودع المختلط رقم 7 / قيا ج 3 ميد</t>
  </si>
  <si>
    <t xml:space="preserve">اسلام رجب احمد محمد </t>
  </si>
  <si>
    <t>01090439478</t>
  </si>
  <si>
    <t>01022811034</t>
  </si>
  <si>
    <t>سرسيقا</t>
  </si>
  <si>
    <t xml:space="preserve">محمد مصطفى محمد علام </t>
  </si>
  <si>
    <t>ورشة القياس المعايرة رقم 2</t>
  </si>
  <si>
    <t>8 ص ع</t>
  </si>
  <si>
    <t>عامل إصلاح ومعايرة أجهزة قياس كهربائية</t>
  </si>
  <si>
    <t>01288286136</t>
  </si>
  <si>
    <t>01550883932</t>
  </si>
  <si>
    <t>الدلجمون</t>
  </si>
  <si>
    <t xml:space="preserve">الورشة المتوسطة لمعدات القياس المعايرة رقم ١ - ورشة أسلحة و ذخيرة / فرقة12 دفاع جوى - قيادة اللواء إنذار آلي٢١ - الورشة الرئيسية لمعدات القياس والمعايرة </t>
  </si>
  <si>
    <t xml:space="preserve">أيمن حسن شوقي عبدالرحيم </t>
  </si>
  <si>
    <t>10 ص ع</t>
  </si>
  <si>
    <t>01286251021</t>
  </si>
  <si>
    <t>01221577319</t>
  </si>
  <si>
    <t>كفر كلاالباب</t>
  </si>
  <si>
    <t>الورشة المتوسطة لمعدات القياس المعايرة رقم 1 - قيادة المنطقه الغربيه العسكريه - الورشة الرئيسية لمعدات القياس والمعايرة</t>
  </si>
  <si>
    <t>عبداللطيف السيد عبداللطيف ابراهيم</t>
  </si>
  <si>
    <t>01008944826</t>
  </si>
  <si>
    <t>01015057027</t>
  </si>
  <si>
    <t xml:space="preserve">أبتوك </t>
  </si>
  <si>
    <t>الورشة المتوسطة لمعدات القياس المعايرة رقم 1 - الورشة المتوسطة للأسلحة رقم 14 - الورش الرئيسية للأسلحة رقم 1</t>
  </si>
  <si>
    <t>صالح سيد احمد الرفاعي</t>
  </si>
  <si>
    <t>01008665784</t>
  </si>
  <si>
    <t>01116766613</t>
  </si>
  <si>
    <t>كفر سرنجا</t>
  </si>
  <si>
    <t>أحمد أبو النعمان عبدالله</t>
  </si>
  <si>
    <t>عامل إصلاح ومعایرة أجھزة بصرية</t>
  </si>
  <si>
    <t>01090487330</t>
  </si>
  <si>
    <t>01070520505</t>
  </si>
  <si>
    <t xml:space="preserve">أبو بكر الصديق </t>
  </si>
  <si>
    <t xml:space="preserve">إيهاب حمدي عبدالغني مهدي </t>
  </si>
  <si>
    <t>مساعد مدرب عملى محطات قوي</t>
  </si>
  <si>
    <t>01553183154</t>
  </si>
  <si>
    <t>01149804601</t>
  </si>
  <si>
    <t xml:space="preserve">محلة كيل </t>
  </si>
  <si>
    <t xml:space="preserve">مركز تدريب مهن المركبات والمدرعات والتسليح وتشغيل المعادن - مركز تدريب مشترك مهن الرادار والصواريخ والحاسبات اليه - الورش الرئيسية لمحطات القدرة والمقلدات وميادين الرماية </t>
  </si>
  <si>
    <t xml:space="preserve">محمد جمال السيد فهيم </t>
  </si>
  <si>
    <t>01122549653</t>
  </si>
  <si>
    <t>01142480285</t>
  </si>
  <si>
    <t>كفر الخضرى</t>
  </si>
  <si>
    <t>محمد هلال الصاوى محمد</t>
  </si>
  <si>
    <t>01559443012</t>
  </si>
  <si>
    <t>01005148918</t>
  </si>
  <si>
    <t xml:space="preserve">كفر بولين </t>
  </si>
  <si>
    <t>محمد احمد فتحى محمد توفيق</t>
  </si>
  <si>
    <t>عامل إصلاح ومعايرة أجهزة قياس الكترونية</t>
  </si>
  <si>
    <t>01201480028</t>
  </si>
  <si>
    <t>01070787247</t>
  </si>
  <si>
    <t>مهدية</t>
  </si>
  <si>
    <t>احمد على ابراهيم محمد</t>
  </si>
  <si>
    <t>01090327033</t>
  </si>
  <si>
    <t>01099245231</t>
  </si>
  <si>
    <t>الاورمان</t>
  </si>
  <si>
    <t>جاد السيد محمود شاهين</t>
  </si>
  <si>
    <t>ورشة مركبات اسوان</t>
  </si>
  <si>
    <t>49 مهنى</t>
  </si>
  <si>
    <t>براد</t>
  </si>
  <si>
    <t>01029793739</t>
  </si>
  <si>
    <t>01020567511</t>
  </si>
  <si>
    <t>عنيبس</t>
  </si>
  <si>
    <t xml:space="preserve">ورشة مركبات محطة رقم 314 -  ورشة الإشارة الفرعية للتامين الفني رقم 3 - ورشة مركبات محطه رقم 302 - ورشة مركبات قطاع برنيس </t>
  </si>
  <si>
    <t>محمود أبو اليزيد الدسوقى</t>
  </si>
  <si>
    <t>خازن فنى مركبات</t>
  </si>
  <si>
    <t>01009091787</t>
  </si>
  <si>
    <t>01012963223</t>
  </si>
  <si>
    <t>ش مكة المكرمة طنيح</t>
  </si>
  <si>
    <t xml:space="preserve"> الورشة الرئيسية رقم 10 محركات - الورشة الرئيسية رقم 7 مركبات - الورشة الرئيسية رقم 3 مركبات -  الورشة الرئيسية رقم 10 محركات - ورشة لواء 18 مش ميكا - مستودع المركبات الميدانى رقم 2</t>
  </si>
  <si>
    <t>جميل محمد مبروك ابراهيم</t>
  </si>
  <si>
    <t>ميكانيكي مركبات ديزل</t>
  </si>
  <si>
    <t>01062023037</t>
  </si>
  <si>
    <t>01016007473</t>
  </si>
  <si>
    <t>ابو حمر</t>
  </si>
  <si>
    <t>ورشة مركبات فرعية 307 حرس - كتيبة رقم 112 حرس حدود ساحلي - ورشة مركبات المحطة 306</t>
  </si>
  <si>
    <t>ابراهيم السيد محمود  السيد</t>
  </si>
  <si>
    <t>ميكانيكي مركبات ديزل/راتب عالى/مجند</t>
  </si>
  <si>
    <t>01062337179</t>
  </si>
  <si>
    <t>01014335236</t>
  </si>
  <si>
    <t>ش مجلس المدينة</t>
  </si>
  <si>
    <t>ورشة 314 مركبات</t>
  </si>
  <si>
    <t>ورشة المحطة 314 - ورشة المحطة 304 - ورشة الفرقة 23 مش ميكا</t>
  </si>
  <si>
    <t>محمود محمد فوزى السقا</t>
  </si>
  <si>
    <t>01553793009</t>
  </si>
  <si>
    <t>01225053688</t>
  </si>
  <si>
    <t>الورشة الرئيسية للمركبات رقم 4  - الورشة رقم 4 جيش</t>
  </si>
  <si>
    <t>كرم مسعد احمد احمد</t>
  </si>
  <si>
    <t>ميكانيكي مركبات</t>
  </si>
  <si>
    <t>01203533048</t>
  </si>
  <si>
    <t>01286412673</t>
  </si>
  <si>
    <t>المنزلة</t>
  </si>
  <si>
    <t xml:space="preserve"> ورشة مركبات محطة رقم 314 - الورش الرئيسية للمركبات رقم 8</t>
  </si>
  <si>
    <t>محمد سعد محمود السيد</t>
  </si>
  <si>
    <t>01005249825</t>
  </si>
  <si>
    <t>01005249582</t>
  </si>
  <si>
    <t>كفر ابشيش</t>
  </si>
  <si>
    <t>ورشة مركبات محطة رقم (314) - مجمع الصناعات الهندسية</t>
  </si>
  <si>
    <t>عبدالله محمود عطيه محمد</t>
  </si>
  <si>
    <t>حداد</t>
  </si>
  <si>
    <t>01090579878</t>
  </si>
  <si>
    <t>01092566736</t>
  </si>
  <si>
    <t>طريق امليط بجوار مطبعة الأمل</t>
  </si>
  <si>
    <t>مجمع الصناعات الهندسية ق . م</t>
  </si>
  <si>
    <t>مصطفى ابراهيم بدران السيد</t>
  </si>
  <si>
    <t>01154241507</t>
  </si>
  <si>
    <t>01019943735</t>
  </si>
  <si>
    <t>الورشة الرئيسية رقم 6 محركات - ورشة مركبات المحطة رقم 304</t>
  </si>
  <si>
    <t xml:space="preserve">محمود رفاعي السيد حسن </t>
  </si>
  <si>
    <t>01090322607</t>
  </si>
  <si>
    <t>01095051151</t>
  </si>
  <si>
    <t>عرب العليقات</t>
  </si>
  <si>
    <t xml:space="preserve">احمد جمعة سيد عبدالقادر </t>
  </si>
  <si>
    <t>خازن مركبات</t>
  </si>
  <si>
    <t>01121279298</t>
  </si>
  <si>
    <t>01001717733</t>
  </si>
  <si>
    <t>منشاه الجمال</t>
  </si>
  <si>
    <t>ورشة مركبات المحطة رقم 314 - مستودع الرئيسي للإحتياجات الفنية رقم (1)</t>
  </si>
  <si>
    <t>ابراهيم عبدالرحيم أبوالمجد</t>
  </si>
  <si>
    <t>01148746002</t>
  </si>
  <si>
    <t>01100506404</t>
  </si>
  <si>
    <t>ابو الريش قبلى / نجع الشيخ على</t>
  </si>
  <si>
    <t>ورشة مركبات المحطة رقم 304 - الورشة الرئيسية للمركبات رقم 4</t>
  </si>
  <si>
    <t>محمد عبدالله توفيق جوده</t>
  </si>
  <si>
    <t>حكمدار طاقم - سمكري مركبات</t>
  </si>
  <si>
    <t>01111130945</t>
  </si>
  <si>
    <t>011119963899</t>
  </si>
  <si>
    <t>12ش الإمام على</t>
  </si>
  <si>
    <t xml:space="preserve">الورشة الرئيسية للمركبات رقم 6 </t>
  </si>
  <si>
    <t>عبدالرحمن محمد عبدالعظيم عبدالهادى</t>
  </si>
  <si>
    <t>حكمدار طاقم - كهربائي مركبات</t>
  </si>
  <si>
    <t>01111402272</t>
  </si>
  <si>
    <t>01119020138</t>
  </si>
  <si>
    <t xml:space="preserve">الورشة الرئيسية للمركبات رقم 7 </t>
  </si>
  <si>
    <t>احمد صلاح السيد عباس</t>
  </si>
  <si>
    <t>01018321058</t>
  </si>
  <si>
    <t>01094938021</t>
  </si>
  <si>
    <t>ابومنجوج</t>
  </si>
  <si>
    <t>محمود صالح احمد صالح</t>
  </si>
  <si>
    <t>01144087042</t>
  </si>
  <si>
    <t>01122089081</t>
  </si>
  <si>
    <t>القراموص</t>
  </si>
  <si>
    <t>محمد يسرى عبدالمعطى</t>
  </si>
  <si>
    <t>مفتش لحام معادن</t>
  </si>
  <si>
    <t>01287948147</t>
  </si>
  <si>
    <t>01223058051</t>
  </si>
  <si>
    <t>7 ش محمد عبدالرحمن / الصيادين</t>
  </si>
  <si>
    <t>كريم رضا السيد جمعة</t>
  </si>
  <si>
    <t>01149165401</t>
  </si>
  <si>
    <t>01126189330</t>
  </si>
  <si>
    <t>جميزه بنى عمرو</t>
  </si>
  <si>
    <t xml:space="preserve">احمد عبدالمنعم سعد مبروك خليل </t>
  </si>
  <si>
    <t>01278446200</t>
  </si>
  <si>
    <t>01027058089</t>
  </si>
  <si>
    <t>المناشلة</t>
  </si>
  <si>
    <t>احمد سعيد عبدالحكيم هديه</t>
  </si>
  <si>
    <t>الورشة 304 مركبات</t>
  </si>
  <si>
    <t xml:space="preserve">ميكا سيارات </t>
  </si>
  <si>
    <t>01278878973</t>
  </si>
  <si>
    <t>0122854693</t>
  </si>
  <si>
    <t>طهواي</t>
  </si>
  <si>
    <t>منوفية</t>
  </si>
  <si>
    <t>ورشة مركبات اسوان - ورشة مركبات برنيس - كلية الضباط الإحتياط - ورشة مركبات الفرقة 7</t>
  </si>
  <si>
    <t>ابراهيم عبدالعظيم ابراهيم</t>
  </si>
  <si>
    <t>01032606333</t>
  </si>
  <si>
    <t>01023684778</t>
  </si>
  <si>
    <t>طوخ طنبشا</t>
  </si>
  <si>
    <t xml:space="preserve">ورشة المركبات 207 ح ح - المستودع المركبات الفرعي 2 ح ح - ورشة المركبات 207 ح ح - ورشة المركبات المحطة  306 - ورشة المركبات رقم 1 ح ح - مستودع مركبات 2 ح ح - ك 284 اصلاح ونجدة - الورشة الوطنية للبترول </t>
  </si>
  <si>
    <t>صدقه معبد على معبد محمد</t>
  </si>
  <si>
    <t xml:space="preserve">براد عده </t>
  </si>
  <si>
    <t>01080938192</t>
  </si>
  <si>
    <t>مشطا</t>
  </si>
  <si>
    <t>طما</t>
  </si>
  <si>
    <t>ورشة 7 مركبات - مركز رماية دفاع جو - قيا ك 25 انذار - ورشة مركبات فرقة 8 دفاع جو - ورشة مركبات فرقة 1 دفاع جو</t>
  </si>
  <si>
    <t>محمد صبرى عبدالعزيز الوكيل</t>
  </si>
  <si>
    <t xml:space="preserve">ميكا ديزل </t>
  </si>
  <si>
    <t>01206650060</t>
  </si>
  <si>
    <t>01254786321</t>
  </si>
  <si>
    <t>شبرايس</t>
  </si>
  <si>
    <t>مستودع 2 ارتجاعات - المستودع الرئيسي للمركبات الكاملة رقم 51</t>
  </si>
  <si>
    <t>عبدالعزيز صبرى عبدالعزيز</t>
  </si>
  <si>
    <t>01279016820</t>
  </si>
  <si>
    <t>0105874565</t>
  </si>
  <si>
    <t>ورشة 207 ح ح - ورشة 8 مركبات</t>
  </si>
  <si>
    <t>احمد علي محمد عوض</t>
  </si>
  <si>
    <t>01019098818</t>
  </si>
  <si>
    <t>0125478546</t>
  </si>
  <si>
    <t>اسلام ذكى زكريا خيرى</t>
  </si>
  <si>
    <t>01223280300</t>
  </si>
  <si>
    <t>الزنكلون</t>
  </si>
  <si>
    <t>الوحدة 69 دعم فني - إدارة المخابرات الحربية - ورشة 4 مركبات</t>
  </si>
  <si>
    <t>احمد محمد علي محمد</t>
  </si>
  <si>
    <t>خازن فني</t>
  </si>
  <si>
    <t>01013434840</t>
  </si>
  <si>
    <t>01025489557</t>
  </si>
  <si>
    <t>منية الحيض</t>
  </si>
  <si>
    <t>اطسا</t>
  </si>
  <si>
    <t>ورشة ل 117 مش ميكا مقل - مستودع 2 مركبات</t>
  </si>
  <si>
    <t>محمد ابراهيم محمد عبدالرحمن</t>
  </si>
  <si>
    <t>01068411203</t>
  </si>
  <si>
    <t>01145698745</t>
  </si>
  <si>
    <t>المحسمة القديمة</t>
  </si>
  <si>
    <t>التل الكبير</t>
  </si>
  <si>
    <t>الاسماعيلية</t>
  </si>
  <si>
    <t>الورشة 4 مركبات</t>
  </si>
  <si>
    <t>عبدالهادى محمد عبدالهادى عيسى</t>
  </si>
  <si>
    <t>01060398931</t>
  </si>
  <si>
    <t>01007461855</t>
  </si>
  <si>
    <t>شبرا السلام</t>
  </si>
  <si>
    <t xml:space="preserve">احمد علاء ابراهيم محمد على </t>
  </si>
  <si>
    <t>01127716365</t>
  </si>
  <si>
    <t>01276343071</t>
  </si>
  <si>
    <t>القطايع</t>
  </si>
  <si>
    <t>شعبان محمد محمود شعبان</t>
  </si>
  <si>
    <t>اصلاح بطاريات</t>
  </si>
  <si>
    <t>01018013431</t>
  </si>
  <si>
    <t>01258794556</t>
  </si>
  <si>
    <t>كفر مساعد</t>
  </si>
  <si>
    <t>ايتاي البارود</t>
  </si>
  <si>
    <t>ورشة شكمنات وردياتيروصيانه عامه - مجمع الصناعات الهندسية / إدارة المركبات - مركز تدريب مهن المركبات والمدرعات والتسليح وتشغيل المعادن</t>
  </si>
  <si>
    <t xml:space="preserve">كريم عبدالرازق عبدالواحد </t>
  </si>
  <si>
    <t>كهربائي بطاريات</t>
  </si>
  <si>
    <t>01147486978</t>
  </si>
  <si>
    <t>عزبة ابو شوشة</t>
  </si>
  <si>
    <t>ورشة مركبات برنيس - ورشة مركبات قطاع اسوان</t>
  </si>
  <si>
    <t>السعيد عبدالرحمن الشرنوبي</t>
  </si>
  <si>
    <t xml:space="preserve">ميكا مركبات </t>
  </si>
  <si>
    <t>010509126600</t>
  </si>
  <si>
    <t>01148475976</t>
  </si>
  <si>
    <t>كفرالشيخ</t>
  </si>
  <si>
    <t>ورشة ل 166 مش ميكا مقل - ورشة مدرعات الجيش رقم 20 - مركز تدريب مهني مركبات</t>
  </si>
  <si>
    <t>محمد حسين احمد محمد</t>
  </si>
  <si>
    <t>01148479590</t>
  </si>
  <si>
    <t>01124361930</t>
  </si>
  <si>
    <t>الفرستق</t>
  </si>
  <si>
    <t>ورشة المركبات 207 ح ح - ورشة  6 محركات</t>
  </si>
  <si>
    <t>عبدالخالق عزي محمد اسماعيل</t>
  </si>
  <si>
    <t>غرف حبس البحر الأحمر</t>
  </si>
  <si>
    <t xml:space="preserve">رقيب فصيلة خدمة وحراسة </t>
  </si>
  <si>
    <t>01099031180</t>
  </si>
  <si>
    <t>فتحي مكرم سعد عبدالحميد</t>
  </si>
  <si>
    <t>01006158214</t>
  </si>
  <si>
    <t>محمد فوزي محمدين علي</t>
  </si>
  <si>
    <t>ك590 مياه</t>
  </si>
  <si>
    <t>عماد ابوزيد عباس اللبودي</t>
  </si>
  <si>
    <t>صلاح محمد بهي الدين</t>
  </si>
  <si>
    <t>سعد حسن السيد برايا</t>
  </si>
  <si>
    <t>قيادة قطاع البحر الأحمر العسكري</t>
  </si>
  <si>
    <t>01224283400</t>
  </si>
  <si>
    <t>الكلية الحربية</t>
  </si>
  <si>
    <t>انزلاق غضروفى في الفقرة (4،5) مستوي ادني</t>
  </si>
  <si>
    <t>احمد السيد احمد محمد شلبى</t>
  </si>
  <si>
    <t>حكمدار جماعة امن / مشاة أجهزة قيادة</t>
  </si>
  <si>
    <t>01025760407</t>
  </si>
  <si>
    <t>01040367232</t>
  </si>
  <si>
    <t>مدرسة المعركة والإمداد بالرجال م ج ع - ك 43 صاعقة</t>
  </si>
  <si>
    <t>محمد حمدى ذكى محمد</t>
  </si>
  <si>
    <t>حكمدار / قسم / فرع</t>
  </si>
  <si>
    <t>01099841443</t>
  </si>
  <si>
    <t>01554211697</t>
  </si>
  <si>
    <t>منطقة تجنيد الجيزة / منطقة تجنيد أسيوط / منطقة تجنيد القاهرة</t>
  </si>
  <si>
    <t>عماد مصطفي محمد عدوي</t>
  </si>
  <si>
    <t>مجمع ميادين الرماية رقم 24</t>
  </si>
  <si>
    <t>رقيب أول سرية تعليم</t>
  </si>
  <si>
    <t>01090085819</t>
  </si>
  <si>
    <t>قسم الأمن الحربي</t>
  </si>
  <si>
    <t>ك 515 مش / ك 888 مش</t>
  </si>
  <si>
    <t>دولة مالي</t>
  </si>
  <si>
    <t>شعبان سالم عبدالجواد هيبة</t>
  </si>
  <si>
    <t>01065332855</t>
  </si>
  <si>
    <t>29801011835092</t>
  </si>
  <si>
    <t>ك 155 مش / ل 166 مش ميكا مقل</t>
  </si>
  <si>
    <t>دولة نامبيا</t>
  </si>
  <si>
    <t>محمد السيد عبدالعزيز عبدالقادر</t>
  </si>
  <si>
    <t>01070296116</t>
  </si>
  <si>
    <t>01122933002</t>
  </si>
  <si>
    <t>س 154 مخابز ميدانية - مجمع انتاج الخبز النصف آلي رقم 3</t>
  </si>
  <si>
    <t>كوريا الجنوبية</t>
  </si>
  <si>
    <t>احمد عبدالسلام عبد البصير</t>
  </si>
  <si>
    <t>01274880446</t>
  </si>
  <si>
    <t>01284826955</t>
  </si>
  <si>
    <t>الميس المجمع رقم 6 - مجموعة انشاءات خطية رقم 1</t>
  </si>
  <si>
    <t>أفريقيا الوسطي</t>
  </si>
  <si>
    <t>محمود عبدالعزيز صالح محمد</t>
  </si>
  <si>
    <t>01014580281</t>
  </si>
  <si>
    <t>السمبلاوين</t>
  </si>
  <si>
    <t>مستودع التعيينات رقم 21 - مستودع التعيينات رقم 6</t>
  </si>
  <si>
    <t>سعيد احمد سعيد محمد علي</t>
  </si>
  <si>
    <t>طاهى/ راتب عالى /مجند</t>
  </si>
  <si>
    <t>01096800199</t>
  </si>
  <si>
    <t>0128231155</t>
  </si>
  <si>
    <t>مستودع التعيينات رقم 21</t>
  </si>
  <si>
    <t>محمد رضا ابراهيم السيد عبدالسلام</t>
  </si>
  <si>
    <t>01062378964</t>
  </si>
  <si>
    <t>01120047097</t>
  </si>
  <si>
    <t>فوج إنتاج الخبز المتحرك - سرية المخابز الميدانية رقم 157 - مجمع انتاج الخبز نصف الى رقم 3</t>
  </si>
  <si>
    <t>احمد محمد احمد حسن حجازي</t>
  </si>
  <si>
    <t>01010153358</t>
  </si>
  <si>
    <t>01112225648</t>
  </si>
  <si>
    <t>أبو زعبل</t>
  </si>
  <si>
    <t xml:space="preserve">الفوج 303 نقل - س نقل لواء 9 مش ميكا - كتيبة النقل المختلط م ج ع </t>
  </si>
  <si>
    <t>احمد محمد عبدالصمد محمد</t>
  </si>
  <si>
    <t>01152276427</t>
  </si>
  <si>
    <t>01060688658</t>
  </si>
  <si>
    <t>عبدربه فؤاد حسن حسين</t>
  </si>
  <si>
    <t>01155848406</t>
  </si>
  <si>
    <t>01156942164</t>
  </si>
  <si>
    <t>إسنا</t>
  </si>
  <si>
    <t>الميس المجمع رقم 6</t>
  </si>
  <si>
    <t>احمد محمد عطا محمد البرعي</t>
  </si>
  <si>
    <t>01145763532</t>
  </si>
  <si>
    <t>01010173234</t>
  </si>
  <si>
    <t xml:space="preserve">بسيون </t>
  </si>
  <si>
    <t>مستودع التعيينات رقم 18 - فوج انتاج الخبز المتحرك</t>
  </si>
  <si>
    <t>احمد عيد عبدالعظيم عبدالحفيظ</t>
  </si>
  <si>
    <t>01153650052</t>
  </si>
  <si>
    <t>01063281234</t>
  </si>
  <si>
    <t>عبدالرازق رشاد مجاهد مهران</t>
  </si>
  <si>
    <t>01212565788</t>
  </si>
  <si>
    <t>01200700294</t>
  </si>
  <si>
    <t>طهطا</t>
  </si>
  <si>
    <t>يوسف وحيد جمعه عبدالغنى شحاته</t>
  </si>
  <si>
    <t>01013318697</t>
  </si>
  <si>
    <t>01553885678</t>
  </si>
  <si>
    <t>س 122 قيا ل 22 مد</t>
  </si>
  <si>
    <t>ايمن رضا ابراهيم طه ابراهيم طه</t>
  </si>
  <si>
    <t>01021352972</t>
  </si>
  <si>
    <t>01094132277</t>
  </si>
  <si>
    <t>مستودع التعيينات رقم 17</t>
  </si>
  <si>
    <t>محمد صلاح محمد ابراهيم الجمال</t>
  </si>
  <si>
    <t>01096394160</t>
  </si>
  <si>
    <t>01104846896</t>
  </si>
  <si>
    <t xml:space="preserve">اشرف احمد محمد محمد </t>
  </si>
  <si>
    <t>مستودع 21 وقود</t>
  </si>
  <si>
    <t>01005104183</t>
  </si>
  <si>
    <t xml:space="preserve">طهطا </t>
  </si>
  <si>
    <t xml:space="preserve">محمد سيد احمد عبدالرحمن </t>
  </si>
  <si>
    <t>محمد محمود محمد ابراهيم</t>
  </si>
  <si>
    <t>ميكانيكي طلمباط وقود</t>
  </si>
  <si>
    <t>01271820118</t>
  </si>
  <si>
    <t>محمد عبدالمنعم عبدالعزيز اسماعيل</t>
  </si>
  <si>
    <t>عامل تشغيل مضخات</t>
  </si>
  <si>
    <t>01272022209</t>
  </si>
  <si>
    <t xml:space="preserve">محمد أحمد اسماعيل على </t>
  </si>
  <si>
    <t>01016714220</t>
  </si>
  <si>
    <t>محمد عبدالكافى محمد جمعه</t>
  </si>
  <si>
    <t>01155690569</t>
  </si>
  <si>
    <t>نبيل مسعود حسن الجمال</t>
  </si>
  <si>
    <t>المستودع الفرعى للأسلحة والذخيرة رقم 2</t>
  </si>
  <si>
    <t xml:space="preserve">عامل اصلاح مدافع ميدان </t>
  </si>
  <si>
    <t>01005814656</t>
  </si>
  <si>
    <t>الورشة 13 أسلحة - قيا ل 39 مد 155 ذاتي الحركة / فرقة 3 - ورشة ل 10 مش ميكا - ورشة 3 مركبات / فرقة 3 مش ميكا - ورشة 103 ميدانية للاسلحه - مركز تدريب مهن التسليح</t>
  </si>
  <si>
    <t>احمد جمعة محمد عبدربه</t>
  </si>
  <si>
    <t>01021088453</t>
  </si>
  <si>
    <t>مركز تدريب مشترك الأسلحة والذخيرة - المستودع الفرعى للاسلحة و الذخيرة رقم 45 مستوي أ - وحدة الذخيرة رقم 1</t>
  </si>
  <si>
    <t>مجدى شمس الدين محمد ابراهيم</t>
  </si>
  <si>
    <t>مندوب أمن</t>
  </si>
  <si>
    <t>01061719794</t>
  </si>
  <si>
    <t>قيادة وحدات حوف العسكريه - المستودع الميداني للأسلحة والذخيرة رقم 37</t>
  </si>
  <si>
    <t>احمد سعيد علي سالم</t>
  </si>
  <si>
    <t>مساعد معلم خدمة وحراسة</t>
  </si>
  <si>
    <t>01021448979</t>
  </si>
  <si>
    <t>الورشة الفرعية للأسلحة رقم 13 - المستودع 45 ذخيرة - وحدة الذخيرة رقم 1</t>
  </si>
  <si>
    <t>عبدالنعيم بدر عبدالنعيم</t>
  </si>
  <si>
    <t>01060186013</t>
  </si>
  <si>
    <t>الورشة 103 أسلحة ميدانيه للاسلحه - الوحدة 75 أسلحة - ورشة ل 12 مش ميكا مقل</t>
  </si>
  <si>
    <t>احمد رجب نصر ابراهيم</t>
  </si>
  <si>
    <t>معهد الوقود الصاروخي - معهد الأسلحة والذخيرة</t>
  </si>
  <si>
    <t>افريقيا الوسطي (حفظ سلام)</t>
  </si>
  <si>
    <t>احمد علي عبد العاطي علي</t>
  </si>
  <si>
    <t>مستودع 61 أسلحة - مستودع 68 أسلحة</t>
  </si>
  <si>
    <t>حسام جعفر عبدالباقى محمد</t>
  </si>
  <si>
    <t>01090031182</t>
  </si>
  <si>
    <t xml:space="preserve"> الورشة 103 أسلحة ميد - المستودع الفرعي للأسلحة والذخيرة - الوحدة 75 أسلحة</t>
  </si>
  <si>
    <t>احمد عزت عبدالفتاح عبدالمعطى</t>
  </si>
  <si>
    <t>كهربائي مدافع م/ط</t>
  </si>
  <si>
    <t>01091427927</t>
  </si>
  <si>
    <t>وحدة 75 أسلحة</t>
  </si>
  <si>
    <t>احمد ربيع علي علي عبدالهادي</t>
  </si>
  <si>
    <t>أمین مخزن ذخیرة</t>
  </si>
  <si>
    <t xml:space="preserve">مستودع 30 ذخيرة - فر 3 / قيا ل 10 - الوحدة 10 أسلحة وذخيرة رقم 10 - مستودع 30 ذخيرة    </t>
  </si>
  <si>
    <t>على ابراهيم ابراهيم عبد الجواد</t>
  </si>
  <si>
    <t>عامل اصلاح اجهزه بصرية</t>
  </si>
  <si>
    <t>الورشة 1 اسلحة - الورشة 3 اسلحة</t>
  </si>
  <si>
    <t>أحمد راضي حسن السيد</t>
  </si>
  <si>
    <t>خازن فني معدات رادارية</t>
  </si>
  <si>
    <t>01553051067</t>
  </si>
  <si>
    <t>محمد طلعت عبدالعظيم محمد حسن</t>
  </si>
  <si>
    <t>01090588173</t>
  </si>
  <si>
    <t>فوج تأمين المجري الملاحي - هيئة تسليح ق م - الوحدة 1 ذخيرة</t>
  </si>
  <si>
    <t>اسلام يحيى زكى رضوان</t>
  </si>
  <si>
    <t>عامل اصلاح صواريخ م م د</t>
  </si>
  <si>
    <t>01017642051</t>
  </si>
  <si>
    <t>الورشة 103 أسلحة ميدانيه للاسلحه - الورشة الرئيسية للمعدات الصاروخية</t>
  </si>
  <si>
    <t>اسلام سمير على حشيش</t>
  </si>
  <si>
    <t>ميكانيكي مدافع</t>
  </si>
  <si>
    <t>01006833248</t>
  </si>
  <si>
    <t>الورشة 103 أسلحة ميدانيه للاسلحه - الورشة 3 أسلحة</t>
  </si>
  <si>
    <t>سعد عبدالعظيم سعد خلف</t>
  </si>
  <si>
    <t>01272501443</t>
  </si>
  <si>
    <t>المستودع 162 أسلحة - الوحدة 75 أسلحة - المستودع الرئيسي لقطع غيارالأسلحة والمعدات رقم 63 - المستودع الرئيسي رقم 4 اسلحة</t>
  </si>
  <si>
    <t>محمود ابراهيم توفيق خضير</t>
  </si>
  <si>
    <t>الورشة الرئيسية للذخيرة رقم 1 - المستودع الرئيسي للذخيره رقم 21 / مستوي أ</t>
  </si>
  <si>
    <t>احمد عبدالرازق صبري</t>
  </si>
  <si>
    <t>عامل إصلاح أجهزة معايرة</t>
  </si>
  <si>
    <t>01094226498</t>
  </si>
  <si>
    <t>الكلية الفنية - الورشة الرئيسية لمعدات الصيانه والمعايرة</t>
  </si>
  <si>
    <t>محمد نصر السيد عبده</t>
  </si>
  <si>
    <t>01118762552</t>
  </si>
  <si>
    <t>مستودع 30 ذخيرة - ل 130 / فر 33 مش ميكا - مستودع 62 أسلحة</t>
  </si>
  <si>
    <t>مصطفي زين العابدين راضي عيد</t>
  </si>
  <si>
    <t>01098714917</t>
  </si>
  <si>
    <t>مستودع 37 أسلحة وذخيرة - قيا فر 21 مد - مستودع 68 خامات</t>
  </si>
  <si>
    <t>محمد خالد محمد علي</t>
  </si>
  <si>
    <t>مستودع 30 ذخيرة - الوحدة 1 ذخيرة</t>
  </si>
  <si>
    <t>محمد صالح محمد فهيم</t>
  </si>
  <si>
    <t>01090721129</t>
  </si>
  <si>
    <t>مستودع 30 ذخيرة - مستودع 2 ذخيرة - الوحدة 1 ذخيرة</t>
  </si>
  <si>
    <t>بلال هشام عبدالجواد محمود</t>
  </si>
  <si>
    <t>الورشة الرئيسية للذخائر</t>
  </si>
  <si>
    <t>ابوالخير عباس عبدالعظيم محمود</t>
  </si>
  <si>
    <t>مركبات هيئه</t>
  </si>
  <si>
    <t xml:space="preserve">احمد صبحي محمد سالم </t>
  </si>
  <si>
    <t>01067969431</t>
  </si>
  <si>
    <t>مستودع 1 ذخيرة</t>
  </si>
  <si>
    <t>عمر اشرف عمر عمر العباسى</t>
  </si>
  <si>
    <t>01098457289</t>
  </si>
  <si>
    <t>مستودع 30 ذخيرة</t>
  </si>
  <si>
    <t>محمود احمد محمود حامد مصباح</t>
  </si>
  <si>
    <t>01020790691</t>
  </si>
  <si>
    <t>احمد صلاح عبدالعال عبدالعال</t>
  </si>
  <si>
    <t>01019749495</t>
  </si>
  <si>
    <t>محمد على عبدالوهاب مصطفى الفخرانى</t>
  </si>
  <si>
    <t>01223882971</t>
  </si>
  <si>
    <t>30411261601855</t>
  </si>
  <si>
    <t xml:space="preserve">البدرى رجب محمد احمد </t>
  </si>
  <si>
    <t>01001522448</t>
  </si>
  <si>
    <t>احمد عماد حمدنى لبيب مبارك</t>
  </si>
  <si>
    <t>عامل إصلاح أسلحة</t>
  </si>
  <si>
    <t>٠١٥٥٢١٦١١١٤</t>
  </si>
  <si>
    <t>علاء عبدالعال قناوى سليمان</t>
  </si>
  <si>
    <t xml:space="preserve">النقطة الطبية بحلايب </t>
  </si>
  <si>
    <t>ممرض</t>
  </si>
  <si>
    <t>01012143606</t>
  </si>
  <si>
    <t>01155147220</t>
  </si>
  <si>
    <t>قسم تأمين بوابات الجهاز الإدارى والفنى للقيادة الإستراتيجية - مستشفى دمياط العسكرى</t>
  </si>
  <si>
    <t>محمود محمد ابراهيم ابراهيم السمدونى</t>
  </si>
  <si>
    <t>الثانية</t>
  </si>
  <si>
    <t>فنى معمل</t>
  </si>
  <si>
    <t>01030292623</t>
  </si>
  <si>
    <t>01122330109</t>
  </si>
  <si>
    <t>مست كلية الدفاع الجوى - المجمع الطبى بالمعادى</t>
  </si>
  <si>
    <t>هشام رمضان احمد عبده المحجوب</t>
  </si>
  <si>
    <t>النقطة الطبية بشلاتين</t>
  </si>
  <si>
    <t>01016531903</t>
  </si>
  <si>
    <t>010243360902</t>
  </si>
  <si>
    <t>مست السجن العمومى - مست العريش العسكرى</t>
  </si>
  <si>
    <t>احمد ايمن مختار العربى</t>
  </si>
  <si>
    <t>01025543051</t>
  </si>
  <si>
    <t>01272521059</t>
  </si>
  <si>
    <t>مست السجن العمومى</t>
  </si>
  <si>
    <t>احمد فتحى مسعد عبدالجواد محمد</t>
  </si>
  <si>
    <t>عبدالمنعم محمد محمد يوسف</t>
  </si>
  <si>
    <t>01010204201</t>
  </si>
  <si>
    <t>01001647451</t>
  </si>
  <si>
    <t>ابوطوالة</t>
  </si>
  <si>
    <t>ذكى حسن ذكى حسن شتا وافى</t>
  </si>
  <si>
    <t>01002663481</t>
  </si>
  <si>
    <t>بار الحمام</t>
  </si>
  <si>
    <t>تمثيل عسكرى ( مكتب دفاع لندن / إنجلترا ) 2025/06/15</t>
  </si>
  <si>
    <t>رضا مرسى ذكى مرسى</t>
  </si>
  <si>
    <t>01159131394</t>
  </si>
  <si>
    <t>01000202016</t>
  </si>
  <si>
    <t xml:space="preserve">عواد خيرى عواد حجاج </t>
  </si>
  <si>
    <t>01065313417</t>
  </si>
  <si>
    <t>010553190635</t>
  </si>
  <si>
    <t>نجوم</t>
  </si>
  <si>
    <t>عبدالمنعم فتحى عبدالمنعم محمد عبدالعزيز</t>
  </si>
  <si>
    <t>01050088698</t>
  </si>
  <si>
    <t>غزبة احمد عبدة الرحمانية</t>
  </si>
  <si>
    <t>محمد حسين محمد العقود</t>
  </si>
  <si>
    <t>01050037644</t>
  </si>
  <si>
    <t>01008197363</t>
  </si>
  <si>
    <t xml:space="preserve">جماجمون </t>
  </si>
  <si>
    <t>احمد محمد عبدالصادق عبدالمجيد</t>
  </si>
  <si>
    <t>01289218513</t>
  </si>
  <si>
    <t>01144718591</t>
  </si>
  <si>
    <t>روضة خيري</t>
  </si>
  <si>
    <t>محمود على محمود نصر الدين</t>
  </si>
  <si>
    <t>01004572512</t>
  </si>
  <si>
    <t>01114245561</t>
  </si>
  <si>
    <t>الوفائية</t>
  </si>
  <si>
    <t>محمود محمد هادى عمارة</t>
  </si>
  <si>
    <t>01093675711</t>
  </si>
  <si>
    <t>01222316456</t>
  </si>
  <si>
    <t xml:space="preserve">العجمي </t>
  </si>
  <si>
    <t>علاء عبد الصادق محمود ابو العينين</t>
  </si>
  <si>
    <t>سرية اشارة قطاع برنيس</t>
  </si>
  <si>
    <t>12صناع عسكريين</t>
  </si>
  <si>
    <t>إدارة الاشارة</t>
  </si>
  <si>
    <t>ميكانيكى اصلاح معدات لاسلكية</t>
  </si>
  <si>
    <t>01013909307</t>
  </si>
  <si>
    <t>محمود محمد حافظ احمد البسة</t>
  </si>
  <si>
    <t xml:space="preserve">دبلوم صناعى </t>
  </si>
  <si>
    <t xml:space="preserve">ميكانيكى اصلاح معدات لاس </t>
  </si>
  <si>
    <t>29203151202851</t>
  </si>
  <si>
    <t xml:space="preserve">الاشعاع الحضارى م ج ع </t>
  </si>
  <si>
    <t>ابراهيم زاهر ابراهيم الغربلي</t>
  </si>
  <si>
    <t>حكمدار جماعة ارسال واستقبال</t>
  </si>
  <si>
    <t>محمد عصام عبدالرازق اسماعيل عبدالعال</t>
  </si>
  <si>
    <t>محمود سعيد ابوبكر الصديق</t>
  </si>
  <si>
    <t>ف 52 ش ع</t>
  </si>
  <si>
    <t>01027498298</t>
  </si>
  <si>
    <t>مطار الصالحية ش . ع مركز تدريب الشرطة</t>
  </si>
  <si>
    <t>احمد ناصر متولى السيد</t>
  </si>
  <si>
    <t>مندوب شرطة عسكرية ضبط هاربين</t>
  </si>
  <si>
    <t>01070297415</t>
  </si>
  <si>
    <t>ف 82 ش.ع - مركز تدريب الشرطة ادارة الشرطه العسكرية</t>
  </si>
  <si>
    <t>ما بعد تثقيب للقرحة بالركبة</t>
  </si>
  <si>
    <t>محمد ربيع محمد عبداللطيف</t>
  </si>
  <si>
    <t>01148586982</t>
  </si>
  <si>
    <t>الكلية الحربية ش .ع - س 96 ش.ع</t>
  </si>
  <si>
    <t>محمد رزق محمود رزق</t>
  </si>
  <si>
    <t>01008642667</t>
  </si>
  <si>
    <t>س 97 ش.ع</t>
  </si>
  <si>
    <t>مصطفى اشرف امين الشاملي</t>
  </si>
  <si>
    <t>حكمدار طاقم شرطة عسكرية</t>
  </si>
  <si>
    <t>01020127252</t>
  </si>
  <si>
    <t>احمد محمد محمد السيد</t>
  </si>
  <si>
    <t>01030272222</t>
  </si>
  <si>
    <t>01069229394</t>
  </si>
  <si>
    <t>5 ش خفرع</t>
  </si>
  <si>
    <t xml:space="preserve">ايهاب عادل كمال عبدالغنى </t>
  </si>
  <si>
    <t>رامى بب ك 60 أ3</t>
  </si>
  <si>
    <t>مدرسة ضباط الصف / ك 199 بب/ ك218بب/ك201بب/ك742بب/ك117بب</t>
  </si>
  <si>
    <t>كرم عادل عبد الله مصطفى حرحش</t>
  </si>
  <si>
    <t xml:space="preserve">مدرسة ضباط الصف / ك901 / ك 90/ ك360مش ميكا /قيادةقطاع برنيس </t>
  </si>
  <si>
    <t>ابراهيم طه سيد احمد ابراهيم موسى</t>
  </si>
  <si>
    <t>01008728951</t>
  </si>
  <si>
    <t>01092246106</t>
  </si>
  <si>
    <t>ميت الحارون</t>
  </si>
  <si>
    <t>انور طلعت انور الغزالي</t>
  </si>
  <si>
    <t>حكمدار جماعة خدمة وحراسه</t>
  </si>
  <si>
    <t>عبدالموجود رجب محمد عبدالوهاب</t>
  </si>
  <si>
    <t>قيادة محطة قنا</t>
  </si>
  <si>
    <t>محمود على رجب حجاج</t>
  </si>
  <si>
    <t>01063907756</t>
  </si>
  <si>
    <t>01000455523</t>
  </si>
  <si>
    <t>ك 102 سطع / فر 2 مش ميكا - س 57 سطع / ل 57 مدرع فر 16 - س 9 سطع / ل 90 مش فر 2 مدرع</t>
  </si>
  <si>
    <t>شريف محمد عبدالله شحاته</t>
  </si>
  <si>
    <t>01070707877</t>
  </si>
  <si>
    <t>01224727153</t>
  </si>
  <si>
    <t>هيئة الإستخبارات العسكرية - جهاز الإستطلاع - ك 4 سطع - ك 9 سطع - الفوج الأول سطع</t>
  </si>
  <si>
    <t>أحمد على شحاته حسن غانم</t>
  </si>
  <si>
    <t>سطع</t>
  </si>
  <si>
    <t>01002211572</t>
  </si>
  <si>
    <t>مركز تدريب مخ وسطع - ك 8 سطع - س 71 سطع / ل 71 م - ك 103 سطع</t>
  </si>
  <si>
    <t>احمد محمد محمد عبدربه بكر</t>
  </si>
  <si>
    <t>01068023315</t>
  </si>
  <si>
    <t>01098432326</t>
  </si>
  <si>
    <t>س 118 سطع - س 222 سطع</t>
  </si>
  <si>
    <t>محمد على هلال شرقاوى</t>
  </si>
  <si>
    <t>01021900821</t>
  </si>
  <si>
    <t>01067743005</t>
  </si>
  <si>
    <t>جهاز الإستطلاع - فكاع وسط سيناء - س 116 سطع - س 33 سطع - الفوج الأول</t>
  </si>
  <si>
    <t>أحمد أبوبكر محمود الميهى</t>
  </si>
  <si>
    <t>01093645490</t>
  </si>
  <si>
    <t>01036610521</t>
  </si>
  <si>
    <t>س 9 سطع - مدرسة الإستطلاع - ك 10 سطع</t>
  </si>
  <si>
    <t>كريم ايمن عبدالمنعم سلامة</t>
  </si>
  <si>
    <t>01029348783</t>
  </si>
  <si>
    <t>01208980921</t>
  </si>
  <si>
    <t>عزبة شهوان</t>
  </si>
  <si>
    <t>إسلام جمال على أحمد عطا</t>
  </si>
  <si>
    <t>01064161528</t>
  </si>
  <si>
    <t>01271170532</t>
  </si>
  <si>
    <t>س 9 سطع - ك 4 سطع</t>
  </si>
  <si>
    <t>صبرى جمال محمدين نصار</t>
  </si>
  <si>
    <t>01146351677</t>
  </si>
  <si>
    <t>مصطفى محمد عيد محمد خليفه عيد</t>
  </si>
  <si>
    <t>01027519583</t>
  </si>
  <si>
    <t>01063720791</t>
  </si>
  <si>
    <t>ش الخربتاوى</t>
  </si>
  <si>
    <t>مصطفى محمد حسن محمد</t>
  </si>
  <si>
    <t>01019480274</t>
  </si>
  <si>
    <t>01001327081</t>
  </si>
  <si>
    <t>الوحدة 609 دعم فني - إدارة المخابرات الحربية</t>
  </si>
  <si>
    <t>عرفات ناصر حسن لبيب محمد</t>
  </si>
  <si>
    <t>01554884343</t>
  </si>
  <si>
    <t>01090191112</t>
  </si>
  <si>
    <t>مركز تدريب مخ وسطع</t>
  </si>
  <si>
    <t>احمد عصام زكريا عبدالعليم طه</t>
  </si>
  <si>
    <t>01125859053</t>
  </si>
  <si>
    <t>محمد يوسف عبدالمنعم عبدالرازق</t>
  </si>
  <si>
    <t>01027390982</t>
  </si>
  <si>
    <t>هيئة الإستخبارات العسكرية</t>
  </si>
  <si>
    <t>على أحمد على السيد أحمد</t>
  </si>
  <si>
    <t>01024679209</t>
  </si>
  <si>
    <t>محمد طارق محمد أحمد إسماعيل</t>
  </si>
  <si>
    <t>01004439879</t>
  </si>
  <si>
    <t>محمد السيد محمد السيد الكلاف</t>
  </si>
  <si>
    <t>01055091637</t>
  </si>
  <si>
    <t>01127137235</t>
  </si>
  <si>
    <t>حسام على عبدالحميد أحمد</t>
  </si>
  <si>
    <t>01016827582</t>
  </si>
  <si>
    <t>مصطفى خالد أحمد محمود الروبى</t>
  </si>
  <si>
    <t>01015067711</t>
  </si>
  <si>
    <t>01064346495</t>
  </si>
  <si>
    <t>محمد أحمد عبدالمعطى محمد محمود</t>
  </si>
  <si>
    <t>01274051412</t>
  </si>
  <si>
    <t>01287488375</t>
  </si>
  <si>
    <t>أحمد حازم إبراهيم صالح سالم</t>
  </si>
  <si>
    <t>01032410780</t>
  </si>
  <si>
    <t>مصطفى نصر محمد على النادى</t>
  </si>
  <si>
    <t>01153148794</t>
  </si>
  <si>
    <t>01151617619</t>
  </si>
  <si>
    <t>غزبة البدوي البحرية</t>
  </si>
  <si>
    <t xml:space="preserve">ايمن على محمد يونس </t>
  </si>
  <si>
    <t>ك815 مد م مقلة</t>
  </si>
  <si>
    <t>محمد حمدى عرفة نصر الحلبى</t>
  </si>
  <si>
    <t>عبدالقوى احمد عبدالقوى شاهين</t>
  </si>
  <si>
    <t>حكمدار طاقم 130</t>
  </si>
  <si>
    <t>01096732043</t>
  </si>
  <si>
    <t>01011060807</t>
  </si>
  <si>
    <t>ك 330 مد وسط / ل 12 مد - ك 838 مد وسط / ل 58 مد</t>
  </si>
  <si>
    <t>احمد ابراهيم اسماعيل السيد احمد</t>
  </si>
  <si>
    <t>محمد هلال سعد امين خطاب</t>
  </si>
  <si>
    <t>ياسر محمد عوض رفاعى</t>
  </si>
  <si>
    <t>يوسف عبدالباسط عبدالله عبدالحميد</t>
  </si>
  <si>
    <t>رقيب أول سرية الهاوتزر 122</t>
  </si>
  <si>
    <t>01028297753</t>
  </si>
  <si>
    <t>01093535402</t>
  </si>
  <si>
    <t>فوج 3 مقذوفات - إدارة المدفعية - ك 323 مد وسط - مركز تدريب مدفعية رقم 1</t>
  </si>
  <si>
    <t>عبدالعزيز ابراهيم عبدالمقصود يوسف</t>
  </si>
  <si>
    <t>محمد السيد عبدالله ابوعيشة</t>
  </si>
  <si>
    <t>بدر فكرى محمد عبدالفتاح</t>
  </si>
  <si>
    <t>حكمدار جماعة سطع مدفعية</t>
  </si>
  <si>
    <t>01021699432</t>
  </si>
  <si>
    <t>01003864715</t>
  </si>
  <si>
    <t>قيا ل 53 مد وسط</t>
  </si>
  <si>
    <t>يوسف احمد ابراهيم علي</t>
  </si>
  <si>
    <t>محمود محمد عبدالسلام عبدالرحمن</t>
  </si>
  <si>
    <t>عمر عبدالعليم حمد رواش</t>
  </si>
  <si>
    <t>سليم محمد عبدالسلام سليم</t>
  </si>
  <si>
    <t>مست جراميد رقم 23</t>
  </si>
  <si>
    <t>43 تمريض</t>
  </si>
  <si>
    <t>ثانوية تمريض</t>
  </si>
  <si>
    <t>حكمدار جماعة امن / إدارة الخدمات الطبية</t>
  </si>
  <si>
    <t>010090026196</t>
  </si>
  <si>
    <t xml:space="preserve">المجمع الطبي ق.م بكوبري القبه - المستشفى العسكري بالعامرية - قيادة قطاع برنيس العسكري - كلية د/ جوى - المستشفى البحري العام </t>
  </si>
  <si>
    <t xml:space="preserve">ابراهيم محمود ابراهيم </t>
  </si>
  <si>
    <t>الثالثه تمريض</t>
  </si>
  <si>
    <t>01055861495</t>
  </si>
  <si>
    <t>29201290100831</t>
  </si>
  <si>
    <t>المجمع الطبي بالمعادي - العيادة الخارجية بزهراء مدينة نصر - سرية 630 طب/ ل30 - المجمع الطبي ق.م بكوبري القبة</t>
  </si>
  <si>
    <t>احمد بركات سالم</t>
  </si>
  <si>
    <t>الكومسيون الطبي بالقوات البحريه - مسترال انور السادات (حاملة مروحيات)</t>
  </si>
  <si>
    <t>احمد عبدالرحمن رمضان عبدالجواد</t>
  </si>
  <si>
    <t>01101871902</t>
  </si>
  <si>
    <t>على مكرم الصعيدي</t>
  </si>
  <si>
    <t>السابعه تمريض</t>
  </si>
  <si>
    <t>المجمع الطبي ق.م بكوبري القبه</t>
  </si>
  <si>
    <t>محمد سعد الشحات عطوان</t>
  </si>
  <si>
    <t>سبعه تمريض</t>
  </si>
  <si>
    <t>01060359654</t>
  </si>
  <si>
    <t xml:space="preserve">مستشفى الاسماعيليه العسكري </t>
  </si>
  <si>
    <t>احمد السيد عبدالسلام</t>
  </si>
  <si>
    <t>01094598933</t>
  </si>
  <si>
    <t>مجمع الطبي ق.م بالمعادي</t>
  </si>
  <si>
    <t xml:space="preserve">محمود محمد السيد أحمد على </t>
  </si>
  <si>
    <t>محمد اشرف منصور ابراهيم</t>
  </si>
  <si>
    <t>مستشفى برنيس العسكرى</t>
  </si>
  <si>
    <t>محمد سمير خفاجة محمد عامر</t>
  </si>
  <si>
    <t>اسلام رضا فتحى عبدالحميد شراب</t>
  </si>
  <si>
    <t>أنور كمال عبدالله محمد</t>
  </si>
  <si>
    <t>صبحى محمود ابو زيد احمد</t>
  </si>
  <si>
    <t>محمد رمضان عبدالحميد ابو شنب</t>
  </si>
  <si>
    <t>محمد محمد شحات احمد</t>
  </si>
  <si>
    <t>فتحى صلاح الدين فتحى على عوض</t>
  </si>
  <si>
    <t>عمر نبيل عبدالفتاح محمد عبدالفتاح</t>
  </si>
  <si>
    <t>عبدالحميد مصطفى عبدالحميد دوبر</t>
  </si>
  <si>
    <t>طارق سعد حميده سليمان</t>
  </si>
  <si>
    <t>معاذ جمعة حسين عبدالقادر</t>
  </si>
  <si>
    <t>عبدالله السيد عبدالله الغريب احمد</t>
  </si>
  <si>
    <t>عبدالرحمن سلطان محمد احمد</t>
  </si>
  <si>
    <t>محمد جمال محمود قناوى</t>
  </si>
  <si>
    <t>طه سعيد سويفى عشم</t>
  </si>
  <si>
    <t>محمد مصطفى احمد الحفناوى</t>
  </si>
  <si>
    <t>مستودع 22 تعيينات</t>
  </si>
  <si>
    <t>كاتب شطب و جرد</t>
  </si>
  <si>
    <t>01145882928</t>
  </si>
  <si>
    <t>الغردقة اول</t>
  </si>
  <si>
    <t>البحر الاحمر</t>
  </si>
  <si>
    <t>محي الدين خالد محيي عبدالجواد</t>
  </si>
  <si>
    <t>01095381641</t>
  </si>
  <si>
    <t>أجا</t>
  </si>
  <si>
    <t>حسن رمضان حسن الصباغ</t>
  </si>
  <si>
    <t>01015071995</t>
  </si>
  <si>
    <t>رشيد</t>
  </si>
  <si>
    <t>عبدالحميد محمد السيد محمد</t>
  </si>
  <si>
    <t>01021178380</t>
  </si>
  <si>
    <t>محمود اشرف مغاوري زيد</t>
  </si>
  <si>
    <t>01004420470</t>
  </si>
  <si>
    <t>احمد مسعد عبدالعال الصاوى الخولى</t>
  </si>
  <si>
    <t>كاتب شطب</t>
  </si>
  <si>
    <t>01018565492</t>
  </si>
  <si>
    <t>احمد جمال السيد احمد</t>
  </si>
  <si>
    <t>01032846245</t>
  </si>
  <si>
    <t>فوزى عبدالعزيز فوزى عبدالعزيز</t>
  </si>
  <si>
    <t>01287101698</t>
  </si>
  <si>
    <t>احمد الحسيني على السعيد خاطر</t>
  </si>
  <si>
    <t>01009183072</t>
  </si>
  <si>
    <t>محمد سيد عيسى سيد</t>
  </si>
  <si>
    <t>01091161583</t>
  </si>
  <si>
    <t>يوسف نعيم عوض الله محمود</t>
  </si>
  <si>
    <t>01153469681</t>
  </si>
  <si>
    <t>جزيرة الدوم</t>
  </si>
  <si>
    <t>علي صبري علي عبدالفتاح</t>
  </si>
  <si>
    <t>01122919983</t>
  </si>
  <si>
    <t>مينا القمح</t>
  </si>
  <si>
    <t xml:space="preserve">عبدالله عماد عبدالله ابراهيم </t>
  </si>
  <si>
    <t>01070881826</t>
  </si>
  <si>
    <t>ق.الغردقة أول</t>
  </si>
  <si>
    <t>محمود عبدالله عبدالحميد محمد</t>
  </si>
  <si>
    <t>01063960133</t>
  </si>
  <si>
    <t>حسام الدين ماهر  بشير احمد</t>
  </si>
  <si>
    <t>مستودع 30 وقود</t>
  </si>
  <si>
    <t>01015890059</t>
  </si>
  <si>
    <t>كفر السابي</t>
  </si>
  <si>
    <t>مستودع 13 وقود - ك 100 امداد وقود - مركز ه ا ت رقم 1 - فر 7 مش ميكا - مست الرئاسة العامة رقم 2 - مستودع 17 وقود</t>
  </si>
  <si>
    <t>السودان</t>
  </si>
  <si>
    <t>مصطفى علام محمد على العايدى</t>
  </si>
  <si>
    <t>ميكانيكي معدات وقود</t>
  </si>
  <si>
    <t>عزبة علوانى</t>
  </si>
  <si>
    <t>المجموعة الأولي امداد وقود - مستودع وقود المجموعة الثانية</t>
  </si>
  <si>
    <t xml:space="preserve">احمد متولي محمد قطب </t>
  </si>
  <si>
    <t>01226327314</t>
  </si>
  <si>
    <t>عزبة الخشابة</t>
  </si>
  <si>
    <t>مستودع وقود المجموعة الثانية - الكلية الحربية</t>
  </si>
  <si>
    <t>محمد ابراهيم عبدالعزيز على</t>
  </si>
  <si>
    <t>عبدالرحمن حسن عبدالرحمن امين</t>
  </si>
  <si>
    <t>صف وقود</t>
  </si>
  <si>
    <t>01013083254</t>
  </si>
  <si>
    <t>القراقرة</t>
  </si>
  <si>
    <t>مستودع وقود المجموعة الثانية - مركز ه ا ت رقم 1</t>
  </si>
  <si>
    <t>عبدالله ابراهيم عبدالله جبر</t>
  </si>
  <si>
    <t>شرشيمه</t>
  </si>
  <si>
    <t>مستودع وقود المجموعة الثالثة</t>
  </si>
  <si>
    <t>محمد خالد حماد محمد</t>
  </si>
  <si>
    <t>01125470388</t>
  </si>
  <si>
    <t xml:space="preserve">نجع غانم </t>
  </si>
  <si>
    <t>عبدالرحمن محمد سيد عبدالله</t>
  </si>
  <si>
    <t>01200043960</t>
  </si>
  <si>
    <t xml:space="preserve">6 أكتوبر ثان </t>
  </si>
  <si>
    <t xml:space="preserve"> المجموعة الأولى امداد وقود</t>
  </si>
  <si>
    <t>مصطفي عبدالقوي احمد عبدالقوي</t>
  </si>
  <si>
    <t>01040805567</t>
  </si>
  <si>
    <t>جبارس قبلي</t>
  </si>
  <si>
    <t>عبدالفتاح محمد عبدالفتاح المهدلى</t>
  </si>
  <si>
    <t>ورشة مركبات قطاع برنيس العسكري</t>
  </si>
  <si>
    <t>01093096596</t>
  </si>
  <si>
    <t xml:space="preserve">متزج ويعول </t>
  </si>
  <si>
    <t>شونى</t>
  </si>
  <si>
    <t>سمعوني</t>
  </si>
  <si>
    <t>احمد فواز عبد الرحيم فرغلى</t>
  </si>
  <si>
    <t>01096056719</t>
  </si>
  <si>
    <t xml:space="preserve">اولاد الياس </t>
  </si>
  <si>
    <t>محمد عبدالكريم عبدالحي</t>
  </si>
  <si>
    <t>01092243292</t>
  </si>
  <si>
    <t xml:space="preserve">ام رماد </t>
  </si>
  <si>
    <t>محمد عبدالمنعم سعد التهامي</t>
  </si>
  <si>
    <t>01000812105</t>
  </si>
  <si>
    <t xml:space="preserve">ميت يعيش </t>
  </si>
  <si>
    <t>محمد مجدي سمير محمد</t>
  </si>
  <si>
    <t>01092911347</t>
  </si>
  <si>
    <t xml:space="preserve">سنفا </t>
  </si>
  <si>
    <t xml:space="preserve">يوسف ممدوح محمد على مصطفى </t>
  </si>
  <si>
    <t>01225713110</t>
  </si>
  <si>
    <t xml:space="preserve">اولاد مهنا </t>
  </si>
  <si>
    <t xml:space="preserve">محمد سمير محمد ابو طالب </t>
  </si>
  <si>
    <t>0120251864</t>
  </si>
  <si>
    <t xml:space="preserve">شما </t>
  </si>
  <si>
    <t>عمرو احمد شحاته نور الدين</t>
  </si>
  <si>
    <t xml:space="preserve">كهربائي مركبات </t>
  </si>
  <si>
    <t>01003933918</t>
  </si>
  <si>
    <t xml:space="preserve">اجهور الرمل </t>
  </si>
  <si>
    <t>محمد محمد عبدالعظيم عبدالدايم</t>
  </si>
  <si>
    <t>01068646848</t>
  </si>
  <si>
    <t>منبال</t>
  </si>
  <si>
    <t>ابراهيم مجدى مسعد رضوان</t>
  </si>
  <si>
    <t xml:space="preserve">سمكرى </t>
  </si>
  <si>
    <t>01091554256</t>
  </si>
  <si>
    <t>ابو منجوج</t>
  </si>
  <si>
    <t>مصطفى محمد راغب عصر</t>
  </si>
  <si>
    <t>01093976955</t>
  </si>
  <si>
    <t xml:space="preserve">جنزور </t>
  </si>
  <si>
    <t>عماد رفعت احمد منصور</t>
  </si>
  <si>
    <t>01064736125</t>
  </si>
  <si>
    <t xml:space="preserve">الطيرية البلد </t>
  </si>
  <si>
    <t>ابراهيم محمد عبدالرشيد محمد</t>
  </si>
  <si>
    <t>لحام</t>
  </si>
  <si>
    <t>01220583455</t>
  </si>
  <si>
    <t xml:space="preserve">ش عدلى يكن </t>
  </si>
  <si>
    <t>محمد طلعت مختار محمود الفخر</t>
  </si>
  <si>
    <t>01027629335</t>
  </si>
  <si>
    <t>يوسف احمد محمد عماره مدكور</t>
  </si>
  <si>
    <t xml:space="preserve">كهربائي </t>
  </si>
  <si>
    <t>01196305752</t>
  </si>
  <si>
    <t xml:space="preserve">كوم مازن </t>
  </si>
  <si>
    <t>حمادة عبدالهادي كامل</t>
  </si>
  <si>
    <t>01020348236</t>
  </si>
  <si>
    <t>الدوير</t>
  </si>
  <si>
    <t>احمد محمد عبدالجواد غباشى</t>
  </si>
  <si>
    <t>01001175927</t>
  </si>
  <si>
    <t>منشاة الخزان</t>
  </si>
  <si>
    <t>محمود جمال إسماعيل عبدالله</t>
  </si>
  <si>
    <t>01063607888</t>
  </si>
  <si>
    <t>الجميزة</t>
  </si>
  <si>
    <t xml:space="preserve">مصطفي رمضان كامل محمد </t>
  </si>
  <si>
    <t>01099100020</t>
  </si>
  <si>
    <t>01004427662</t>
  </si>
  <si>
    <t>كفر طنبول القديم</t>
  </si>
  <si>
    <t>س 5 ش ع - ك 1 خط سير الوازير - س 20 ش ع - ك 3 ش ع حراسات</t>
  </si>
  <si>
    <t xml:space="preserve">محمد اشرف فتحي كامل </t>
  </si>
  <si>
    <t>01514195688</t>
  </si>
  <si>
    <t>سفط العنب</t>
  </si>
  <si>
    <t xml:space="preserve">س 94 ش ع - س 133 ش </t>
  </si>
  <si>
    <t>محمود محمد محمود بسیونى المصرى</t>
  </si>
  <si>
    <t>01096106013</t>
  </si>
  <si>
    <t>قصر نور الدين</t>
  </si>
  <si>
    <t>س 42 ش ع</t>
  </si>
  <si>
    <t xml:space="preserve">محمد عرفة موسي احمد </t>
  </si>
  <si>
    <t>01205161452</t>
  </si>
  <si>
    <t>العبايشة نجع ابوجود</t>
  </si>
  <si>
    <t>محمد رجب احمد محمد</t>
  </si>
  <si>
    <t>ف 85 ش ع</t>
  </si>
  <si>
    <t>01064804067</t>
  </si>
  <si>
    <t>01015066307</t>
  </si>
  <si>
    <t>دمشلى</t>
  </si>
  <si>
    <t>فصيلة 52 شرطة عسكرية رئاسه عامه - سرية 19 شرطة عسكرية قاعدة مقلة - سرية 56 شرطة عسكرية قاعدة مقلة - سرية 133 شرطة عسكرية / فرقة 33 مشاة ميكانيكي - كتيبة 1 شرطة عسكرية ميكانيكيه / مقله - سرية 109 شرطة عسكرية / فرقة 9 مدرع -  رئاسة إدارة الشرطة العسكرية</t>
  </si>
  <si>
    <t>احمد جمعه مسيل المغاورى ابوالعلا</t>
  </si>
  <si>
    <t>01286891220</t>
  </si>
  <si>
    <t>01281090340</t>
  </si>
  <si>
    <t>اتميدة</t>
  </si>
  <si>
    <t>فصيلة 85 شرطة عسكرية رئاسة عامة - جهاز مستقبل مصر للتنمية المستدامة - ادارة الشرطة العسكرية - - مطار المليز / مطار البردويل الدولي - كتيبة 3 شرطة عسكرية حراسات (مقله) - مركز تدريب الشرطه العسكريه</t>
  </si>
  <si>
    <t>عبدالرحيم عبدالجواد ابوالحسن رسلان</t>
  </si>
  <si>
    <t>01017652306</t>
  </si>
  <si>
    <t>01094567102</t>
  </si>
  <si>
    <t>المنشية</t>
  </si>
  <si>
    <t>سرية 194 شرطة عسكرية قاعدة مقلة - سرية ١9 شرطة عسكرية قاعدة مقلة</t>
  </si>
  <si>
    <t>محمود سعد محمد سعد قمبر</t>
  </si>
  <si>
    <t>01060858856</t>
  </si>
  <si>
    <t>01015022693</t>
  </si>
  <si>
    <t>كفر الجزائر</t>
  </si>
  <si>
    <t>سرية 43 شرطة عسكرية / فرقة 12 دفاع جوي</t>
  </si>
  <si>
    <t>على أحمد محمد كمال التلاوى</t>
  </si>
  <si>
    <t>01006457923</t>
  </si>
  <si>
    <t>01148544770</t>
  </si>
  <si>
    <t>منصوريه الفرستق</t>
  </si>
  <si>
    <t>محمد حسني مسعود عبدالرازق</t>
  </si>
  <si>
    <t>قيادة محطة قنا العسكرية</t>
  </si>
  <si>
    <t>01004372514</t>
  </si>
  <si>
    <t>01004157897</t>
  </si>
  <si>
    <t>حصة الغنيمى</t>
  </si>
  <si>
    <t>مدرسة المعركة والإمداد بالرجال م ج ع - رئاسة إدارة الشرطة العسكرية</t>
  </si>
  <si>
    <t>نيويورك (أمريكا)</t>
  </si>
  <si>
    <t>عرفه عبدالحميد محمد طه</t>
  </si>
  <si>
    <t>حكمدار طاقم أمن / مشاة أجهزة قيادة</t>
  </si>
  <si>
    <t>01060784923</t>
  </si>
  <si>
    <t>01017198993</t>
  </si>
  <si>
    <t>الجمالية</t>
  </si>
  <si>
    <t>مدرسة المعركة والإمداد بالرجال م ج ع - ك 444 مش / ل 117 مش ميكا مقل - ك 20 مش ميكا مقل / ل 1 مش</t>
  </si>
  <si>
    <t>عبدالحى عبدالمنعم محمد شبيب</t>
  </si>
  <si>
    <t>كاتب عسكرى / راتب عالى / مجند / عريف</t>
  </si>
  <si>
    <t>01021452703</t>
  </si>
  <si>
    <t>بناويط</t>
  </si>
  <si>
    <t>س 28 / قيا ل 8 مدرع - ك 273 بب  - ك 271 / ل 11 مقل</t>
  </si>
  <si>
    <t>احمد ابوالحسن على احمد</t>
  </si>
  <si>
    <t>01276619613</t>
  </si>
  <si>
    <t>01126873266</t>
  </si>
  <si>
    <t>أبو دياب غرب</t>
  </si>
  <si>
    <t>ك 336 مش / قطاع أسوان العسكرى - ك 901 مش / ل 305 مش مقل - مركز دراسات نظم الدفاع</t>
  </si>
  <si>
    <t>مصطفى مجدى حسنين السيد</t>
  </si>
  <si>
    <t>01012305812</t>
  </si>
  <si>
    <t>الساحل</t>
  </si>
  <si>
    <t>قيادة المنطقة الجنوبية</t>
  </si>
  <si>
    <t>احمد محمد عبدالرؤوف السيد</t>
  </si>
  <si>
    <t>01028206915</t>
  </si>
  <si>
    <t>01066518390</t>
  </si>
  <si>
    <t>شبرابلونه</t>
  </si>
  <si>
    <t>قيادة قطاع البحر الأحمر العسكرى</t>
  </si>
  <si>
    <t>علاء الدين محمد حسن</t>
  </si>
  <si>
    <t>مستشفى قنا العسكرى</t>
  </si>
  <si>
    <t xml:space="preserve">39 تمريض </t>
  </si>
  <si>
    <t>إدارة نظم المعلومات القوات المسلحة</t>
  </si>
  <si>
    <t>عامل اصلاح وصيانة حاسبات</t>
  </si>
  <si>
    <t>01125346781</t>
  </si>
  <si>
    <t>01001161765</t>
  </si>
  <si>
    <t>قياة المنطقة الجنوبية العسكرية</t>
  </si>
  <si>
    <t>ياسر محمد عبدالرحيم على</t>
  </si>
  <si>
    <t>5 تمريض</t>
  </si>
  <si>
    <t>01144791995</t>
  </si>
  <si>
    <t>01067764548</t>
  </si>
  <si>
    <t>الأقصر</t>
  </si>
  <si>
    <t>قيادة اللواء 24 انذار الى</t>
  </si>
  <si>
    <t>أحمد عبدالناصر ذكى محمود</t>
  </si>
  <si>
    <t xml:space="preserve">12 تمريض </t>
  </si>
  <si>
    <t>مساعد معلم خدمات طبية</t>
  </si>
  <si>
    <t>010177845504</t>
  </si>
  <si>
    <t>01225379098</t>
  </si>
  <si>
    <t>قيادة اللواء 94صواريخ م ط</t>
  </si>
  <si>
    <t>بسمة حسن صبحي ابراهيم عيد</t>
  </si>
  <si>
    <t>9 تمريض</t>
  </si>
  <si>
    <t>01060634102</t>
  </si>
  <si>
    <t>01010723758</t>
  </si>
  <si>
    <t>المجمع الطبي للقوات المسلحة بكبري القبة</t>
  </si>
  <si>
    <t>حسن رمضان سعيد على</t>
  </si>
  <si>
    <t>40 تمريض</t>
  </si>
  <si>
    <t xml:space="preserve">عامل اصلاح وصيانة  </t>
  </si>
  <si>
    <t>01098495435</t>
  </si>
  <si>
    <t>01228351545</t>
  </si>
  <si>
    <t>كتيبة المقر /قيادة المنطقة</t>
  </si>
  <si>
    <t xml:space="preserve">ناريمان عبدالمسيح شفيق ابراهيم </t>
  </si>
  <si>
    <t>مدرسة التمريض بسوهاج</t>
  </si>
  <si>
    <t>01281795255</t>
  </si>
  <si>
    <t>المستشفى العسكرى بأسوان</t>
  </si>
  <si>
    <t>ياسمين محمد سليمان حسن</t>
  </si>
  <si>
    <t>13 تمريض</t>
  </si>
  <si>
    <t>01030904159</t>
  </si>
  <si>
    <t>01000254369</t>
  </si>
  <si>
    <t>المستشفى العسكري بأسوان</t>
  </si>
  <si>
    <t>امنية الحسن عباس قنادى</t>
  </si>
  <si>
    <t>الأولى معهد سوهاج</t>
  </si>
  <si>
    <t>01023234052</t>
  </si>
  <si>
    <t>مصطفى سليم على سليم</t>
  </si>
  <si>
    <t>الأولى معهد</t>
  </si>
  <si>
    <t>0101357633</t>
  </si>
  <si>
    <t>01527865422</t>
  </si>
  <si>
    <t>سرية 18 طب / الواء 18 مشاه</t>
  </si>
  <si>
    <t>احمد نجاتي عماد عبدالله</t>
  </si>
  <si>
    <t>01065635659</t>
  </si>
  <si>
    <t>01029186941</t>
  </si>
  <si>
    <t>المستشفى العسكري بالمدينة</t>
  </si>
  <si>
    <t>احمد محفوظ حلمي محمد</t>
  </si>
  <si>
    <t>01098393945</t>
  </si>
  <si>
    <t>01152154698</t>
  </si>
  <si>
    <t xml:space="preserve">لواء 130 صواريخ مضادة </t>
  </si>
  <si>
    <t>علي خميس محمد علي</t>
  </si>
  <si>
    <t>01155190206</t>
  </si>
  <si>
    <t>01007206563</t>
  </si>
  <si>
    <t>سرية طب / لواء التاسع</t>
  </si>
  <si>
    <t>محمود احمد محمد محمد</t>
  </si>
  <si>
    <t>01149338402</t>
  </si>
  <si>
    <t>011155857779</t>
  </si>
  <si>
    <t>المستشفى العسكري سوهاج</t>
  </si>
  <si>
    <t>منى عبده عطية عبدالجليل فتوت</t>
  </si>
  <si>
    <t>مدرسة تمريض بالمعادى</t>
  </si>
  <si>
    <t>01002154741</t>
  </si>
  <si>
    <t>01151148151</t>
  </si>
  <si>
    <t>المستشفى الجوى التخصصي</t>
  </si>
  <si>
    <t>عبدالله حسين عبدالفتاح أحمد</t>
  </si>
  <si>
    <t>12 تمريض</t>
  </si>
  <si>
    <t>01025833412</t>
  </si>
  <si>
    <t>01032972851</t>
  </si>
  <si>
    <t>قيادة شرق القناة لمكافحة</t>
  </si>
  <si>
    <t>عبدالوهاب عبدالمنجى عبدالمنعم الشبراوي</t>
  </si>
  <si>
    <t>57 تمريض</t>
  </si>
  <si>
    <t>حكمدار طاقم ميس</t>
  </si>
  <si>
    <t>01002354751</t>
  </si>
  <si>
    <t>01027451675</t>
  </si>
  <si>
    <t>لواء 2 مدرعات  / قر 4 مدرع</t>
  </si>
  <si>
    <t>محمود السید شعبان شعبان</t>
  </si>
  <si>
    <t>5 معهد</t>
  </si>
  <si>
    <t>31/11/2019</t>
  </si>
  <si>
    <t>01124521475</t>
  </si>
  <si>
    <t>01125469812</t>
  </si>
  <si>
    <t>مصطفى محمود حسن البدرى</t>
  </si>
  <si>
    <t>01024758542</t>
  </si>
  <si>
    <t>01109585565</t>
  </si>
  <si>
    <t>نورهان شعبان احمد عرفات</t>
  </si>
  <si>
    <t>ليلي خالد عبدالعال ابوزيد</t>
  </si>
  <si>
    <t>سنية عابدين محمد عليو</t>
  </si>
  <si>
    <t>شريهان صابر احمد عبدالرحيم</t>
  </si>
  <si>
    <t>اميرة ابوالحسن جاد الكريم</t>
  </si>
  <si>
    <t>احمد محمود عبدالعزيز بسيونى الحليوى</t>
  </si>
  <si>
    <t>رامي بب م 60أ 3</t>
  </si>
  <si>
    <t>احمد ناصر على عبدالحليم</t>
  </si>
  <si>
    <t>01140272916</t>
  </si>
  <si>
    <t>01061330472</t>
  </si>
  <si>
    <t>ابراهيم عابدين كامل محمد</t>
  </si>
  <si>
    <t>01002329714</t>
  </si>
  <si>
    <t>01061909147</t>
  </si>
  <si>
    <t xml:space="preserve">ادهم </t>
  </si>
  <si>
    <t>محمد عبدالستار عبدالحميد النحراوى</t>
  </si>
  <si>
    <t>حكمدار جم القاذف ب م 21</t>
  </si>
  <si>
    <t xml:space="preserve">خالد وليد نورالدين سيد </t>
  </si>
  <si>
    <t>الفوج 682 اشارة ( ك1 )</t>
  </si>
  <si>
    <t>رقيب فصيلة</t>
  </si>
  <si>
    <t>محمد صلاح على 
درويش</t>
  </si>
  <si>
    <t>عامل لاس – متعدد القنوات/ إدارة الاشارة</t>
  </si>
  <si>
    <t>محمد على عبدالرازق 
الشيخ</t>
  </si>
  <si>
    <t>حكمدار جماعة لاس متعدد القنوات/ إدارة الاشارة</t>
  </si>
  <si>
    <t xml:space="preserve">رضا سعيد حامد احمد </t>
  </si>
  <si>
    <t>فتحي عبد الجليل فتحي 
امين محمد</t>
  </si>
  <si>
    <t>أحمد محمد محمد حمزه 
حميده</t>
  </si>
  <si>
    <t>مساعد تعليم فوج اشارة</t>
  </si>
  <si>
    <t>علاء احمد على عبد 
الحميد</t>
  </si>
  <si>
    <t xml:space="preserve">محمد سيف حامد ابراهيم </t>
  </si>
  <si>
    <t>حكمدار جماعة خطوط/ إدارة الاشارة</t>
  </si>
  <si>
    <t>ابراهيم عمر ابراهيم 
حافظ</t>
  </si>
  <si>
    <t>الفوج 682 اشارة ( ك2 )</t>
  </si>
  <si>
    <t>كاتب افراد</t>
  </si>
  <si>
    <t>يوسف احمد يوسف 
محمود</t>
  </si>
  <si>
    <t>معتمد محمد معتمد 
شنيشن</t>
  </si>
  <si>
    <t>حكمدار طاقم السنترال/ إدارة الاشارة</t>
  </si>
  <si>
    <t>مصطفي حلمي صابر 
السيد رهيف</t>
  </si>
  <si>
    <t>رقيب أول سرية لاس</t>
  </si>
  <si>
    <t>محمود محمد عبدالحكيم 
عثمان</t>
  </si>
  <si>
    <t>فتوح البدرى ابوالفتوح 
عرب</t>
  </si>
  <si>
    <t>فارس عبدالتواب حامد 
الشورى</t>
  </si>
  <si>
    <t>الفوج 682 اشارة ( ك3 )</t>
  </si>
  <si>
    <t>حكمدار جماعه (كوابل ألياف ضوئيه ) / إدارة الاشارة</t>
  </si>
  <si>
    <t xml:space="preserve">محمد على محمود جبر </t>
  </si>
  <si>
    <t>بدون</t>
  </si>
  <si>
    <t>علاءالدين احمد خليفه 
عطيه</t>
  </si>
  <si>
    <t>فايز محمد عبدالعزيز مراجع سالم</t>
  </si>
  <si>
    <t>رقيب أ سرية الكوابل الخطية</t>
  </si>
  <si>
    <t>عبد العليم حسن حسن 
صديق</t>
  </si>
  <si>
    <t>عامل خطي ميداني / إدارة الاشارة</t>
  </si>
  <si>
    <t xml:space="preserve">محمود فهيم حسن حبلص </t>
  </si>
  <si>
    <t>وليد سامى سعيد يوسف</t>
  </si>
  <si>
    <t>الفوج 712 حرب إلكترونية ( ك1 )</t>
  </si>
  <si>
    <t>إدارة الحرب الإلكترونية</t>
  </si>
  <si>
    <t>حكمدار محطة رادارية</t>
  </si>
  <si>
    <t>محمد احمد ابراهيم سيد</t>
  </si>
  <si>
    <t>حكمدار محطة سطع رادار</t>
  </si>
  <si>
    <t xml:space="preserve">محمود عبدالبارى عبدالعزيز مصطفى </t>
  </si>
  <si>
    <t xml:space="preserve">كفر ابو الحسن </t>
  </si>
  <si>
    <t>محمد مصطفى عبدالرحيم ابوزيد</t>
  </si>
  <si>
    <t>عامل إعاقة رادارية</t>
  </si>
  <si>
    <t>احمد حسنى ابراهيم عبدالحميد البشارى</t>
  </si>
  <si>
    <t>رقيب فصيلة إعاقة رادارية</t>
  </si>
  <si>
    <t>حامد عبدالعزيز حامد زيد</t>
  </si>
  <si>
    <t>عـامل اعاقة سلبي</t>
  </si>
  <si>
    <t>احمد محمد حسن حسن العجمى</t>
  </si>
  <si>
    <t>حكمدار طاقم إصلاح معدات إعاقة رادارية</t>
  </si>
  <si>
    <t>علي مرسي رجب عرفه</t>
  </si>
  <si>
    <t>ابو الحسن محمد ابو الحسن احمد</t>
  </si>
  <si>
    <t>الفوج 712 حرب إلكترونية ( ك2 )</t>
  </si>
  <si>
    <t>محمد ابراهيم مصطفى فرج صقر</t>
  </si>
  <si>
    <t>عاصم فرغلى محمد احمد</t>
  </si>
  <si>
    <t>عامل إعاقة راداريـة</t>
  </si>
  <si>
    <t>احمد محمد مرسى ابوشوشه</t>
  </si>
  <si>
    <t>حكمدار مركز عمليات وتحليل معلــومات</t>
  </si>
  <si>
    <t>مصطفي سعيد مصطفي احمد السقا</t>
  </si>
  <si>
    <t>رقيب فصيلة سطع رادار</t>
  </si>
  <si>
    <t>محمود محمد جمال الدين محمود</t>
  </si>
  <si>
    <t>عمرو محمد أبوالسعود محمد عبدالرازق</t>
  </si>
  <si>
    <t>رضا عطيه محسن ابوعساكر</t>
  </si>
  <si>
    <t>محمد احمد محمد عبداللطيف</t>
  </si>
  <si>
    <t>المركز التدريب التكتيكى رقم 4</t>
  </si>
  <si>
    <t>هيئة التدريب للقوات المسلحة</t>
  </si>
  <si>
    <t>01002382111</t>
  </si>
  <si>
    <t>01120150033</t>
  </si>
  <si>
    <t>منشأة عاصم</t>
  </si>
  <si>
    <t>معهد اللغات - هيئة تدريب ق م - معهد اللغات - المدرسة العسكرية بالإسكندرية</t>
  </si>
  <si>
    <t>محمود جمعه سعد اسماعيل</t>
  </si>
  <si>
    <t>إدارة نظم المعلومات</t>
  </si>
  <si>
    <t>عامل تشغيل حاسبات آلية</t>
  </si>
  <si>
    <t>01069504128</t>
  </si>
  <si>
    <t>01062845079</t>
  </si>
  <si>
    <t>سند (1) نهضة</t>
  </si>
  <si>
    <t>مركز التدريب التكتيكى رقم (1) - مركز إنتاج المواد التعليمية - معهد نظم المعلومات - مركز إنتاج المواد التعليمية</t>
  </si>
  <si>
    <t>محمد محمد انور محمد</t>
  </si>
  <si>
    <t>طاهى / راتب عالى / مجند</t>
  </si>
  <si>
    <t>01097598596</t>
  </si>
  <si>
    <t>01211333600</t>
  </si>
  <si>
    <t>ميناء البصل</t>
  </si>
  <si>
    <t>مركز التدريب التكتيكى رقم (2)</t>
  </si>
  <si>
    <t>محمد عبدالعزيز عبدالعزيز حسن بندق</t>
  </si>
  <si>
    <t>01096001852</t>
  </si>
  <si>
    <t xml:space="preserve">كفر مجر </t>
  </si>
  <si>
    <t>مصطفى عبدالرحمن عبدالباقى</t>
  </si>
  <si>
    <t>الرابعة تمريض</t>
  </si>
  <si>
    <t>01062787057</t>
  </si>
  <si>
    <t>01062746042</t>
  </si>
  <si>
    <t>كفر كلا الباب</t>
  </si>
  <si>
    <t>المستشفى العسكرية لضباط الصف بالقيادة الإستراتيجية</t>
  </si>
  <si>
    <t>احمد مكرم صلاح احمد على</t>
  </si>
  <si>
    <t>خازن فنى أسلحة</t>
  </si>
  <si>
    <t>01208061724</t>
  </si>
  <si>
    <t>01029913351</t>
  </si>
  <si>
    <t>العطيات البحرية</t>
  </si>
  <si>
    <t>مستودع 62 أسلحة</t>
  </si>
  <si>
    <t>محمد السيد محمد إبراهيم</t>
  </si>
  <si>
    <t>01050159924</t>
  </si>
  <si>
    <t>صراوة</t>
  </si>
  <si>
    <t>قيا ل 39 مد وسط</t>
  </si>
  <si>
    <t>محمد عادل احمد بطيخ</t>
  </si>
  <si>
    <t>المستودع الرئيسى للذخيرة رقم (23)</t>
  </si>
  <si>
    <t>محمد احمد على هلالى</t>
  </si>
  <si>
    <t>عبدالرحمن ناجح خيري فهمي</t>
  </si>
  <si>
    <t>يوسف سيد سليمان محمد عبد الكريم ربيع</t>
  </si>
  <si>
    <t>عامل إصلاح ذخيرة</t>
  </si>
  <si>
    <t>محمود احمد عبدالفتاح ابراهيم</t>
  </si>
  <si>
    <t>اسلام سيد احمد نوح السيد عبدالرحمن</t>
  </si>
  <si>
    <t>وليد السيد محمد السيد حميده</t>
  </si>
  <si>
    <t>عبدالحميد محمد مصطفى تيجانى</t>
  </si>
  <si>
    <t>محمد فضلى عبدالحميد عبدالقوى</t>
  </si>
  <si>
    <t>حماده كمال قرنى عطوه</t>
  </si>
  <si>
    <t>حكمدار طاقم أمن/ إدارة الأسلحة والذخيرة</t>
  </si>
  <si>
    <t>احمد ناصر احمد امين</t>
  </si>
  <si>
    <t>عبدالحميد محمد عبدالحميد ابوستيت</t>
  </si>
  <si>
    <t>عبداللطيف ابراهيم عبداللطيف الليثى</t>
  </si>
  <si>
    <t>عمر محمد شداد احمد</t>
  </si>
  <si>
    <t>رقيب فصيلة خدمة/حراسة/ طاقم انتقاء/ أمن/ إدارة الأسلحة والذخيرة</t>
  </si>
  <si>
    <t>احمد عبدالحكيم محمود ابوحشيش</t>
  </si>
  <si>
    <t>عبدالفتاح احمد عبدالفتاح محمد منصور</t>
  </si>
  <si>
    <t>محمد رمضان عبدالعزيز احمد</t>
  </si>
  <si>
    <t>صبحى معوض صبحى الاشقر</t>
  </si>
  <si>
    <t>عبده محمود حسنين محمود السنجيدى</t>
  </si>
  <si>
    <t>حكمدار جماعة خدمة وحراسة /إشارة/ إدارة الأسلحة والذخيرة</t>
  </si>
  <si>
    <t>رأفت على عبدالمولى على</t>
  </si>
  <si>
    <t>على محمد على اسماعيل</t>
  </si>
  <si>
    <t>محمود مصطفى عبدالواحد عبدالوهاب</t>
  </si>
  <si>
    <t>حمادة محمد عبد الجيد أحمد</t>
  </si>
  <si>
    <t>السيد إبراهيم السيد الخلالى</t>
  </si>
  <si>
    <t>محمود حنفى محمود محمد</t>
  </si>
  <si>
    <t>محمد صبحى فتحى الطاهر</t>
  </si>
  <si>
    <t>المستودع الفرعى للمركبات رقم (6)</t>
  </si>
  <si>
    <t>صبرى محمد صبرى محمد</t>
  </si>
  <si>
    <t>إبراهيم جمعة نصرالله محمد الجندى</t>
  </si>
  <si>
    <t>رامى محمد السيد ابوالعطا</t>
  </si>
  <si>
    <t>السيد محمد السيد سالم سليمان</t>
  </si>
  <si>
    <t>بهاء منتصر عبدالفتاح غيث ابراهيم</t>
  </si>
  <si>
    <t>محمد أحمد محمد أحمد عثمان</t>
  </si>
  <si>
    <t>مصطفى محمود انور محمد</t>
  </si>
  <si>
    <t>السيد سيد عبدالحكيم احمد العشرى</t>
  </si>
  <si>
    <t>مصطفى محمود عبدالعظيم عبدالكريم</t>
  </si>
  <si>
    <t>احمد اشرف فاروق عبده السيد الديب</t>
  </si>
  <si>
    <t>محمد مبروك السيد محمد احمد العبد</t>
  </si>
  <si>
    <t>احمد محمد عبد الحميد ذكي رمضان</t>
  </si>
  <si>
    <t>رقيب فصيله خدمة/حراسة</t>
  </si>
  <si>
    <t>أحمد زين العابدين راضى محمد عيد</t>
  </si>
  <si>
    <t>ايهاب علاء عبدالله عبدالبارى بدير</t>
  </si>
  <si>
    <t>كاتب عسكري/راتب عالى - مجند /عريف</t>
  </si>
  <si>
    <t>مصطفى ايمن مصطفى ياسين</t>
  </si>
  <si>
    <t>حكمدار جماعة أمـن / ادارة المركبات</t>
  </si>
  <si>
    <t>احمد اسعد احمد الفقي</t>
  </si>
  <si>
    <t>مساعد تعليم / ادارة المركبات</t>
  </si>
  <si>
    <t>محمد عبدالوهاب محمد يوسف</t>
  </si>
  <si>
    <t>اسلام عبدالقادر احمد يوسف الدراجينى</t>
  </si>
  <si>
    <t>مصطفى محمد احمد فايز منصور</t>
  </si>
  <si>
    <t>محمد مصطفى عثمان على</t>
  </si>
  <si>
    <t>عبدالمنعم عبدالشافى محمود الفحار</t>
  </si>
  <si>
    <t>محمد طارق فاروق محمد</t>
  </si>
  <si>
    <t>نادر عبدالجواد نعيم ابوالحسن</t>
  </si>
  <si>
    <t>عمرو عصام عبدالعال ابراهيم حسن</t>
  </si>
  <si>
    <t>عبدالله احمد مصطفى محمد</t>
  </si>
  <si>
    <t>ابراهيم وجيه ابراهيم سالم الشلط</t>
  </si>
  <si>
    <t>حماده عبد العظيم عبدالفتاح عبد العزيز</t>
  </si>
  <si>
    <t>ابراهيم محمد محمد عبداللا</t>
  </si>
  <si>
    <t>صفوت سعد فرحات بيصار</t>
  </si>
  <si>
    <t>عبدالمنعم عبدالمعبود عبدالمنعم المعناوى</t>
  </si>
  <si>
    <t>ممدوح عاطف ممدوح محمد</t>
  </si>
  <si>
    <t>النادى الرياضى بأسيوط</t>
  </si>
  <si>
    <t>جهاز الرياضة للقوات المسلحة</t>
  </si>
  <si>
    <t>كاتب عسكرى / مجند / عريف</t>
  </si>
  <si>
    <t>عصام محمود فتحى محمد الدرشابى</t>
  </si>
  <si>
    <t>مساعد معلم تربية بدنية والعاب رياضية</t>
  </si>
  <si>
    <t xml:space="preserve">عزت حامد عبد العظيم </t>
  </si>
  <si>
    <t>س 15 مياة ثابته</t>
  </si>
  <si>
    <t>إدارة المياه</t>
  </si>
  <si>
    <t>رقيب أول سرية مياه ثابتة</t>
  </si>
  <si>
    <t>كرم فكري عبدالعظيم ابراهيم</t>
  </si>
  <si>
    <t>س 5 تشهيلات</t>
  </si>
  <si>
    <t>محمود سعيد محمود مبروك</t>
  </si>
  <si>
    <t>عامل بلوك</t>
  </si>
  <si>
    <t>خليفه رضا خليفه عبدالسميع</t>
  </si>
  <si>
    <t>محمد زكريا دسوقى 
احمد</t>
  </si>
  <si>
    <t>فرع مالى أسيوط</t>
  </si>
  <si>
    <t>هيئة الشئون المالية للقوات المسلحة</t>
  </si>
  <si>
    <t>كاتب مالى</t>
  </si>
  <si>
    <t>كاتب مالى / رقيب</t>
  </si>
  <si>
    <t xml:space="preserve">عمر نور احمد ريان </t>
  </si>
  <si>
    <t>محمد كاشف سعيد 
عبدالحميد</t>
  </si>
  <si>
    <t>مصطفى احمد عبدالرحيم 
السيد</t>
  </si>
  <si>
    <t>عبدالمنعم فارس 
عبدالمنعم أحمد</t>
  </si>
  <si>
    <t xml:space="preserve">أحمد ابراهيم السيد على </t>
  </si>
  <si>
    <t>عبدالرحمن جمال محمد 
عبدالواحد</t>
  </si>
  <si>
    <t>صابر سامى ابراهيم 
خليل</t>
  </si>
  <si>
    <t>محمد رضا السيد 
منصور حديد</t>
  </si>
  <si>
    <t>كاتب مالى / رقيب اول</t>
  </si>
  <si>
    <t>امين خالد امين 
عبدالحافظ</t>
  </si>
  <si>
    <t>أحمد عبدالرحيم ابراهيم 
عبدالفتاح نصير</t>
  </si>
  <si>
    <t>محمد مبروك بدران 
هنداوى</t>
  </si>
  <si>
    <t>محمد على عبدالرسول 
السملاوى</t>
  </si>
  <si>
    <t>محمود سعيد زايد 
عبدالصمد</t>
  </si>
  <si>
    <t>حكمدار طاقم / مكتب /
قسم الصرف الميدانى</t>
  </si>
  <si>
    <t>حسن ابراهيم حسن 
عثمان</t>
  </si>
  <si>
    <t xml:space="preserve">محمد سيد حماد محمد </t>
  </si>
  <si>
    <t>مصطفى سعيد مصطفى 
حسن</t>
  </si>
  <si>
    <t>محمد عبدالرحمان احمد 
عثمان</t>
  </si>
  <si>
    <t>حسن شحاته على 
عبدالحميد</t>
  </si>
  <si>
    <t>كاتب مالى / راتب عالى
- مجند / رقيب</t>
  </si>
  <si>
    <t>محمد خالد عبدالله 
عبدالعال</t>
  </si>
  <si>
    <t>سعيد عبدربه عبدالحميد 
العفيفى</t>
  </si>
  <si>
    <t>عمرو ممتاز عبد الرحمن 
محمد</t>
  </si>
  <si>
    <t>كاتب حسابات</t>
  </si>
  <si>
    <t xml:space="preserve">احمد عادل السيد محمد </t>
  </si>
  <si>
    <t xml:space="preserve">ايمن شعبان كيلانى على </t>
  </si>
  <si>
    <t>كاتب عسكري/ راتب
عالى</t>
  </si>
  <si>
    <t xml:space="preserve">اسلام عاطف سعيد محمد </t>
  </si>
  <si>
    <t>احمد عبد الكريم محمد 
على</t>
  </si>
  <si>
    <t xml:space="preserve">ايمن محمد عزب سليمان </t>
  </si>
  <si>
    <t>محمد اسماعيل محمد 
الفرس</t>
  </si>
  <si>
    <t>أحمد محمد عبدالفتاح 
الخطيب</t>
  </si>
  <si>
    <t xml:space="preserve">حسام نبيل السيد البيلي </t>
  </si>
  <si>
    <t>محمد راغب محمود 
حسنين الحواجرى</t>
  </si>
  <si>
    <t>حكمدار متابعه قرارات</t>
  </si>
  <si>
    <t>محمود محمد معوض 
محمد</t>
  </si>
  <si>
    <t>عبدالعاطى محمود 
عبدالعاطى يونس</t>
  </si>
  <si>
    <t>طارق يحى احمد 
عبدالهادى</t>
  </si>
  <si>
    <t>نادر صبري عبدالاله 
طيرى</t>
  </si>
  <si>
    <t>قيادة الفوج 682 اشارة</t>
  </si>
  <si>
    <t>حسام جمال الدين مسلم 
عراقى</t>
  </si>
  <si>
    <t>هانى محمد ابوضيف 
عبدالدايم</t>
  </si>
  <si>
    <t>رقيب فصيله خطوط / إدارة الاشارة</t>
  </si>
  <si>
    <t>على عطيه على محمود 
النشار</t>
  </si>
  <si>
    <t>تامر عبدالمنعم 
عبدالمطلب غريب</t>
  </si>
  <si>
    <t>امين مخزن معدات إشارة</t>
  </si>
  <si>
    <t>خالد رجب عبد المالك 
عبد الحليم</t>
  </si>
  <si>
    <t>حكمدار طاقم أمن/ إدارة الاشارة</t>
  </si>
  <si>
    <t xml:space="preserve">امجد كمال بدر يوسف </t>
  </si>
  <si>
    <t>ميكانيكي إصلاح معدات لاسلكية</t>
  </si>
  <si>
    <t>احمد عبدالله محمد محمد 
عرابى</t>
  </si>
  <si>
    <t>ميكانيكي تشغيل وصيانة أجهزة سريه محادثات</t>
  </si>
  <si>
    <t>محمود السيد رفعت محمد خليفه</t>
  </si>
  <si>
    <t>حسام على حسن محمد</t>
  </si>
  <si>
    <t>ك 7 أشغال</t>
  </si>
  <si>
    <t>01062680400</t>
  </si>
  <si>
    <t>01122986217</t>
  </si>
  <si>
    <t>احمد محروس عليوه علوانى</t>
  </si>
  <si>
    <t>01013512784</t>
  </si>
  <si>
    <t>01557899699</t>
  </si>
  <si>
    <t>مطول</t>
  </si>
  <si>
    <t>محمود نبيل عبدالعزيز سليمان</t>
  </si>
  <si>
    <t>كهربائي شبكات</t>
  </si>
  <si>
    <t>01158155360</t>
  </si>
  <si>
    <t>01205305219</t>
  </si>
  <si>
    <t>شدرشة</t>
  </si>
  <si>
    <t>محمد سلامه مختار فارس</t>
  </si>
  <si>
    <t>ميكانيكى معدات التبريد لكافة القوات عدا البحرية</t>
  </si>
  <si>
    <t>01018293351</t>
  </si>
  <si>
    <t>01556013351</t>
  </si>
  <si>
    <t>عبدالرحمن محمد حسين الجوهرى</t>
  </si>
  <si>
    <t>01040329752</t>
  </si>
  <si>
    <t>01080835616</t>
  </si>
  <si>
    <t>ش بلال كفر العرب</t>
  </si>
  <si>
    <t>احمد عبدالواحد محمد عبدالواحد</t>
  </si>
  <si>
    <t>01008208763</t>
  </si>
  <si>
    <t>01118088032</t>
  </si>
  <si>
    <t>المنشاة الكبري</t>
  </si>
  <si>
    <t>أحمد ابراهيم مصطفى محمود يونس</t>
  </si>
  <si>
    <t>احمد محمد محمد عبدالله
درويش</t>
  </si>
  <si>
    <t>حكمدار/ إدارة المياه</t>
  </si>
  <si>
    <t>حمدى احمد محمد احمد
الحليوى</t>
  </si>
  <si>
    <t>عامل صيانة وتشغيل محطة معالجة مياه</t>
  </si>
  <si>
    <t>أحمد محمد محمد محمد
غازى الفقى</t>
  </si>
  <si>
    <t>اسلام ابراهيم محمد
البدراوى</t>
  </si>
  <si>
    <t>احمد جادالمولى جلال
امين</t>
  </si>
  <si>
    <t>محمد أحمد على على</t>
  </si>
  <si>
    <t>مساعد تعليم ك إمداد مياه</t>
  </si>
  <si>
    <t>احمد سعد محمد علي السيد</t>
  </si>
  <si>
    <t xml:space="preserve">عمر محمد السيد ابراهيم </t>
  </si>
  <si>
    <t>احمد يحى حلمى محمد على</t>
  </si>
  <si>
    <t>محمد عبدالمنعم عبدالفتاح الجمل</t>
  </si>
  <si>
    <t>ابراهيم سعيد السيد ابراهيم السيد</t>
  </si>
  <si>
    <t>محمد عبدالغفار عبدالمنعم الكلاف</t>
  </si>
  <si>
    <t xml:space="preserve">صلاح على صلاح السيد </t>
  </si>
  <si>
    <t>عامل صيانة وتشغيل حفار آبار</t>
  </si>
  <si>
    <t>احمد صبحى عبد النبى رزق</t>
  </si>
  <si>
    <t>عامل صيانة وتشغيل مضخات مياه</t>
  </si>
  <si>
    <t>احمد محمد شعبان عطية محمد</t>
  </si>
  <si>
    <t>محمود عبدالعزيز عبدالعزيز صالح</t>
  </si>
  <si>
    <t xml:space="preserve">محمد سعد جوده الصديق </t>
  </si>
  <si>
    <t>رقيب فصيلة شئون فنيه (ميكا مضخات ومرشحات - ومحطات معالجة)</t>
  </si>
  <si>
    <t>عبدالباسط صبحى السيد على النجار</t>
  </si>
  <si>
    <t>احمد سعيد احمد محمد سنه</t>
  </si>
  <si>
    <t>ميكا طلمبات مياة</t>
  </si>
  <si>
    <t>خالد منتصر عرفه السيد سليمان</t>
  </si>
  <si>
    <t xml:space="preserve">رامى محمد حسن محمد </t>
  </si>
  <si>
    <t>حسام النادى هاشم عبد العزيز</t>
  </si>
  <si>
    <t>عادل نجيب عطيه السيد على</t>
  </si>
  <si>
    <t>احمد حسن عباس حسن عبدالجواد</t>
  </si>
  <si>
    <t>كريم رمضان فتحى الصاوى</t>
  </si>
  <si>
    <t>ميكا محطة معالجة مياه</t>
  </si>
  <si>
    <t>عبد الفتاح شعبان عبد الفتاح هيكل</t>
  </si>
  <si>
    <t>محمد احمد محمد سالم عبد الصادق</t>
  </si>
  <si>
    <t>محمد عبدالفتاح جلال محمد القط</t>
  </si>
  <si>
    <t>هشام مصطفى فرج عبدالعظيم عبده</t>
  </si>
  <si>
    <t>احمد عبدالوهاب محمد حسن غنيم</t>
  </si>
  <si>
    <t>محمود جمال كامل مشعل</t>
  </si>
  <si>
    <t>السيد احمد عبدالحميد عبدالنبى ربيع</t>
  </si>
  <si>
    <t>ماهر ماهر توفيق ابوالعطا</t>
  </si>
  <si>
    <t>مصطفى محمود الهنداوى محمد الهنداوى</t>
  </si>
  <si>
    <t xml:space="preserve">نبيل محمد السيد شريف </t>
  </si>
  <si>
    <t>خازن فني معدات مياة</t>
  </si>
  <si>
    <t>عبدالمحسن ابو العزم محمد سليمان عصر</t>
  </si>
  <si>
    <t>محمود جمال محمد عوض</t>
  </si>
  <si>
    <t>محمد حسن زكى سلامه برغوث</t>
  </si>
  <si>
    <t>احمد ادهم خيرى الدين محمد</t>
  </si>
  <si>
    <t>عبده محمود محمد الخواجة</t>
  </si>
  <si>
    <t>اسلام حمدى طلبه محمود</t>
  </si>
  <si>
    <t>محمد عطا حسن عبد الجواد</t>
  </si>
  <si>
    <t xml:space="preserve">محمد محمود احمد شعير </t>
  </si>
  <si>
    <t>شاكر ابراهيم الشحات متولى</t>
  </si>
  <si>
    <t>مصطفى ناجي عطيه 
ابراهيم</t>
  </si>
  <si>
    <t>حكمدار جماعة حملة</t>
  </si>
  <si>
    <t>محمد عبدالمرضى حامد 
زعزع</t>
  </si>
  <si>
    <t>ابراهيم جمعه عطا لله 
يحيى</t>
  </si>
  <si>
    <t>محمد عبدالعزيز محمد 
عبدالعزيز سليط</t>
  </si>
  <si>
    <t>مرسى سمير مرسى 
جمعه</t>
  </si>
  <si>
    <t>محمد مهتدى السيد 
مدكور</t>
  </si>
  <si>
    <t>خازن فنى معدات المهندسين</t>
  </si>
  <si>
    <t>متولى سعيد متولى 
عبداللطيف</t>
  </si>
  <si>
    <t>محمود شتا سيد أحمد 
ابرهيم غز</t>
  </si>
  <si>
    <t>محمود رافت محمد 
السباعى غالى</t>
  </si>
  <si>
    <t>أحمد رمضان عبدالجيد 
أحمد ابوعطيه</t>
  </si>
  <si>
    <t xml:space="preserve">جاد سعيد جاد شيحه </t>
  </si>
  <si>
    <t xml:space="preserve">محمد توفيق محمد النجار </t>
  </si>
  <si>
    <t>احمد محمد عبد المنعم 
سلام</t>
  </si>
  <si>
    <t>احمد عبد الناصر محى 
محمد عيد</t>
  </si>
  <si>
    <t>ميكا مرشح مياة ( ميكا مرشح )</t>
  </si>
  <si>
    <t>احمد عبد اللطيف 
رمضان خليل عزام</t>
  </si>
  <si>
    <t>كريم مصطفى عبدالحميد 
عبد الغنى الخبيرى</t>
  </si>
  <si>
    <t>بهاء محمد عبدالصمد صرصار</t>
  </si>
  <si>
    <t>مزرعة وادى الشيح</t>
  </si>
  <si>
    <t>ضياء عزت رشدى على 
حسين</t>
  </si>
  <si>
    <t>مستشار عسكري محافظة سوهاج</t>
  </si>
  <si>
    <t>قيادة قوات الدفاع الشعبى و العسكرى</t>
  </si>
  <si>
    <t>مساعد عمليات و تدريب</t>
  </si>
  <si>
    <t>طارق راسم بكر عبد الحميد ابو رمضان</t>
  </si>
  <si>
    <t>مكتب إتصال وقود قنا</t>
  </si>
  <si>
    <t>أخصائى معمل</t>
  </si>
  <si>
    <t>01204496850</t>
  </si>
  <si>
    <t>01070393453</t>
  </si>
  <si>
    <t>مج 1 إمداد وقود - س 12 وقود / ل 12 مش ميكا - ك خطوط ثابتة 150 مم</t>
  </si>
  <si>
    <t>محمد حمدالله القناوى حمدالله مسعد</t>
  </si>
  <si>
    <t>نادى الاقصر العسكرى</t>
  </si>
  <si>
    <t>إدارة نوادى وفنادق ضباط القوات المسلحة</t>
  </si>
  <si>
    <t>حكمدار دورية</t>
  </si>
  <si>
    <t>محمد عبدالحميد يونس</t>
  </si>
  <si>
    <t>ميكا إصلاح خطي</t>
  </si>
  <si>
    <t>01008531488</t>
  </si>
  <si>
    <t>29904081601653</t>
  </si>
  <si>
    <t>محمد مصطفى السيد شعبان</t>
  </si>
  <si>
    <t>ميكا إصلاح متعدد القنوات</t>
  </si>
  <si>
    <t>01012311325</t>
  </si>
  <si>
    <t>01203246832</t>
  </si>
  <si>
    <t xml:space="preserve">هشام محمد محمد السيد </t>
  </si>
  <si>
    <t>ميكا إصلاح لاس</t>
  </si>
  <si>
    <t>01020863626</t>
  </si>
  <si>
    <t>01013770439</t>
  </si>
  <si>
    <t>محمد محمد عبدالتواب عبدالباقى</t>
  </si>
  <si>
    <t>عامل تشغيل محطة ألياف</t>
  </si>
  <si>
    <t>01000725707</t>
  </si>
  <si>
    <t>احمد ياسر علي احمد</t>
  </si>
  <si>
    <t>01145016470</t>
  </si>
  <si>
    <t>فرشوط</t>
  </si>
  <si>
    <t>احمد ماهر عفيفى عبدالعزيز</t>
  </si>
  <si>
    <t>01062606595</t>
  </si>
  <si>
    <t>01115134101</t>
  </si>
  <si>
    <t>ورشة الإشارة الرئيسية</t>
  </si>
  <si>
    <t>هاني فتحي سليمان حجازي</t>
  </si>
  <si>
    <t>ميكا إصلاح محطات قدرة</t>
  </si>
  <si>
    <t>01022058567</t>
  </si>
  <si>
    <t>ورشة الإشارة الميدانية رقم 2</t>
  </si>
  <si>
    <t>احمد عبدالبر نور الشيخ</t>
  </si>
  <si>
    <t>01285248438</t>
  </si>
  <si>
    <t>ابراهيم صلاح ابراهيم ضو</t>
  </si>
  <si>
    <t>عامل اصلاح لاس</t>
  </si>
  <si>
    <t>01090365838</t>
  </si>
  <si>
    <t>01009350446</t>
  </si>
  <si>
    <t>ورشة الاشارة الفرعية رقم 2</t>
  </si>
  <si>
    <t>احمد ربيع عبدالفتاح سالم</t>
  </si>
  <si>
    <t>ميكانيكي اصلاح لاس</t>
  </si>
  <si>
    <t>01141627316</t>
  </si>
  <si>
    <t xml:space="preserve">دراو </t>
  </si>
  <si>
    <t>ورشة الاشارة الرئيسية</t>
  </si>
  <si>
    <t>محمد رضا فكري سباعي</t>
  </si>
  <si>
    <t>01204340362</t>
  </si>
  <si>
    <t>بلبيس</t>
  </si>
  <si>
    <t>س اشارة ل 9 - مستودع الاشارة الميداني رقم 1 - ورشة الاشارة الفرعية رقم 3 - مجموعة الإنشاءات الخطية رقم 2</t>
  </si>
  <si>
    <t>محمد سعيد أحمد محمد</t>
  </si>
  <si>
    <t>01005773481</t>
  </si>
  <si>
    <t>الإبراهيمية</t>
  </si>
  <si>
    <t>ورشة الإشارة الفرعية رقم 5</t>
  </si>
  <si>
    <t>أحمد غريب عدلى عبدالسميع</t>
  </si>
  <si>
    <t>01152371928</t>
  </si>
  <si>
    <t>قفط</t>
  </si>
  <si>
    <t>أحمد عبدالمعتمد محمد حسين</t>
  </si>
  <si>
    <t>01155563466</t>
  </si>
  <si>
    <t>01002377574</t>
  </si>
  <si>
    <t>مستودع الإشارة المختلط</t>
  </si>
  <si>
    <t>عبدالله علي محمود حسانين</t>
  </si>
  <si>
    <t>01017694733</t>
  </si>
  <si>
    <t>المجموعة 35 أمن حربي - الفوج 275 إشارة</t>
  </si>
  <si>
    <t>ايهاب نبيل عبدالونيس عبدالجليل</t>
  </si>
  <si>
    <t>س تشغيل ( منفذ قسطل البرى)</t>
  </si>
  <si>
    <t>محمد سمير احمد محمود عبدالباقي</t>
  </si>
  <si>
    <t>محمود احمد ابراهيم سليم</t>
  </si>
  <si>
    <t>محمد عيد بسيونى ابوشاهين</t>
  </si>
  <si>
    <t>احمد محمد احمد محمد حسين</t>
  </si>
  <si>
    <t>احمد عطيه سليمان عطيه سليمان</t>
  </si>
  <si>
    <t>ابراهيم احمد محمد جلال محمد عسكر</t>
  </si>
  <si>
    <t>احمد محمد شحاته محمد عطيه</t>
  </si>
  <si>
    <t>محمود محمد جمعه السيد</t>
  </si>
  <si>
    <t>س5 لنشات مرور قريب</t>
  </si>
  <si>
    <t xml:space="preserve">الاعدادية </t>
  </si>
  <si>
    <t xml:space="preserve">فن بحر </t>
  </si>
  <si>
    <t>عماد حافظ ابراهيم عامر</t>
  </si>
  <si>
    <t>محمود شحتة مغاورى محمد</t>
  </si>
  <si>
    <t>31/11/2025</t>
  </si>
  <si>
    <t xml:space="preserve">حر س حدود </t>
  </si>
  <si>
    <t>احمد عصام شحته مهدى نوفل</t>
  </si>
  <si>
    <t xml:space="preserve">حكمدار طاقم / لنش ح ح فقط </t>
  </si>
  <si>
    <t>01222261192</t>
  </si>
  <si>
    <t>محمد عيد عبدالفتاح ابو هيف</t>
  </si>
  <si>
    <t>8/8//2015</t>
  </si>
  <si>
    <t xml:space="preserve">حكمدار لنش </t>
  </si>
  <si>
    <t>01069718572</t>
  </si>
  <si>
    <t>احمد محمد عبدالوهاب رمضان</t>
  </si>
  <si>
    <t>01098518736</t>
  </si>
  <si>
    <t xml:space="preserve">مركز تدريب ح ح </t>
  </si>
  <si>
    <t>كريم علاء عبدالعاطى عبدالسلام اسماعيل</t>
  </si>
  <si>
    <t>نادر السيد سعد شلبى</t>
  </si>
  <si>
    <t>01063081776</t>
  </si>
  <si>
    <t>جمعة رجب محمد محمود الصباغ</t>
  </si>
  <si>
    <t>وليد عمر عبدالله صالح جمعه</t>
  </si>
  <si>
    <t>01229070914</t>
  </si>
  <si>
    <t>محمد عليوة محمد محمود</t>
  </si>
  <si>
    <t>حكمدار لنش</t>
  </si>
  <si>
    <t xml:space="preserve">محمد جميل محمد محمد </t>
  </si>
  <si>
    <t>محمد على على محمود مسافر</t>
  </si>
  <si>
    <t>احمد مهدي سلامه عبدالغفار هلال</t>
  </si>
  <si>
    <t>محمد عبدالدايم حسنى عبدالفتاح</t>
  </si>
  <si>
    <t>ايمن عبدالرسول محمد على</t>
  </si>
  <si>
    <t>عماد سيد عبدالحميد سلطان</t>
  </si>
  <si>
    <t>محمد علي عويس القرني محمود</t>
  </si>
  <si>
    <t>احمد مصطفى سالم ابراهيم مندور</t>
  </si>
  <si>
    <t>فتحي حسن حامد محمد شحاتة</t>
  </si>
  <si>
    <t>عبدالوهاب احمد عبدالجواد</t>
  </si>
  <si>
    <t>ك حرس حدود برى رقم 14</t>
  </si>
  <si>
    <t>-</t>
  </si>
  <si>
    <t>ك 109 ح ح ساحلي - ك 3 ح ح - ك 72 ح ح ساحلي - ك 15 ح ح</t>
  </si>
  <si>
    <t>احمد بسيونى عطا الله الشنديدى</t>
  </si>
  <si>
    <t>28610081803534</t>
  </si>
  <si>
    <t>س 3 مراقبة وانذار بحيرات - ك 103 ح ح ساحلي - ك 12 ح ح بري - مركز تدريب مشترك ح ح - ك 114 ح ح ساحلي</t>
  </si>
  <si>
    <t>محمد مشهور محمد على ابراهيم عبدالله</t>
  </si>
  <si>
    <t>قيا 2 لنشات ساحلي - ل 1 مرور ساحلي - سرية الكشف عن المهربات بانفاق الاسماعيلية غرب رقم 1 - ك 103 ح ح ساحلي - مركز تدريب مشترك ح ح - ك 4 ح ح</t>
  </si>
  <si>
    <t>وليد ابراهيم بلتاجي ابراهيم</t>
  </si>
  <si>
    <t>مركز تدريب ح ح مشترك - ك 11 ح ح بري - ك 4 ح ح</t>
  </si>
  <si>
    <t>سامح عبده محمد ابو الروس</t>
  </si>
  <si>
    <t>28812151702376</t>
  </si>
  <si>
    <t>ك 106 ح ح ساحلي - ك 13 ح ح بري</t>
  </si>
  <si>
    <t>محمد عبدالنبى وافا الطباخ</t>
  </si>
  <si>
    <t>29010071501251</t>
  </si>
  <si>
    <t>س 1 ردار ح ح بري</t>
  </si>
  <si>
    <t>احمد محمد محمود مشعل</t>
  </si>
  <si>
    <t xml:space="preserve"> </t>
  </si>
  <si>
    <t>29201251600397</t>
  </si>
  <si>
    <t>مكتب مخ وامن ح ح نخل - ك 105 ح ح ساحلي - ك 115 ح ح ساحلي</t>
  </si>
  <si>
    <t xml:space="preserve">مصطفى زينهم عكاشة سليمان </t>
  </si>
  <si>
    <t>01559575966</t>
  </si>
  <si>
    <t>01019361925</t>
  </si>
  <si>
    <t>كوم الضبع</t>
  </si>
  <si>
    <t xml:space="preserve">الفوج 306 نقل تقيل - كتيبة نقل مختلط م ج ع </t>
  </si>
  <si>
    <t>مصطفى اشرف حمدى مكاوى</t>
  </si>
  <si>
    <t>235626130072</t>
  </si>
  <si>
    <t>س كشف عن مهربات انفاق بورسعيد رقم (2) - ك 103 ح ح ساحلي - ك112 ح ح ساحلي</t>
  </si>
  <si>
    <t>عمرو حمدي احمد محمد</t>
  </si>
  <si>
    <t>29401221401119</t>
  </si>
  <si>
    <t xml:space="preserve">س 4 مهربات  ح ح </t>
  </si>
  <si>
    <t>عبدالقادر احمد عبدالقادر القشاشى</t>
  </si>
  <si>
    <t>29506191601033</t>
  </si>
  <si>
    <t>ك 109 ح ح ساحلي - الفوج الأول ح ح</t>
  </si>
  <si>
    <t>محمد احمد شوقي جمال علي</t>
  </si>
  <si>
    <t>29303191200952</t>
  </si>
  <si>
    <t>ك 107 ح ح ساحلي - ك 3 ح ح</t>
  </si>
  <si>
    <t>محمد محمود مصباح محمد علي</t>
  </si>
  <si>
    <t>29401261201317</t>
  </si>
  <si>
    <t xml:space="preserve">س 4 مهربات ح ح - س 3 مهربات ح ح </t>
  </si>
  <si>
    <t>حسن عاشور حسن محمود</t>
  </si>
  <si>
    <t>ك 105 ح ح - ك 11 ح ح بري</t>
  </si>
  <si>
    <t>محمود خليل محمد محمد</t>
  </si>
  <si>
    <t>المجمع رقم 10 - مجموعة 101 صاعقة - مركز تدريب مشترك مهن الردار والصواريخ والحاسبات اليه</t>
  </si>
  <si>
    <t>محمد شعبان عبدالعال السید خلیفة</t>
  </si>
  <si>
    <t>29603031804839</t>
  </si>
  <si>
    <t>محمود جمال محمود علي مرسي</t>
  </si>
  <si>
    <t>29406151801779</t>
  </si>
  <si>
    <t>ك 105 ح ح ساحلي</t>
  </si>
  <si>
    <t>باسم عاشور عبدالعزیز محمد عبید</t>
  </si>
  <si>
    <t>29603131802337</t>
  </si>
  <si>
    <t xml:space="preserve">ك 112ح ح </t>
  </si>
  <si>
    <t>اسامة عبدالموجود محمد محمد الساكت</t>
  </si>
  <si>
    <t>29412221700274</t>
  </si>
  <si>
    <t>ك111ح ح ساحلي</t>
  </si>
  <si>
    <t>ابراھیم المحمدى عبدالمنصف الجبرى</t>
  </si>
  <si>
    <t>29012131600973</t>
  </si>
  <si>
    <t>س 3 ح ح ساحلي</t>
  </si>
  <si>
    <t>احمد صالح محمد ابراهيم</t>
  </si>
  <si>
    <t>29508011312911</t>
  </si>
  <si>
    <t>س 2 مقله</t>
  </si>
  <si>
    <t>على عرفات على محمد</t>
  </si>
  <si>
    <t>قصاص اثر</t>
  </si>
  <si>
    <t>291062628005751</t>
  </si>
  <si>
    <t>مكتب مخابرات وامن حرس حدود ابوقير مستوى ج - مكتب مخابرات وامن حرس حدود السويس مستوى ا - مكتب مخابرات وامن حرس حدود مرسي علم مستوى ب</t>
  </si>
  <si>
    <t>صلاح حافظ مصطفى امين</t>
  </si>
  <si>
    <t xml:space="preserve">ك 105  ح ح ساحلي -  ك 13 ح ح بري </t>
  </si>
  <si>
    <t>احمد محمد عطا حمدنا الله</t>
  </si>
  <si>
    <t>29510122800595</t>
  </si>
  <si>
    <t>الوحدة 888 مكافحة ارهاب - ك 13 ح ح بري</t>
  </si>
  <si>
    <t>خالد سيد احمد محمد</t>
  </si>
  <si>
    <t>ياسين اسماعيل عبده</t>
  </si>
  <si>
    <t xml:space="preserve">ك 113 ح ح ساحلي </t>
  </si>
  <si>
    <t>محمد رمضان محمد</t>
  </si>
  <si>
    <t>ك 106 ح ح ساحلي</t>
  </si>
  <si>
    <t>الحسن زين العابدين علي</t>
  </si>
  <si>
    <t>احمد عبدالصبور حسن يسن</t>
  </si>
  <si>
    <t>ك 112ح ح ساحلي</t>
  </si>
  <si>
    <t xml:space="preserve">علي احمد توفيق احمد </t>
  </si>
  <si>
    <t>محمد ابراهيم محمود عبدالباسط</t>
  </si>
  <si>
    <t>29609252801034</t>
  </si>
  <si>
    <t>قيادة القطاع الشمالي مكافحة الإرهاب - الفوج الأول ح ح</t>
  </si>
  <si>
    <t>احمد صلاح النيل محمد</t>
  </si>
  <si>
    <t>يحي سيد عثمان</t>
  </si>
  <si>
    <t>ك 106 ح ح ساحلي - ك 104 ح ح ساحلي</t>
  </si>
  <si>
    <t>محمد عبدالله عليوه عبدالله البيه</t>
  </si>
  <si>
    <t>29001201308858</t>
  </si>
  <si>
    <t xml:space="preserve">س 1 لنشات </t>
  </si>
  <si>
    <t>محمد رفعت عبد التواب احمد</t>
  </si>
  <si>
    <t>ك 107 ح ح ساحلي</t>
  </si>
  <si>
    <t>ابراهيم ممدوح عبدالله حسين</t>
  </si>
  <si>
    <t>01069396113</t>
  </si>
  <si>
    <t>01096936113</t>
  </si>
  <si>
    <t>المجموعة الثانية امداد وقود</t>
  </si>
  <si>
    <t>حسين محمد عبدالله حسن</t>
  </si>
  <si>
    <t>01028334062</t>
  </si>
  <si>
    <t>مج 2 وقود</t>
  </si>
  <si>
    <t>محمود جمعه محمود</t>
  </si>
  <si>
    <t>ك 105 ساحلي</t>
  </si>
  <si>
    <t>محمد عبدالسلام عبدالمالك معوض</t>
  </si>
  <si>
    <t>سرية الكشف عن المهربات بانفاق الاسماعيلية غرب رقم 1 - ك 103 ح ح ساحلي</t>
  </si>
  <si>
    <t>احمد ناصر عبدالجواد عبدالفضیل</t>
  </si>
  <si>
    <t>30104251802011</t>
  </si>
  <si>
    <t>محمد مشحوت محمد ابوفراج</t>
  </si>
  <si>
    <t>30104171802517</t>
  </si>
  <si>
    <t>السريه الربعه مراقبه</t>
  </si>
  <si>
    <t>مصطفي عبدالبديع عبدالمؤمن</t>
  </si>
  <si>
    <t>س 2 ح ح مقله</t>
  </si>
  <si>
    <t>محمد احمد عبدالظاهر محمود</t>
  </si>
  <si>
    <t>29901022801836</t>
  </si>
  <si>
    <t xml:space="preserve">س 2 مراقبه ح ح </t>
  </si>
  <si>
    <t>سليمان محمود سليمان محمود</t>
  </si>
  <si>
    <t>محمود احمد محمد علي</t>
  </si>
  <si>
    <t>ك 104 ح ح ساحلي</t>
  </si>
  <si>
    <t>عبدالفتاح محمد ابراهيم</t>
  </si>
  <si>
    <t>01157500320</t>
  </si>
  <si>
    <t>شارع نور</t>
  </si>
  <si>
    <t>ورشة معدات التعيينات</t>
  </si>
  <si>
    <t>محمود محمد سعد عوض القزاز</t>
  </si>
  <si>
    <t>29801121802378</t>
  </si>
  <si>
    <t xml:space="preserve">12/1/1998م </t>
  </si>
  <si>
    <t>س 3 مقله</t>
  </si>
  <si>
    <t>انور سامى انور عبدالحمید</t>
  </si>
  <si>
    <t>30009011804413</t>
  </si>
  <si>
    <t>محمد محمد ابراهيم مصطفى عبده</t>
  </si>
  <si>
    <t>29808081309295</t>
  </si>
  <si>
    <t>احمد اسامة عبدالغنى واصل</t>
  </si>
  <si>
    <t>30007261701374</t>
  </si>
  <si>
    <t xml:space="preserve">عزت احمد السيد عبدالمعطي </t>
  </si>
  <si>
    <t>ك 102 ساحلي</t>
  </si>
  <si>
    <t>علي احمد محمد علي</t>
  </si>
  <si>
    <t>احمد محمد عبدالرحمن احمد</t>
  </si>
  <si>
    <t>29904182702353</t>
  </si>
  <si>
    <t>حمدى صلاح مراد محمد</t>
  </si>
  <si>
    <t>29908032502793</t>
  </si>
  <si>
    <t>اسلام طه على عبدالتواب</t>
  </si>
  <si>
    <t>01012879289</t>
  </si>
  <si>
    <t>محمد مختار عتریس عبدالعزیز</t>
  </si>
  <si>
    <t>29912011402338</t>
  </si>
  <si>
    <t>محمود عشري صابر عبدالباري</t>
  </si>
  <si>
    <t>29905032501933</t>
  </si>
  <si>
    <t>محمود سليمان محمود سالم</t>
  </si>
  <si>
    <t>ك 111 ح ح ساحلي</t>
  </si>
  <si>
    <t>حسين عادل حسين عبدربه</t>
  </si>
  <si>
    <t>30011012801315</t>
  </si>
  <si>
    <t>الحسن ناصر محمد ناصر</t>
  </si>
  <si>
    <t>29705192800377</t>
  </si>
  <si>
    <t>محمد احمد على احمد على</t>
  </si>
  <si>
    <t>29809271306671</t>
  </si>
  <si>
    <t>فارس حماده حامد محمد سليمان</t>
  </si>
  <si>
    <t>مصطفى هاشم كدوانى احمد</t>
  </si>
  <si>
    <t>كمال محمد كمال</t>
  </si>
  <si>
    <t>احمد محمد احمد عوض</t>
  </si>
  <si>
    <t>طه عبده محمد العدوى محمد</t>
  </si>
  <si>
    <t>30411212702832</t>
  </si>
  <si>
    <t>محمد عبدالرازق عبدالھادى قناوى</t>
  </si>
  <si>
    <t>30008162800758</t>
  </si>
  <si>
    <t>بلال سعيد عبدالعزيز شاھین</t>
  </si>
  <si>
    <t>30508241701032</t>
  </si>
  <si>
    <t>محمود خالد عبدالقادر فوده</t>
  </si>
  <si>
    <t>30401181602073</t>
  </si>
  <si>
    <t>محمد احمد على احمد</t>
  </si>
  <si>
    <t>ك حرس حدود برى رقم 15</t>
  </si>
  <si>
    <t>هاني عبدالسميع محمود صابر</t>
  </si>
  <si>
    <t>محمد شاكر حامد رمضان</t>
  </si>
  <si>
    <t>رمضان سعيد مصطفي حميدة</t>
  </si>
  <si>
    <t>محمد عبدالمحسن عبدالمجيد حسانين</t>
  </si>
  <si>
    <t xml:space="preserve">احمد محمد السيد سليم </t>
  </si>
  <si>
    <t>احمد مصباح محمد عبد الله</t>
  </si>
  <si>
    <t>محمد خالد مصطفى عبدالعلیم القزاز</t>
  </si>
  <si>
    <t>احمد زكريا عطية حسن</t>
  </si>
  <si>
    <t>محمد السيد محمد علي</t>
  </si>
  <si>
    <t>اسلام فرج يونس اسماعيل مطاوع</t>
  </si>
  <si>
    <t>رمضان المليجى احمد المليجى قشطه</t>
  </si>
  <si>
    <t>محمد محمود ابراهيم متولي الصياد</t>
  </si>
  <si>
    <t>عمرو محمد محمد شوقى عبدالحميد</t>
  </si>
  <si>
    <t>عبدالعظیم حسین عبدالعظیم محمد عیسى</t>
  </si>
  <si>
    <t>مصطفى عبد الناصر بشير محمد</t>
  </si>
  <si>
    <t>احمد عبد القوى احمد عبد القوى</t>
  </si>
  <si>
    <t>سامح ناصر اسماعيل الشهاوى</t>
  </si>
  <si>
    <t>حماده ابراهيم صالح ابوالعزم</t>
  </si>
  <si>
    <t>مصطفى جمال منسى نصر صالح</t>
  </si>
  <si>
    <t>جابر احمد جابر عمر</t>
  </si>
  <si>
    <t>سعد جمعه سعد حسين عواد</t>
  </si>
  <si>
    <t>احمد الشحات عبدالفتاح نعیم العتوى</t>
  </si>
  <si>
    <t>محمد عبدالمعطى عزت عبدالمعطى</t>
  </si>
  <si>
    <t>احمد عبدالرازق شحاته عبدالرازق</t>
  </si>
  <si>
    <t>احمد عبدالفتاح عبدالقوى جوده</t>
  </si>
  <si>
    <t>طه ربيع عبدالحارث بدر</t>
  </si>
  <si>
    <t>علي صلاح عثمان علام</t>
  </si>
  <si>
    <t>حسن عبدالراضي سعيد احمد</t>
  </si>
  <si>
    <t>كرم صالح محمود احمد</t>
  </si>
  <si>
    <t>هشام خالد السعيد على</t>
  </si>
  <si>
    <t xml:space="preserve">محمود رزق عبدالصادق عوض </t>
  </si>
  <si>
    <t>احمد زغلول السيد السيد محمد</t>
  </si>
  <si>
    <t>بركات سعيد رمضان خليل</t>
  </si>
  <si>
    <t>محمود عبدالعال مر الجواب بلال</t>
  </si>
  <si>
    <t>عبدالله عید عبدالله ابراھیم</t>
  </si>
  <si>
    <t>محمود محمد محمود احمد</t>
  </si>
  <si>
    <t xml:space="preserve">محمد ابراهيم عسوى محمد القطورى </t>
  </si>
  <si>
    <t>محمد فتحى محمد ابوليله</t>
  </si>
  <si>
    <t>احمد كمال محمد ابوالفضل</t>
  </si>
  <si>
    <t>احمد محمد سمير محمد عماره</t>
  </si>
  <si>
    <t>فتحى اشرف فتحى عبدالحكيم</t>
  </si>
  <si>
    <t>محمد مختار امين محمد عيد</t>
  </si>
  <si>
    <t>اسلام محمد صابر محمد مصطفى</t>
  </si>
  <si>
    <t xml:space="preserve">يوسف رمضان محمد الفرارجى </t>
  </si>
  <si>
    <t>عبدالحميد محمد عبدالحميد المغربى</t>
  </si>
  <si>
    <t>امام سامي امام شحاته</t>
  </si>
  <si>
    <t xml:space="preserve">عبدربه عاطف عبدربه ابراهيم الشرقاوى </t>
  </si>
  <si>
    <t>محمد فوزي السيد علي</t>
  </si>
  <si>
    <t>خالد عبده ابوالسعود شاهين</t>
  </si>
  <si>
    <t>محمد علاءالدين حسن ابراهيم</t>
  </si>
  <si>
    <t>جعفر فصيل عبدالباسط شحاته</t>
  </si>
  <si>
    <t>محمد غريب حسين على</t>
  </si>
  <si>
    <t>على محمد حسن محمد</t>
  </si>
  <si>
    <t>محمد رمضان عبدالعال حجازي شعلة</t>
  </si>
  <si>
    <t>سيد حمدى السيد نصر</t>
  </si>
  <si>
    <t>محمد محمود سعيد الصاوى</t>
  </si>
  <si>
    <t>احمد فؤاد إسماعيل إبراهيم</t>
  </si>
  <si>
    <t>رشاد اشرف إسماعيل إبراهيم</t>
  </si>
  <si>
    <t>محمد سمير حمدي طلبه حسن</t>
  </si>
  <si>
    <t>محمود سعد فؤاد طابع</t>
  </si>
  <si>
    <t>احمد عبدالمعز محمد محمود</t>
  </si>
  <si>
    <t>طه نصر عبدالسميع محمد</t>
  </si>
  <si>
    <t>عصام محمد على محمد</t>
  </si>
  <si>
    <t>اسلام سيد محمود احمد</t>
  </si>
  <si>
    <t>احمد سيد عبدالمنعم ابراهيم</t>
  </si>
  <si>
    <t>فاروق عبدالستار فاروق عبدالستار</t>
  </si>
  <si>
    <t>محمود محمد مصطفي عبدالباسط</t>
  </si>
  <si>
    <t>على عبدالمنعم محمد عبدالمحسن</t>
  </si>
  <si>
    <t>عبدالرحمن جمال محمد سليمان</t>
  </si>
  <si>
    <t>محمد صلاح الدين توفيق صديق</t>
  </si>
  <si>
    <t>محمد على شيخون احمد</t>
  </si>
  <si>
    <t>كریم سعید أحمد علي</t>
  </si>
  <si>
    <t>محمود جابر العدلى احمد</t>
  </si>
  <si>
    <t>محمد عبدالله عبد اللطيف حسين</t>
  </si>
  <si>
    <t>كريم صابر عبدالحميد عبدالستار</t>
  </si>
  <si>
    <t>محمود مصطفى ابراهيم على عبدالعال</t>
  </si>
  <si>
    <t>محمد سامى السيد السيد خليل مباشر</t>
  </si>
  <si>
    <t>حسن محمود عبدالله عبدالخالق عمير</t>
  </si>
  <si>
    <t>مصطفى احمد محمد عبدالعزيز</t>
  </si>
  <si>
    <t>عماد السيد ابراهيم حسن حسن</t>
  </si>
  <si>
    <t>اسامه عبدالعال احمد محمد</t>
  </si>
  <si>
    <t>عبدالرحمن حسن احمد الصعيدى</t>
  </si>
  <si>
    <t>عثمان حسين عثمان محمدعلى</t>
  </si>
  <si>
    <t>عبد الرحمن محمد عبد الحفیظ عبدالماجد</t>
  </si>
  <si>
    <t>السيد احمد عدلى رمضان</t>
  </si>
  <si>
    <t>01021190052</t>
  </si>
  <si>
    <t>267/1994</t>
  </si>
  <si>
    <t>ك ح ح ساحلى 111</t>
  </si>
  <si>
    <t>احمد محمد عبدالمجيد ليله</t>
  </si>
  <si>
    <t>01001869262</t>
  </si>
  <si>
    <t>نفق الشهيد احمد حمدى رقم 2</t>
  </si>
  <si>
    <t>احمد عبدالفتاح سليمان عبدالحافظ</t>
  </si>
  <si>
    <t>01272161992</t>
  </si>
  <si>
    <t xml:space="preserve">قيادة قوات ح ح </t>
  </si>
  <si>
    <t xml:space="preserve">ك 105 ح ح ساحلى </t>
  </si>
  <si>
    <t>محمود على فتوح محمد عوضين</t>
  </si>
  <si>
    <t>01067415241</t>
  </si>
  <si>
    <t>مركز تدريب  ح ح</t>
  </si>
  <si>
    <t>احمد ابراهيم محمد احمد محمود</t>
  </si>
  <si>
    <t>01033710601</t>
  </si>
  <si>
    <t>ك ح ح رقم 105</t>
  </si>
  <si>
    <t>محمد عبده محمد على سعد</t>
  </si>
  <si>
    <t>01027182994</t>
  </si>
  <si>
    <t>حسن عاشور جمعه سيد</t>
  </si>
  <si>
    <t xml:space="preserve">اشارة </t>
  </si>
  <si>
    <t>01115070663</t>
  </si>
  <si>
    <t>قيا ح ح  ج 2 ميد</t>
  </si>
  <si>
    <t>مصطفى محمود شبانه</t>
  </si>
  <si>
    <t>01023709644</t>
  </si>
  <si>
    <t>ك 113 ح ح ساحلى</t>
  </si>
  <si>
    <t>احمد ابراهيم احمد ابراهيم حسين</t>
  </si>
  <si>
    <t>01013087302</t>
  </si>
  <si>
    <t xml:space="preserve">ك 109 ح ح ساحلى </t>
  </si>
  <si>
    <t>محمود على الشافى محمد</t>
  </si>
  <si>
    <t>01015431386</t>
  </si>
  <si>
    <t xml:space="preserve">س مراقبة وانذار بحيرات رقم 2 مقلة </t>
  </si>
  <si>
    <t xml:space="preserve">محمد شعبان عبدالستار على </t>
  </si>
  <si>
    <t>01014457290</t>
  </si>
  <si>
    <t>رئاسة مكتب مخابرات وامن حرس حدود سويس وجنوب سيناء</t>
  </si>
  <si>
    <t>عبدالقادر مصطفي عبدالقادر خطاب</t>
  </si>
  <si>
    <t>01281169190</t>
  </si>
  <si>
    <t xml:space="preserve">ك 112 ح ح ساحلى </t>
  </si>
  <si>
    <t>احمد سامى مروان عبده</t>
  </si>
  <si>
    <t>01095704575</t>
  </si>
  <si>
    <t>س الكشف عن المهربات انفاق بورسعيد رقم 2</t>
  </si>
  <si>
    <t>احمد صالح سليمان محمود</t>
  </si>
  <si>
    <t>مصطفى صبرى ابراھیم مبروك</t>
  </si>
  <si>
    <t>01208191299</t>
  </si>
  <si>
    <t xml:space="preserve">مركز تدريب ح ح  </t>
  </si>
  <si>
    <t>رفت جوازي (121)</t>
  </si>
  <si>
    <t>احمد حموده الحسينى محمد عبدالفتاح</t>
  </si>
  <si>
    <t>محمد رمضان عبدالظاھر حسین</t>
  </si>
  <si>
    <t xml:space="preserve">قصاص اثر </t>
  </si>
  <si>
    <t>01095872328</t>
  </si>
  <si>
    <t>مصطفى احمد محمد سالمان</t>
  </si>
  <si>
    <t>01007504085</t>
  </si>
  <si>
    <t xml:space="preserve">س ماقة وإنذار بحيرات رقم 2 مقلة </t>
  </si>
  <si>
    <t>محمد صالح ابراهيم عبدالمجيد</t>
  </si>
  <si>
    <t>احمد على احمد</t>
  </si>
  <si>
    <t>01030077785</t>
  </si>
  <si>
    <t>ك 114ح ح ساحلى</t>
  </si>
  <si>
    <t>فتحى فتوح احمد ابراھیم</t>
  </si>
  <si>
    <t>01026257215</t>
  </si>
  <si>
    <t>حسن احمد محمد حسن محمد البرماوى</t>
  </si>
  <si>
    <t>01280612339</t>
  </si>
  <si>
    <t xml:space="preserve">معهد ضباط الصف المعلمين </t>
  </si>
  <si>
    <t>نبيل عبدالفتاح يوسف عبدالفتاح</t>
  </si>
  <si>
    <t>01143643457</t>
  </si>
  <si>
    <t>عبدالهادي انور حامد طاهر</t>
  </si>
  <si>
    <t>01152185179</t>
  </si>
  <si>
    <t>ك 102 ح ح ساحلى</t>
  </si>
  <si>
    <t>حسين محمد احمد عبدالله حسن</t>
  </si>
  <si>
    <t>01111450772</t>
  </si>
  <si>
    <t>عبدالرحمن ابوالحسن السید ابراھیم</t>
  </si>
  <si>
    <t>01111503173</t>
  </si>
  <si>
    <t xml:space="preserve">قيا شرق القناه لمكافحة الارهاب </t>
  </si>
  <si>
    <t>سید حامد سید محمد</t>
  </si>
  <si>
    <t>01017026627</t>
  </si>
  <si>
    <t>ك3 ح ح برى</t>
  </si>
  <si>
    <t>محمد عوض صالح محمود</t>
  </si>
  <si>
    <t>0101812614</t>
  </si>
  <si>
    <t>ك 101 ح ح ساحلي</t>
  </si>
  <si>
    <t>على عادل فضل محمد</t>
  </si>
  <si>
    <t>01060708837</t>
  </si>
  <si>
    <t>ك ح ح مقاتلة رقم 4</t>
  </si>
  <si>
    <t xml:space="preserve">سلمان عبدالشافى محمد رضا على </t>
  </si>
  <si>
    <t>01002056329</t>
  </si>
  <si>
    <t>ك ح ح ساحلى رقم 102</t>
  </si>
  <si>
    <t>محمد محمود سيد محمد</t>
  </si>
  <si>
    <t>01094206554</t>
  </si>
  <si>
    <t>عمرو صبرى محمد على</t>
  </si>
  <si>
    <t>01142366213</t>
  </si>
  <si>
    <t>محمود سمير بدير دخيل</t>
  </si>
  <si>
    <t>01033886353</t>
  </si>
  <si>
    <t>شريف حماد محمد ابو الخير العيسوى</t>
  </si>
  <si>
    <t>01555735761</t>
  </si>
  <si>
    <t>س تشغيل بوابات الكشف عن مهربات / انفاق بورسعيد غرب رقم 1</t>
  </si>
  <si>
    <t>محمد جمال على شحاته العشماوى</t>
  </si>
  <si>
    <t>01004867128</t>
  </si>
  <si>
    <t>محمود محمد فراج طه طعیمه</t>
  </si>
  <si>
    <t>01095952772</t>
  </si>
  <si>
    <t>موسي مسعد محمد محمد</t>
  </si>
  <si>
    <t>ك حرس حدود ساحلى رقم 107</t>
  </si>
  <si>
    <t>01208208272</t>
  </si>
  <si>
    <t>01125588448</t>
  </si>
  <si>
    <t>وائل محمد علي مرزوق</t>
  </si>
  <si>
    <t>01116983841</t>
  </si>
  <si>
    <t>01255155151</t>
  </si>
  <si>
    <t>اسلام محمد جاد حامد</t>
  </si>
  <si>
    <t>01117221002</t>
  </si>
  <si>
    <t xml:space="preserve">ك 11 ح ح ساحلى </t>
  </si>
  <si>
    <t>احمد عبدالموجود عطیتو عبدالرحیم</t>
  </si>
  <si>
    <t xml:space="preserve">قصائص اثر </t>
  </si>
  <si>
    <t>01119186749</t>
  </si>
  <si>
    <t>هاني سيف الدين رشدي ملتزم</t>
  </si>
  <si>
    <t>01120116080</t>
  </si>
  <si>
    <t xml:space="preserve">ك 3 ح ح مقاتلة </t>
  </si>
  <si>
    <t>عبدالعزيز ماهر عبدالعزيز عبدالرشيد</t>
  </si>
  <si>
    <t>01020541677</t>
  </si>
  <si>
    <t>هانى جابر خليفة عبدالحكيم</t>
  </si>
  <si>
    <t>01159467033</t>
  </si>
  <si>
    <t>محمد فيض محمد صابر</t>
  </si>
  <si>
    <t>01027580123</t>
  </si>
  <si>
    <t>ش سيدي عيسى</t>
  </si>
  <si>
    <t>ورشة معدات الوقود - مستودع الرئاسة العامة رقم 2</t>
  </si>
  <si>
    <t>الهادي مصطفى محمد محمد</t>
  </si>
  <si>
    <t>01099377396</t>
  </si>
  <si>
    <t>01215146464</t>
  </si>
  <si>
    <t>عبدالعزيز محمد عبدالعزيز عامر</t>
  </si>
  <si>
    <t>01004269498</t>
  </si>
  <si>
    <t>01000455852</t>
  </si>
  <si>
    <t>مصطفى محمود عبدالفتاح محمود</t>
  </si>
  <si>
    <t>01100726009</t>
  </si>
  <si>
    <t>01128822852</t>
  </si>
  <si>
    <t>على أبوبكر عبدالخالق على</t>
  </si>
  <si>
    <t>01150410108</t>
  </si>
  <si>
    <t xml:space="preserve">معهد ضباط الصف </t>
  </si>
  <si>
    <t>عمار سالم عثمان عبدالحفيظ</t>
  </si>
  <si>
    <t>01004317330</t>
  </si>
  <si>
    <t xml:space="preserve">العدوى </t>
  </si>
  <si>
    <t>كومبوا</t>
  </si>
  <si>
    <t>اسوان</t>
  </si>
  <si>
    <t xml:space="preserve">الوحدة 888 مكافحة ارهاب </t>
  </si>
  <si>
    <t>معتز محمد عبداللطیف ھمام</t>
  </si>
  <si>
    <t>01112214104</t>
  </si>
  <si>
    <t>احمد محمد وھبه احمد</t>
  </si>
  <si>
    <t>01004076046</t>
  </si>
  <si>
    <t>صالح عبدالحفیظ مصطفى حسن</t>
  </si>
  <si>
    <t>01113646238</t>
  </si>
  <si>
    <t>الحسين سباعي ابراهيم حسن</t>
  </si>
  <si>
    <t>01023858317</t>
  </si>
  <si>
    <t xml:space="preserve">ك 14 ح ح برى </t>
  </si>
  <si>
    <t>أمير سليمان أحمد آمين</t>
  </si>
  <si>
    <t>01142038262</t>
  </si>
  <si>
    <t xml:space="preserve">مساعد </t>
  </si>
  <si>
    <t xml:space="preserve">محمود ابراهيم السيد سعيد </t>
  </si>
  <si>
    <t>01095995565</t>
  </si>
  <si>
    <t>01118012804</t>
  </si>
  <si>
    <t>حمادة فتحي عبدالله ابوجبل</t>
  </si>
  <si>
    <t>01020656173</t>
  </si>
  <si>
    <t>01258524782</t>
  </si>
  <si>
    <t>اسماعيل صلاح اسماعيل الحشاش</t>
  </si>
  <si>
    <t>01005683509</t>
  </si>
  <si>
    <t>01015848521</t>
  </si>
  <si>
    <t>محمد بدرى على مصطفى</t>
  </si>
  <si>
    <t>01156041651</t>
  </si>
  <si>
    <t>السيد شعبان السيد علي</t>
  </si>
  <si>
    <t>01144211844</t>
  </si>
  <si>
    <t>015557271882</t>
  </si>
  <si>
    <t>منصور عبدالعزيز منصور عبداللطيف</t>
  </si>
  <si>
    <t>01024984170</t>
  </si>
  <si>
    <t>015212548552</t>
  </si>
  <si>
    <t>السيد عبدالقادر السيد</t>
  </si>
  <si>
    <t>01026626189</t>
  </si>
  <si>
    <t>الفوج 661 اشارة ح ح</t>
  </si>
  <si>
    <t>محمد احمد حسن علي</t>
  </si>
  <si>
    <t>01018956802</t>
  </si>
  <si>
    <t>01225488522</t>
  </si>
  <si>
    <t>طاهر محمد حمدى محمد نور</t>
  </si>
  <si>
    <t>سائق عربة هامر / راتب عالى - مجند / رقيب</t>
  </si>
  <si>
    <t>المقطم</t>
  </si>
  <si>
    <t>مستودع مركبات فرعي رقم 2 -  كتيبة حرس حدود ساحلي رقم 106 - الفوج الاول حرس حدود - سرية رادار بري / ساحلي رقم ٤ مقله - كتيبة حرس حدود ساحلي رقم 110</t>
  </si>
  <si>
    <t>محمود عيد محمود حسن</t>
  </si>
  <si>
    <t>01016609284</t>
  </si>
  <si>
    <t>01015255584</t>
  </si>
  <si>
    <t>محمد صالح عبدالسلام صالح</t>
  </si>
  <si>
    <t>01032219846</t>
  </si>
  <si>
    <t>010145995496</t>
  </si>
  <si>
    <t>معتز سليمان حمزة هواش</t>
  </si>
  <si>
    <t>كتيبة حرس حدود ساحلي رقم 110 -  كتيبة حرس حدود ساحلي رقم 114 - كتيبة حرس حدود مقاتله رقم 4</t>
  </si>
  <si>
    <t>وحيد عبدالمعطى سعيد احمد</t>
  </si>
  <si>
    <t>مركز تدريب مشترك حرس حدود - كتيبة حرس حدود ساحلي رقم 111 -  كتيبة حرس حدود ساحلي رقم 103</t>
  </si>
  <si>
    <t>محمود فتحى صابر متولى</t>
  </si>
  <si>
    <t xml:space="preserve"> كتيبة حرس حدود ساحلي رقم 110 - الفوج الاول حرس حدود</t>
  </si>
  <si>
    <t>عبدالمجيد راتب عبدالمجيد حسين</t>
  </si>
  <si>
    <t>0109689840</t>
  </si>
  <si>
    <t>اكوه</t>
  </si>
  <si>
    <t>ديرب نجم</t>
  </si>
  <si>
    <t>كتيبة حرس حدود ساحلي رقم 114 - كتيبة حرس حدود ساحلي رقم 104</t>
  </si>
  <si>
    <t>محمد على على عمريه</t>
  </si>
  <si>
    <t>احمد قطب حميده السملاوى</t>
  </si>
  <si>
    <t>كاتب عسكري/رتب عالى - مجند /عريف</t>
  </si>
  <si>
    <t>محمد صبحى خفاجه خضر</t>
  </si>
  <si>
    <t>29102011701376</t>
  </si>
  <si>
    <t>سرية مراقبه وانذار بحيرات رقم / ٣مقله - كتيبة حرس حدود بري رقم 11</t>
  </si>
  <si>
    <t>محمد أمين عبدالعاطى الشافى</t>
  </si>
  <si>
    <t>أشارة حرس حدود</t>
  </si>
  <si>
    <t>علاء محمد يوسف على القماح</t>
  </si>
  <si>
    <t>01017298092</t>
  </si>
  <si>
    <t>28808011821297</t>
  </si>
  <si>
    <t>شرنوب</t>
  </si>
  <si>
    <t>ك 3 ح ح بري</t>
  </si>
  <si>
    <t>محمد جمال عبدالعزيز اسماعيل</t>
  </si>
  <si>
    <t>عامل مبين رادار</t>
  </si>
  <si>
    <t>شبرا الخيمة</t>
  </si>
  <si>
    <t>ايمن علي عبدالمنعم علي عطية</t>
  </si>
  <si>
    <t>01125883672</t>
  </si>
  <si>
    <t>29509011317374</t>
  </si>
  <si>
    <t>بهنباي</t>
  </si>
  <si>
    <t>ك 4 ح ح بري</t>
  </si>
  <si>
    <t>محمد ابراهيم عبدالخالق زين الدين</t>
  </si>
  <si>
    <t>01015441623</t>
  </si>
  <si>
    <t>29602211600895</t>
  </si>
  <si>
    <t>ميت الرخا</t>
  </si>
  <si>
    <t>س 4 بحيرات ح ح</t>
  </si>
  <si>
    <t>احمد عبداللطیف محمود المزین</t>
  </si>
  <si>
    <t>01085642535</t>
  </si>
  <si>
    <t>29710011806739</t>
  </si>
  <si>
    <t>شبراديس</t>
  </si>
  <si>
    <t>سرية الكشف عن المهربات شرم</t>
  </si>
  <si>
    <t>احمد يسري عبدالعليم النجار</t>
  </si>
  <si>
    <t>01148834980</t>
  </si>
  <si>
    <t>29404011802179</t>
  </si>
  <si>
    <t>نفق احمد حمدي رقم 1</t>
  </si>
  <si>
    <t>احمد العيسوى السيد شحاته</t>
  </si>
  <si>
    <t>01022548287</t>
  </si>
  <si>
    <t>29304081701278</t>
  </si>
  <si>
    <t>كفر ميت ابوالكوم</t>
  </si>
  <si>
    <t>الفوج الأول</t>
  </si>
  <si>
    <t xml:space="preserve">محمد محمود محمد القطقوطى </t>
  </si>
  <si>
    <t>01052894621</t>
  </si>
  <si>
    <t>جريس</t>
  </si>
  <si>
    <t>اشمون</t>
  </si>
  <si>
    <t>السيد حامد محمد السيد</t>
  </si>
  <si>
    <t>رقيب فصيلة ح ح</t>
  </si>
  <si>
    <t>0101217553</t>
  </si>
  <si>
    <t>ظفر</t>
  </si>
  <si>
    <t>تمي الامديد</t>
  </si>
  <si>
    <t>محمد محمد خير محمد عبدالسيد</t>
  </si>
  <si>
    <t>01110858879</t>
  </si>
  <si>
    <t>العدوه</t>
  </si>
  <si>
    <t>كوم امبو</t>
  </si>
  <si>
    <t>بشير سليمان مصطفى خليل</t>
  </si>
  <si>
    <t>صلاح محفوظ حسن محمد</t>
  </si>
  <si>
    <t>الحسین فوزى على حسب لله</t>
  </si>
  <si>
    <t>دراو</t>
  </si>
  <si>
    <t>احمد رجب عرفه عبادة عايد</t>
  </si>
  <si>
    <t>حسام محمد القمحاوى هاشم</t>
  </si>
  <si>
    <t>01200289284</t>
  </si>
  <si>
    <t>كفرسرنجا</t>
  </si>
  <si>
    <t>رئاسة مجموعة مخ ا ح ح</t>
  </si>
  <si>
    <t>محمد مصطفى معاطى ابراهيم السيد</t>
  </si>
  <si>
    <t>01015880518</t>
  </si>
  <si>
    <t>اوليله</t>
  </si>
  <si>
    <t>سرية الكشف عن المهربات سرابيوم</t>
  </si>
  <si>
    <t>محمد السيد عرفه عبدالخالق سرور</t>
  </si>
  <si>
    <t>01205381047</t>
  </si>
  <si>
    <t>شبلنجة</t>
  </si>
  <si>
    <t>ك 102ح ح ساحلي</t>
  </si>
  <si>
    <t>عبدالرحمن مصطفى محمد صالح</t>
  </si>
  <si>
    <t>قصاص أثر</t>
  </si>
  <si>
    <t>01099675211</t>
  </si>
  <si>
    <t>منيحة</t>
  </si>
  <si>
    <t>الناير محمود عابدين صالح</t>
  </si>
  <si>
    <t>محمود عبدالنبى عبدالستار احمد</t>
  </si>
  <si>
    <t>1</t>
  </si>
  <si>
    <t>01011203980</t>
  </si>
  <si>
    <t>سبيل مكي</t>
  </si>
  <si>
    <t>محمد عبدالله محمد وداعت الله</t>
  </si>
  <si>
    <t>01022192794</t>
  </si>
  <si>
    <t>حمد شلبى ابراهيم محمد</t>
  </si>
  <si>
    <t>01062095413</t>
  </si>
  <si>
    <t>المنصورية</t>
  </si>
  <si>
    <t>س 3 مراقبة وانذار</t>
  </si>
  <si>
    <t>طه حسین فوزى حامد</t>
  </si>
  <si>
    <t>01146211731</t>
  </si>
  <si>
    <t>الكراتيه</t>
  </si>
  <si>
    <t>انفاق بورسعيد رقم 1</t>
  </si>
  <si>
    <t>احمد على مصطفى محمود</t>
  </si>
  <si>
    <t>01093503068</t>
  </si>
  <si>
    <t>نجع العرب</t>
  </si>
  <si>
    <t>محمد رجب نصر ابراهيم</t>
  </si>
  <si>
    <t>01147747223</t>
  </si>
  <si>
    <t>سنهور</t>
  </si>
  <si>
    <t>عبدالرحمن نصر ابراهيم عبدالفتاح</t>
  </si>
  <si>
    <t>01014151042</t>
  </si>
  <si>
    <t>الكريوني</t>
  </si>
  <si>
    <t>س انفاق بورسعيد رقم 1</t>
  </si>
  <si>
    <t>مختار محمد صبحي ابراهيم</t>
  </si>
  <si>
    <t>01095884789</t>
  </si>
  <si>
    <t>زرقون البلد</t>
  </si>
  <si>
    <t>وليد محمود على محمود</t>
  </si>
  <si>
    <t>01275125229</t>
  </si>
  <si>
    <t>مساكن 104</t>
  </si>
  <si>
    <t>برج العرب</t>
  </si>
  <si>
    <t>الاسكندرية</t>
  </si>
  <si>
    <t>ك 15 ح ح بري</t>
  </si>
  <si>
    <t>وليد محمد عطيه محمود عطيه</t>
  </si>
  <si>
    <t>01275325092</t>
  </si>
  <si>
    <t>الحلوات</t>
  </si>
  <si>
    <t>الابراهيمية</t>
  </si>
  <si>
    <t>س 1 رادار ساحلي</t>
  </si>
  <si>
    <t>احمد عبدالباسط محمد حسين</t>
  </si>
  <si>
    <t>كراتيه</t>
  </si>
  <si>
    <t>محمود عيسي محمد سرور</t>
  </si>
  <si>
    <t>الحرس الوطني</t>
  </si>
  <si>
    <t>احمد محمد احمد عطا</t>
  </si>
  <si>
    <t>عبدالله احمد عبدالله عبدالنبى قوطه</t>
  </si>
  <si>
    <t>عبدالرحمن هشام سامى احمد عمر</t>
  </si>
  <si>
    <t>احمد سعيد بيسم على</t>
  </si>
  <si>
    <t>عزبة الأهالي</t>
  </si>
  <si>
    <t>القناطر الخيرية</t>
  </si>
  <si>
    <t>محمد خالد محمد عبدالحميد</t>
  </si>
  <si>
    <t>محمد ياسر اسماعيل محمد جعفر</t>
  </si>
  <si>
    <t>30104281400915</t>
  </si>
  <si>
    <t>الخانكة</t>
  </si>
  <si>
    <t>محمد محمود عبدالفتاح عبدالله</t>
  </si>
  <si>
    <t>ايمن حمدي السعيد عبدالله شطا</t>
  </si>
  <si>
    <t>سملا</t>
  </si>
  <si>
    <t>قطور</t>
  </si>
  <si>
    <t>ك 113 ح ح ساحلي</t>
  </si>
  <si>
    <t>محمد السید حسین محمد شرمه</t>
  </si>
  <si>
    <t>سندوه</t>
  </si>
  <si>
    <t>ابراهيم فتحى على حسن</t>
  </si>
  <si>
    <t>بني جري</t>
  </si>
  <si>
    <t>ابوحماد</t>
  </si>
  <si>
    <t>احمد محمد اسماعيل مرسي</t>
  </si>
  <si>
    <t>الشاذلى محمود احمد محمود محمد</t>
  </si>
  <si>
    <t>شنبارة منقلا</t>
  </si>
  <si>
    <t>مصطفى محمد مصطفى عبدالمحسن</t>
  </si>
  <si>
    <t>شارع النصر</t>
  </si>
  <si>
    <t>احمد سعيد احمد محمود</t>
  </si>
  <si>
    <t>30504222103471</t>
  </si>
  <si>
    <t>الجملة</t>
  </si>
  <si>
    <t>العياط</t>
  </si>
  <si>
    <t>احمد حمدى عباس على محمد الحزين</t>
  </si>
  <si>
    <t>خالد محمد على عبدالفتاح محمد عليوه</t>
  </si>
  <si>
    <t xml:space="preserve">خالد على سيد على </t>
  </si>
  <si>
    <t>الشطب</t>
  </si>
  <si>
    <t>ك 114 ح ح ساحلي</t>
  </si>
  <si>
    <t>أحمد عمر إبراھیم مصطفى</t>
  </si>
  <si>
    <t>العبيدات</t>
  </si>
  <si>
    <t>عاطف عبدالحميد احمد فرح</t>
  </si>
  <si>
    <t>سلوي</t>
  </si>
  <si>
    <t>عبدالرحمن احمد سید عثمان</t>
  </si>
  <si>
    <t>قاي</t>
  </si>
  <si>
    <t>اهناسيا</t>
  </si>
  <si>
    <t>محمد السعید عبدالحلیم كامل الجاویش</t>
  </si>
  <si>
    <t>مست المخلص</t>
  </si>
  <si>
    <t>علي فرح محمد فرح</t>
  </si>
  <si>
    <t>العدوية</t>
  </si>
  <si>
    <t>عبدالرحمن یوسف محمد احمد</t>
  </si>
  <si>
    <t>احمد محمد عبد المجيد ابراهيم</t>
  </si>
  <si>
    <t>01223368977</t>
  </si>
  <si>
    <t>01011585788</t>
  </si>
  <si>
    <t>محمد عوض حامد احمد</t>
  </si>
  <si>
    <t>01033323120</t>
  </si>
  <si>
    <t>01222485484</t>
  </si>
  <si>
    <t>معاذ عبدالحميد السيد محمد</t>
  </si>
  <si>
    <t>حوض نجيح</t>
  </si>
  <si>
    <t>ههيا</t>
  </si>
  <si>
    <t>هاني جمال عبدالعليم النجار</t>
  </si>
  <si>
    <t>01094674909</t>
  </si>
  <si>
    <t>01018944647</t>
  </si>
  <si>
    <t>علي محمد علي عبدالحميد ابوزيد</t>
  </si>
  <si>
    <t>01027190415</t>
  </si>
  <si>
    <t>010778794644</t>
  </si>
  <si>
    <t>عبدالرحمن احمد علي محمد</t>
  </si>
  <si>
    <t>01234978465</t>
  </si>
  <si>
    <t>01044994942</t>
  </si>
  <si>
    <t>اسامة عبدالحميد عبدالواحد التقي</t>
  </si>
  <si>
    <t>01091688498</t>
  </si>
  <si>
    <t>01126475157</t>
  </si>
  <si>
    <t>محمود محمد عبدالستار ابراهيم مهدى</t>
  </si>
  <si>
    <t>01025341690</t>
  </si>
  <si>
    <t>01249497445</t>
  </si>
  <si>
    <t>محمد سعد عبدالفتاح ابراهيم</t>
  </si>
  <si>
    <t>01226297707</t>
  </si>
  <si>
    <t>015484794944</t>
  </si>
  <si>
    <t>محمد أحمد عبدالغفار متولي</t>
  </si>
  <si>
    <t>ك حرس حدود برى رقم 18</t>
  </si>
  <si>
    <t>هيثم احمد عبدالحفيظ الكشك</t>
  </si>
  <si>
    <t>سامى سعيد على سعد</t>
  </si>
  <si>
    <t>حمادة عبدالفتاح على السيد</t>
  </si>
  <si>
    <t>احمد عرفه احمد محمد</t>
  </si>
  <si>
    <t>وائل جمعة جاب الله محارب</t>
  </si>
  <si>
    <t>بدر شعبان عبدالعظيم عبدالرازق</t>
  </si>
  <si>
    <t>مجدي السيد عبدالباري محمد</t>
  </si>
  <si>
    <t>محمد اسماعيل محمد محمد</t>
  </si>
  <si>
    <t xml:space="preserve">طه بيومى محمد بيومى </t>
  </si>
  <si>
    <t xml:space="preserve">وليد على فريج حجازى </t>
  </si>
  <si>
    <t>احمد محمد على عبدالحليم</t>
  </si>
  <si>
    <t>محمد عاطف ابراهيم زايد</t>
  </si>
  <si>
    <t>محمد عبدالكريم راغب عبدالعزيز عبدالبر</t>
  </si>
  <si>
    <t>وليد محمد محمد ابوالعلا</t>
  </si>
  <si>
    <t>على محمد على محمد الشرقاوى</t>
  </si>
  <si>
    <t>السيد محمدالسيد ابراهيم</t>
  </si>
  <si>
    <t xml:space="preserve"> احمد محمد متولى احمد على</t>
  </si>
  <si>
    <t>محمد احمد عوض الله احمد</t>
  </si>
  <si>
    <t>احمد عید محمد احمد محمد</t>
  </si>
  <si>
    <t>عمر سلیمان محمد سلیمان فلو</t>
  </si>
  <si>
    <t>محمد احمد عبدالدايم لاشين</t>
  </si>
  <si>
    <t>محمد ابراهيم محمد البدراوى</t>
  </si>
  <si>
    <t>محمد خليل ادريس سيد</t>
  </si>
  <si>
    <t>صالح طه صالح محمد على</t>
  </si>
  <si>
    <t>احمد على احمد محمود</t>
  </si>
  <si>
    <t>محمد صلاح احمد البدوي</t>
  </si>
  <si>
    <t>مصطفى على احمد يسن</t>
  </si>
  <si>
    <t>خالد خيرى عبدالعزيز على</t>
  </si>
  <si>
    <t>حامد علي بحر عبدالله</t>
  </si>
  <si>
    <t xml:space="preserve">كرم عبدالبارى ابوالوفا على </t>
  </si>
  <si>
    <t>رمضان عبدالعزيز سعيد محمود</t>
  </si>
  <si>
    <t>صالح يوسف فرح احمد</t>
  </si>
  <si>
    <t>سمير السيد عبدالله الفار</t>
  </si>
  <si>
    <t>محمود جمال محمود حسين</t>
  </si>
  <si>
    <t>محمد سالم عطية العربي</t>
  </si>
  <si>
    <t>محمد جمال الدین مسلم عراقى</t>
  </si>
  <si>
    <t>محمد شعبان محمد السيد محمد</t>
  </si>
  <si>
    <t>محمود حمدى مبارك عدوى</t>
  </si>
  <si>
    <t>محمد حسن محمد عراقي خليل</t>
  </si>
  <si>
    <t>جمعه السيد جمعه عبد الفتاح</t>
  </si>
  <si>
    <t>محمود عزت عبد الخالق</t>
  </si>
  <si>
    <t>محمد جمال ابراهيم رجب عمير</t>
  </si>
  <si>
    <t>احمد محمود عبدالوهاب سليمان</t>
  </si>
  <si>
    <t>سعيد خالد على عبدالحفيظ</t>
  </si>
  <si>
    <t>مصطفي يوسف احمد عبدالله</t>
  </si>
  <si>
    <t>عبدالله منصور عبدالله منصور متولي</t>
  </si>
  <si>
    <t>محمد صبري ذكي عبد العزیز</t>
  </si>
  <si>
    <t>امين شاكر عبدالسلام صالح</t>
  </si>
  <si>
    <t>صادق عبدالحميد صادق محمود</t>
  </si>
  <si>
    <t>جبريل محمد محمد طاهر حمد</t>
  </si>
  <si>
    <t>ايهاب جميل مظھر محمد</t>
  </si>
  <si>
    <t>محمد مصطفي قرنى سيد</t>
  </si>
  <si>
    <t>أدھم حماده رمضان عبدالصادق</t>
  </si>
  <si>
    <t>مصطفى محمد على ماھر عبدالمعطى</t>
  </si>
  <si>
    <t>محمد خالد فوزى ابراهيم محمد</t>
  </si>
  <si>
    <t>محمود سعيد أحمد أيوب</t>
  </si>
  <si>
    <t>أحمد عبدالصبور أحمد إبراھیم</t>
  </si>
  <si>
    <t>السيد عاطف على محمد عثمان</t>
  </si>
  <si>
    <t>احمد محمد السيد احمد</t>
  </si>
  <si>
    <t>محمود علاء محمد شوقى ابوالنور محمد</t>
  </si>
  <si>
    <t>محمد يوسف السيد</t>
  </si>
  <si>
    <t>احمد محمد عبدالرحمن يوسف عبدالكريم</t>
  </si>
  <si>
    <t>احمد تيسير ابوهاشم عبدالسلام</t>
  </si>
  <si>
    <t>محمد احمد عبدالغنى احمد عبدربه</t>
  </si>
  <si>
    <t>الحسين كمال محمد عبدالمجيد</t>
  </si>
  <si>
    <t>محمد عبدالحمید احمد عبدالواحد</t>
  </si>
  <si>
    <t>محمد مجدي السيد بهي</t>
  </si>
  <si>
    <t>01009575574</t>
  </si>
  <si>
    <t>010001418949</t>
  </si>
  <si>
    <t>اسلام السيد عبدالفتاح محمد عبدالفتاح</t>
  </si>
  <si>
    <t>01025639847</t>
  </si>
  <si>
    <t>010154947479</t>
  </si>
  <si>
    <t>مجدي عبدالله احمد عبدالعزيز</t>
  </si>
  <si>
    <t>01021860669</t>
  </si>
  <si>
    <t>010149949448</t>
  </si>
  <si>
    <t>ابراهيم محمد محمد ابراهيم</t>
  </si>
  <si>
    <t>01554353860</t>
  </si>
  <si>
    <t>01092812886</t>
  </si>
  <si>
    <t>محمود صابر عبدالفتاح الصاوي</t>
  </si>
  <si>
    <t>01067246334</t>
  </si>
  <si>
    <t>012559494944</t>
  </si>
  <si>
    <t>احمد سعيد فتحي عبدالمجيد</t>
  </si>
  <si>
    <t>01021543869</t>
  </si>
  <si>
    <t>0114894949499</t>
  </si>
  <si>
    <t>علي محمد رجب امين</t>
  </si>
  <si>
    <t>01030236885</t>
  </si>
  <si>
    <t>0125554999794</t>
  </si>
  <si>
    <t>علي لبيب علي لبيب</t>
  </si>
  <si>
    <t>01050701405</t>
  </si>
  <si>
    <t>01154492011</t>
  </si>
  <si>
    <t xml:space="preserve">احمد السيد محمد حسن </t>
  </si>
  <si>
    <t xml:space="preserve">معلم </t>
  </si>
  <si>
    <t>01123804474</t>
  </si>
  <si>
    <t>شارع 16 احمد سالم</t>
  </si>
  <si>
    <t>ثان شبرا الخيمة</t>
  </si>
  <si>
    <t>وحدة أ ذ رقم (20) - مستودع أ ذ (47) - مركز تدريب مشترك أ ذ - معهد الأسلحة والذخيرة - مستودع أ ذ رقم (30) - الورشة الرئيسية رقم (1)</t>
  </si>
  <si>
    <t>سامح جابر احمد عبدالعزيز</t>
  </si>
  <si>
    <t>01004523562</t>
  </si>
  <si>
    <t>01588242888</t>
  </si>
  <si>
    <t>مصطفى طارق السيد المحسناوى</t>
  </si>
  <si>
    <t>01094714883</t>
  </si>
  <si>
    <t>01553688278</t>
  </si>
  <si>
    <t>مستودع ا ذ 2 ميداني - ورشة 103 اسلحة - مستودع 72 اسلحة</t>
  </si>
  <si>
    <t>عوض احمد عبدالمقصود الحناطي</t>
  </si>
  <si>
    <t>01066860393</t>
  </si>
  <si>
    <t xml:space="preserve">الورشة الرئيسية للاسلحة رقم 11 / المستودع الفرعى للذخيرة رق 27 / الامانة العامة </t>
  </si>
  <si>
    <t>ربيع محمد احمد محمد عيسى</t>
  </si>
  <si>
    <t>01068913234</t>
  </si>
  <si>
    <t xml:space="preserve">قلين </t>
  </si>
  <si>
    <t>المستودع الرئيسي رقم 21 / المستودع الميدانى ت د رقم 37 / الورشة المتوسطة للاسلحة رقم 17</t>
  </si>
  <si>
    <t>محمد تهامي عبدالمطلب محمد</t>
  </si>
  <si>
    <t>حكمدار جماعة تعليم / حرس حدود</t>
  </si>
  <si>
    <t>1030410554 0</t>
  </si>
  <si>
    <t>01021039502</t>
  </si>
  <si>
    <t>ابراهيم وحيد ابراهيم السيد</t>
  </si>
  <si>
    <t>01030410554</t>
  </si>
  <si>
    <t>01275595833</t>
  </si>
  <si>
    <t>حسين فرج فراج عبود</t>
  </si>
  <si>
    <t>01011154912</t>
  </si>
  <si>
    <t xml:space="preserve">اسيوط </t>
  </si>
  <si>
    <t xml:space="preserve">مدرسة ضباط الصف المعلمين / مستودع 24 ذخيرة / المستودع  الرئيسى للذخيرة رقم 23 / مستودع 45 ذخيرة </t>
  </si>
  <si>
    <t xml:space="preserve">ادهم محمد ابراهيم محمد </t>
  </si>
  <si>
    <t>01159373071</t>
  </si>
  <si>
    <t xml:space="preserve">ابوقرقاص </t>
  </si>
  <si>
    <t>الورشة الفرعية لاسلحة رقم 11 م ج ع / ك المقر م ج ع / المستودع الفرعى  ا د رقم 2</t>
  </si>
  <si>
    <t>محمود فوزي عبدالمحسن</t>
  </si>
  <si>
    <t>01551830157</t>
  </si>
  <si>
    <t>01121530794</t>
  </si>
  <si>
    <t>احمد خيري اسماعيل شاهين</t>
  </si>
  <si>
    <t>01004188989</t>
  </si>
  <si>
    <t xml:space="preserve">متزود ويعول </t>
  </si>
  <si>
    <t xml:space="preserve">بسيونه </t>
  </si>
  <si>
    <t xml:space="preserve">الغربيبة </t>
  </si>
  <si>
    <t xml:space="preserve">المستودع الرئيسي لمعدات الرادار رقم 3 / مستودع 45 ذخيرة </t>
  </si>
  <si>
    <t>السيد محمد السيد محمد غياض</t>
  </si>
  <si>
    <t>01005778172</t>
  </si>
  <si>
    <t xml:space="preserve">فاقوس </t>
  </si>
  <si>
    <t>مركز تدريب مشترك ا د / مستودع 36  ا د</t>
  </si>
  <si>
    <t>محمد سعيد محمد جودة</t>
  </si>
  <si>
    <t>01008346172</t>
  </si>
  <si>
    <t>01006458734</t>
  </si>
  <si>
    <t>محمد عمر ابراهيم حامد</t>
  </si>
  <si>
    <t>01102406705</t>
  </si>
  <si>
    <t>01011154466</t>
  </si>
  <si>
    <t>علاء الطيب عبدالوهاب المنوفي</t>
  </si>
  <si>
    <t>01066513471</t>
  </si>
  <si>
    <t>01000545444</t>
  </si>
  <si>
    <t>محمد مصطفى محمد محمود</t>
  </si>
  <si>
    <t>01022316507</t>
  </si>
  <si>
    <t>012416546466</t>
  </si>
  <si>
    <t>حسن محمود عبدالصادق محمد</t>
  </si>
  <si>
    <t>01158811406</t>
  </si>
  <si>
    <t>01158813006</t>
  </si>
  <si>
    <t>احمد عبدالحفيظ عبدالمؤمن اسماعيل</t>
  </si>
  <si>
    <t>01154729940</t>
  </si>
  <si>
    <t>01153824489</t>
  </si>
  <si>
    <t>محمد عبدالفتاح حسن علي</t>
  </si>
  <si>
    <t>رسام عام ( أ )</t>
  </si>
  <si>
    <t>01092301519</t>
  </si>
  <si>
    <t>01015548785</t>
  </si>
  <si>
    <t>ابراهيم صابر عبدالفتاح عبدالله</t>
  </si>
  <si>
    <t>011199295</t>
  </si>
  <si>
    <t>01155946060</t>
  </si>
  <si>
    <t>عبد الرحمن مجدى عبد الجواد السيد غنيم</t>
  </si>
  <si>
    <t>01065934238</t>
  </si>
  <si>
    <t>01270338975</t>
  </si>
  <si>
    <t>كفر هلال</t>
  </si>
  <si>
    <t>محمد عثمان عبدالرحمن متولى</t>
  </si>
  <si>
    <t>محسن شوقى محمد جاد</t>
  </si>
  <si>
    <t>هيئة التدريب</t>
  </si>
  <si>
    <t>01094789350</t>
  </si>
  <si>
    <t>01022462129</t>
  </si>
  <si>
    <t>تل مسمار</t>
  </si>
  <si>
    <t>معهد التنظيم والإدارة للقوات المسلحة - س 2 نقل أفراد - فوج نقل مقر ج 2 ميد</t>
  </si>
  <si>
    <t>محمود فرحات محمد علي عمار</t>
  </si>
  <si>
    <t>01028203608</t>
  </si>
  <si>
    <t>01009235480</t>
  </si>
  <si>
    <t>محمود محمد عبدالحارس علي</t>
  </si>
  <si>
    <t>01024644848</t>
  </si>
  <si>
    <t>01154414760</t>
  </si>
  <si>
    <t>عبدالرحمن حامد محروس هلال</t>
  </si>
  <si>
    <t>س 166 سطع</t>
  </si>
  <si>
    <t>جهاز الاستطلاع</t>
  </si>
  <si>
    <t>01005462304</t>
  </si>
  <si>
    <t>عبدالله محمد عبدالنبى الزيات</t>
  </si>
  <si>
    <t>س 305 سطع</t>
  </si>
  <si>
    <t>01002741880</t>
  </si>
  <si>
    <t>سنباط</t>
  </si>
  <si>
    <t>محمود محمد صبحى محمد عبدالسلام</t>
  </si>
  <si>
    <t>احمد حسنى موسى دسوقى</t>
  </si>
  <si>
    <t>01066282607</t>
  </si>
  <si>
    <t>خالد زكى محمود الخبيرى</t>
  </si>
  <si>
    <t>01006503314</t>
  </si>
  <si>
    <t>28301271601391</t>
  </si>
  <si>
    <t xml:space="preserve">س مراقبة ولإنذار بحيرات رقم 2 مقلة </t>
  </si>
  <si>
    <t>عبدالرحمن سالم عبدالرحمن الشيوى</t>
  </si>
  <si>
    <t>01033944796</t>
  </si>
  <si>
    <t>ك ح ح ساحلى 105</t>
  </si>
  <si>
    <t>سعيد جمعه احمد خليل</t>
  </si>
  <si>
    <t>01536458981</t>
  </si>
  <si>
    <t>01149949474</t>
  </si>
  <si>
    <t>محمود علي احمد محمد</t>
  </si>
  <si>
    <t>01094350127</t>
  </si>
  <si>
    <t>01012884009</t>
  </si>
  <si>
    <t>الأمين محمود مصطفي الأمين</t>
  </si>
  <si>
    <t>01235964781</t>
  </si>
  <si>
    <t>010157927788</t>
  </si>
  <si>
    <t>عبدالله احمد محمد ابراهيم</t>
  </si>
  <si>
    <t>01125648973</t>
  </si>
  <si>
    <t>01115446414</t>
  </si>
  <si>
    <t>يوسف عبدالحميد اسماعيل جاب الله</t>
  </si>
  <si>
    <t>01123874125</t>
  </si>
  <si>
    <t>01011185749</t>
  </si>
  <si>
    <t xml:space="preserve">مصطفى فرج ضاحى محمد </t>
  </si>
  <si>
    <t>01065679292</t>
  </si>
  <si>
    <t>سرية مراقبه وانذار بحيرات رقم 3 مقله - كتيبة حرس حدود ساحلي رقم 106 -  قيادة قوات حرس الحدود</t>
  </si>
  <si>
    <t>محمد احمد محمود محمد</t>
  </si>
  <si>
    <t>01008306729</t>
  </si>
  <si>
    <t>مصطفى نبيل محمود عبدالواحد</t>
  </si>
  <si>
    <t>0121448744967</t>
  </si>
  <si>
    <t>عماد السيد محمد السعيد</t>
  </si>
  <si>
    <t>ك 824 مد</t>
  </si>
  <si>
    <t>01015743858</t>
  </si>
  <si>
    <t>أبو داود</t>
  </si>
  <si>
    <t>ك 207 مد وسط / ل 82 مد</t>
  </si>
  <si>
    <t>عمر احمد عبد السلام ابو رحمة</t>
  </si>
  <si>
    <t>أيتاي البارود</t>
  </si>
  <si>
    <t>كتيبة حرس حدود ساحلي رقم  109 - الفوج الاول حرس حدود -  كتيبة حرس حدود مقاتله رقم 3</t>
  </si>
  <si>
    <t>احمد محمود حسانين طيفور</t>
  </si>
  <si>
    <t>01208982930</t>
  </si>
  <si>
    <t>01024549849</t>
  </si>
  <si>
    <t>حسام حمدى محمد أحمد الصیفى</t>
  </si>
  <si>
    <t>كتيبة عائمات خفيفه / مجموعة العمليات الخاصة - قيادة مجموعة صاعقه ١٤5 - الوحدة (777) قتال / القوات الخاصة - الوحدة (999) قتال / القوات الخاصة- الوحده  ٧٧٧ قتال / مجموعة العمليات الخاصة / قوات الصاعقة - كتيبة 63 صاعقة / مجموعة 145 صاعقة</t>
  </si>
  <si>
    <t>بسام عاشور ابراهيم محمد ابوزيد</t>
  </si>
  <si>
    <t>احمد محى الدين احمد سلامه قرقر</t>
  </si>
  <si>
    <t>اسمانيا</t>
  </si>
  <si>
    <t>مصطفى محمد عبدالرحيم احمد</t>
  </si>
  <si>
    <t>محمد حسين عبدالصادق عبدالعاطي</t>
  </si>
  <si>
    <t>30012291300076</t>
  </si>
  <si>
    <t>ابراھیم مجدى سلیمان سلیم</t>
  </si>
  <si>
    <t>ك حرس حدود ساحلى رقم 108</t>
  </si>
  <si>
    <t>احمد اسماعيل احمد طه</t>
  </si>
  <si>
    <t>احمد اشرف محمد عبدالوهاب</t>
  </si>
  <si>
    <t>احمد السيد عبدالحميد محمد</t>
  </si>
  <si>
    <t>احمد جامع مصطفى فرح</t>
  </si>
  <si>
    <t>احمد خالد احمد فؤاد عوض</t>
  </si>
  <si>
    <t>احمد شعبان خليل عبدالحميد</t>
  </si>
  <si>
    <t>احمد عبدالعزيز السيد حرفوش</t>
  </si>
  <si>
    <t>احمد عبدالله محمد سعيد</t>
  </si>
  <si>
    <t>احمد فوزى محمد قرعش</t>
  </si>
  <si>
    <t>احمد كمال ابراهيم محمد مبارك</t>
  </si>
  <si>
    <t>احمد مجدي رمضان رمضان</t>
  </si>
  <si>
    <t>احمد محمد عبدالوهاب كامل</t>
  </si>
  <si>
    <t>احمدى محمد رشيد مغنم ابراهيم</t>
  </si>
  <si>
    <t>اسامه عادل عبدالله عراقي</t>
  </si>
  <si>
    <t>اسلام محمد فتحى على</t>
  </si>
  <si>
    <t>العربي السيد احمد متولي</t>
  </si>
  <si>
    <t>بسيونى علاء بسيونى عوض الله</t>
  </si>
  <si>
    <t>حسام سید عبدالله ابراھیم</t>
  </si>
  <si>
    <t>حسب الله على حسب الله على</t>
  </si>
  <si>
    <t>حماده جمعه فتحي ابراهيم</t>
  </si>
  <si>
    <t>حمدي سلامه عبدالمنعم حسن</t>
  </si>
  <si>
    <t>حمزه محمد علي ابراهيم</t>
  </si>
  <si>
    <t>طه جمال فتح الله محمد شواطه</t>
  </si>
  <si>
    <t>ربيع منصور لطفي عبد اللاه</t>
  </si>
  <si>
    <t>سالم مختار عبدالرازق نبیوه</t>
  </si>
  <si>
    <t>سيد محمود حامد ناظر</t>
  </si>
  <si>
    <t>شريف بسيوني فرحات زيدان</t>
  </si>
  <si>
    <t>طاهر محمد خير علي محمد</t>
  </si>
  <si>
    <t>خالد مصري علي حسن</t>
  </si>
  <si>
    <t>عاطف دسوقى عبدالسلام عبدالفتاح</t>
  </si>
  <si>
    <t>عبدالله هارون الرشيدي عبدالله</t>
  </si>
  <si>
    <t>عثمان سيد عثمان صالح</t>
  </si>
  <si>
    <t>عطا عبدالرازق ابراهيم عبدالكريم</t>
  </si>
  <si>
    <t>على صابر على داود حسونة</t>
  </si>
  <si>
    <t>على نبیل جمعه عبدالعزیز</t>
  </si>
  <si>
    <t>عماد حمدى عبد المنعم فلیفل</t>
  </si>
  <si>
    <t>عمرو محمد عبدالعزيز عبدالله</t>
  </si>
  <si>
    <t>عمرو موسي احمد محمد</t>
  </si>
  <si>
    <t>فتحى عبد الجواد عبد العزیز عبد الله</t>
  </si>
  <si>
    <t>كرم سعد عبدالحميد المزين</t>
  </si>
  <si>
    <t>ماجد سعيد رجب مرسال</t>
  </si>
  <si>
    <t>مبروك سعد مبروك مصطفي</t>
  </si>
  <si>
    <t>محمد ابراهيم سعد العيسوى سلامه</t>
  </si>
  <si>
    <t>محمد احمد احمد سيد احمد ربيع</t>
  </si>
  <si>
    <t>محمد احمد عبد الغني عبدالواحد</t>
  </si>
  <si>
    <t>محمد احمد فتحى اسماعيل</t>
  </si>
  <si>
    <t>محمد حسن امین الفرماوى</t>
  </si>
  <si>
    <t>محمد رجب محمود عبدالفتاح احمد</t>
  </si>
  <si>
    <t>محمد ركابى حسن شاطر</t>
  </si>
  <si>
    <t>محمد رمضان كیلانى فتح الله</t>
  </si>
  <si>
    <t>محمد زكريا إبراهيم السيد المهدى</t>
  </si>
  <si>
    <t>محمد سعيد فتحى رزق الشرقاوى</t>
  </si>
  <si>
    <t>محمد سيد حسين حامد</t>
  </si>
  <si>
    <t>محمد عاطف السيد علي</t>
  </si>
  <si>
    <t>محمد عبدالخالق سعيد ربيع</t>
  </si>
  <si>
    <t xml:space="preserve">محمد عبدالرحيم احمد موسى </t>
  </si>
  <si>
    <t>محمد عمر سعدو عمر</t>
  </si>
  <si>
    <t>محمد عمر عليوه حسن</t>
  </si>
  <si>
    <t>محمد فتحي محمد محمد عويطي</t>
  </si>
  <si>
    <t>محمد كمال يحي محمد</t>
  </si>
  <si>
    <t>محمد محمد عبدالحميد الرخ</t>
  </si>
  <si>
    <t>محمد محمود حسين محمود شحاته</t>
  </si>
  <si>
    <t>محمد مصطفي محمد خير</t>
  </si>
  <si>
    <t>محمد مهدى يونس على السيد</t>
  </si>
  <si>
    <t>محمد ناصر الشحات عبدالفتاح</t>
  </si>
  <si>
    <t>محمود احمد حسن احمد</t>
  </si>
  <si>
    <t>محمود رمضان محمد عبدالخفيظ</t>
  </si>
  <si>
    <t>مصطفي قمر عزت محمد</t>
  </si>
  <si>
    <t>هشام عبدالرازق إبراهيم محمد</t>
  </si>
  <si>
    <t>وائل صبري محمود عبدالمقصود</t>
  </si>
  <si>
    <t>وجدى رشاد رفاعى كساب</t>
  </si>
  <si>
    <t>ياسين عبدالعزيز ياسين ابوموته</t>
  </si>
  <si>
    <t>سعد ابراهيم سعد الحسينى</t>
  </si>
  <si>
    <t>س 117 إشارة</t>
  </si>
  <si>
    <t>ميكا اصلاح معدات لاس</t>
  </si>
  <si>
    <t>01023523224</t>
  </si>
  <si>
    <t>01015223494</t>
  </si>
  <si>
    <t>احمد مصطفى ابوالفتوح منصور</t>
  </si>
  <si>
    <t>حكمدار جماعة خطوط</t>
  </si>
  <si>
    <t>01090072256</t>
  </si>
  <si>
    <t>محمد وجيه محمد مرسى</t>
  </si>
  <si>
    <t>حكمدار جماعه لاسلكي</t>
  </si>
  <si>
    <t>0129322573</t>
  </si>
  <si>
    <t>0155959311</t>
  </si>
  <si>
    <t>احمد السيد عطيه محمد</t>
  </si>
  <si>
    <t>01203075551</t>
  </si>
  <si>
    <t>01098728301</t>
  </si>
  <si>
    <t>محمد السيد عبدالغفار حسن</t>
  </si>
  <si>
    <t>س 117 أهرام</t>
  </si>
  <si>
    <t>حكمدار طاقم (عامل توجية) م م م د أهرم</t>
  </si>
  <si>
    <t>رمضان محمود احمد سعد</t>
  </si>
  <si>
    <t>01007961414</t>
  </si>
  <si>
    <t>محمد سليم محمد عبدالله</t>
  </si>
  <si>
    <t>01099834614</t>
  </si>
  <si>
    <t>01289048990</t>
  </si>
  <si>
    <t>بسيونى ربيع بسيونى سليم</t>
  </si>
  <si>
    <t>01044684029</t>
  </si>
  <si>
    <t>01122690050</t>
  </si>
  <si>
    <t>صلاح محمود عبد الواحد كشك</t>
  </si>
  <si>
    <t>01102735842</t>
  </si>
  <si>
    <t xml:space="preserve">شهاب الدين مدحت سلامه سعيد صالح </t>
  </si>
  <si>
    <t>عامل اصلاح واختبار أجهزة كهرباء صواريخ ارض ارض</t>
  </si>
  <si>
    <t>01092603669</t>
  </si>
  <si>
    <t>01121663306</t>
  </si>
  <si>
    <t>كسر أعلي القصبة اليسري مثبت بمسمارين(لائق مستوي أدني)</t>
  </si>
  <si>
    <t>محمد عاطف عبدالرازق عبدالرؤوف</t>
  </si>
  <si>
    <t>01014520991</t>
  </si>
  <si>
    <t xml:space="preserve">طه محمد سليمان محمد </t>
  </si>
  <si>
    <t>01003225213</t>
  </si>
  <si>
    <t>ك 360 مش ميكا - ك 336 مش مقل</t>
  </si>
  <si>
    <t>أفريقيا الوسطي ( حفظ سلام )</t>
  </si>
  <si>
    <t>محمد أيمن سيد ابو على</t>
  </si>
  <si>
    <t>01113512427</t>
  </si>
  <si>
    <t>01140467682</t>
  </si>
  <si>
    <t>محمد ماهر عدلان عبدالجليل عبده</t>
  </si>
  <si>
    <t>01066713114</t>
  </si>
  <si>
    <t>01095630117</t>
  </si>
  <si>
    <t>مسعد محمد محمد شرابيه</t>
  </si>
  <si>
    <t>01091267439</t>
  </si>
  <si>
    <t>01220955404</t>
  </si>
  <si>
    <t>عبدالرحمن محمود علي موسي</t>
  </si>
  <si>
    <t>01080241070</t>
  </si>
  <si>
    <t>01029110694</t>
  </si>
  <si>
    <t>احمد محمد فرغلى عبدالرحيم</t>
  </si>
  <si>
    <t>دبلوم زراعي</t>
  </si>
  <si>
    <t>01206830966</t>
  </si>
  <si>
    <t>01221544687</t>
  </si>
  <si>
    <t>احمد رضا عبدالغفار غانم</t>
  </si>
  <si>
    <t>حكمدار جماعة سطع عام</t>
  </si>
  <si>
    <t>01018107584</t>
  </si>
  <si>
    <t>عبد الله رمضان محمد خطاب</t>
  </si>
  <si>
    <t>احمد شعبان السعيد ابوبكر</t>
  </si>
  <si>
    <t>01061466147</t>
  </si>
  <si>
    <t xml:space="preserve">احمد ابراهيم يوسف احمد </t>
  </si>
  <si>
    <t>س 117 م ع</t>
  </si>
  <si>
    <t>إدارة المهندسين العسكريين</t>
  </si>
  <si>
    <t>رقيب فصيلة كباري</t>
  </si>
  <si>
    <t>01020857558</t>
  </si>
  <si>
    <t>01096627695</t>
  </si>
  <si>
    <t>محمود جميل احمد بغداد</t>
  </si>
  <si>
    <t>ميكانيكي أجهزة هيدروليكية</t>
  </si>
  <si>
    <t>01094167982</t>
  </si>
  <si>
    <t>30001161702014</t>
  </si>
  <si>
    <t>محمود حامد محمود السيد موسي</t>
  </si>
  <si>
    <t>س 717 طب</t>
  </si>
  <si>
    <t>3 تمريض</t>
  </si>
  <si>
    <t>01113362335</t>
  </si>
  <si>
    <t>على جمال على احمد</t>
  </si>
  <si>
    <t>الرابعة معهد صحي</t>
  </si>
  <si>
    <t>01023884842</t>
  </si>
  <si>
    <t>مصطفي عبدالمنعم مصطفي صديق</t>
  </si>
  <si>
    <t>4 تمريض</t>
  </si>
  <si>
    <t>01026845486</t>
  </si>
  <si>
    <t>احمد محمد احمد سعيد</t>
  </si>
  <si>
    <t>الخامسة معهد صحي</t>
  </si>
  <si>
    <t>01283630088</t>
  </si>
  <si>
    <t>احمد مظهر احمد محمود</t>
  </si>
  <si>
    <t>01120083987</t>
  </si>
  <si>
    <t>ياسين ناصر عبدالرحمن السید على</t>
  </si>
  <si>
    <t>حكمدار جماعة نقل</t>
  </si>
  <si>
    <t>01223047731</t>
  </si>
  <si>
    <t>محمد السيد محمد ابراهيم البسطويسي</t>
  </si>
  <si>
    <t>01018051034</t>
  </si>
  <si>
    <t>يوسف احمد السيد جوده</t>
  </si>
  <si>
    <t>ك 360 مش</t>
  </si>
  <si>
    <t>الغريزات</t>
  </si>
  <si>
    <t>المراغة</t>
  </si>
  <si>
    <t>السيد العربي هاشم الوحش</t>
  </si>
  <si>
    <t>ف 117 ش ع</t>
  </si>
  <si>
    <t>√</t>
  </si>
  <si>
    <t>01282601370</t>
  </si>
  <si>
    <t>مصطفى اسماعيل ابراهيم امين</t>
  </si>
  <si>
    <t>01152916933</t>
  </si>
  <si>
    <t>مصطفي سمير مصطفي ابوالسعود</t>
  </si>
  <si>
    <t>01007964999</t>
  </si>
  <si>
    <t>بخيت السيد احمد عمر</t>
  </si>
  <si>
    <t>01094700997</t>
  </si>
  <si>
    <t>عصام محمد جوده محمد سلام</t>
  </si>
  <si>
    <t>0114842894</t>
  </si>
  <si>
    <t>محمد عبدالعليم نور محمد ابوجبل</t>
  </si>
  <si>
    <t>01228700736</t>
  </si>
  <si>
    <t>عبدالواحد ايمن عبدالواحد</t>
  </si>
  <si>
    <t>01159178916</t>
  </si>
  <si>
    <t xml:space="preserve">عبدالرحمن حماده سيد منجود طلبه </t>
  </si>
  <si>
    <t>ف 117 كيما</t>
  </si>
  <si>
    <t>رقيب فصيلة تطهير</t>
  </si>
  <si>
    <t>0106078422</t>
  </si>
  <si>
    <t>محمد صبحي رشاد محمد</t>
  </si>
  <si>
    <t>حكمدار جماعة تطهير</t>
  </si>
  <si>
    <t>01096753329</t>
  </si>
  <si>
    <t>محمود حماده عبدالحميد طه</t>
  </si>
  <si>
    <t>01033809079</t>
  </si>
  <si>
    <t>مدحت سامى إبراهيم احمد عجوة</t>
  </si>
  <si>
    <t>رقيب فصيلة طهاة</t>
  </si>
  <si>
    <t>01212675084</t>
  </si>
  <si>
    <t>أحمد محمد احمد عبدالباقي عبدالحميد</t>
  </si>
  <si>
    <t>01113819019</t>
  </si>
  <si>
    <t>مسلم محمود حسين محمد</t>
  </si>
  <si>
    <t>دبلوم تجارة</t>
  </si>
  <si>
    <t>كاتب مالي</t>
  </si>
  <si>
    <t>01007471126</t>
  </si>
  <si>
    <t>محمد رمضان عبدالرؤف ابوزيد ابراهيم</t>
  </si>
  <si>
    <t>01023216406</t>
  </si>
  <si>
    <t>01020411074</t>
  </si>
  <si>
    <t>محمد رضا جوهر حضيري</t>
  </si>
  <si>
    <t>خطاط ورسام</t>
  </si>
  <si>
    <t>01205453086</t>
  </si>
  <si>
    <t>01023851924</t>
  </si>
  <si>
    <t>محمود سعودى السيد محمد</t>
  </si>
  <si>
    <t>س 5 نقل أفراد</t>
  </si>
  <si>
    <t>سائق عربة / راتب عالي</t>
  </si>
  <si>
    <t>01507238509</t>
  </si>
  <si>
    <t>عبدالمجيد محمد عنتر عمار</t>
  </si>
  <si>
    <t>ك 235 بب</t>
  </si>
  <si>
    <t>رجب طه عبدالفتاح سليم</t>
  </si>
  <si>
    <t xml:space="preserve">اسلام السيد حسن المزين </t>
  </si>
  <si>
    <t>صف مشاه</t>
  </si>
  <si>
    <t>01018154079</t>
  </si>
  <si>
    <t>نكلا  العنب</t>
  </si>
  <si>
    <t>ايتاى البارود</t>
  </si>
  <si>
    <t xml:space="preserve">قيادة فرقة 4 المدرعة / قياده ل 14 مدرعة / فرقة 21 مدرع - رئاسة أدارة المدرعات - قيادة ل 14 مدرع / فرقة 21 مدرع - مركز تدريب مشترك المدرعات </t>
  </si>
  <si>
    <t>محمد حسن عبدالھادى محمد موسى</t>
  </si>
  <si>
    <t>خالد محمد احمد الدلاتونى</t>
  </si>
  <si>
    <t>احمد محمد محمود مصطفى</t>
  </si>
  <si>
    <t>ايمن محروس صادق محمد</t>
  </si>
  <si>
    <t>السيد شعبان السيد احمد</t>
  </si>
  <si>
    <t>حسام مصطفى محمد عبدالعزيز</t>
  </si>
  <si>
    <t>محمود فريد رمضان مطر</t>
  </si>
  <si>
    <t>همام هشام همام سيد احمد</t>
  </si>
  <si>
    <t>احمد يحيي محمد رضا حامد</t>
  </si>
  <si>
    <t>محمد رشاد شحاته محمد محمد</t>
  </si>
  <si>
    <t>هانى فرج عبدالعال محمد</t>
  </si>
  <si>
    <t>مؤمن خلف الله عطيه الفولى</t>
  </si>
  <si>
    <t>احمد الحسينى فاروق محمد عوض</t>
  </si>
  <si>
    <t>احمد محمد السيد عطيه</t>
  </si>
  <si>
    <t>احمد ايمن عبيد عبدالرازق</t>
  </si>
  <si>
    <t>محمد جميل احمد عبدالعليم</t>
  </si>
  <si>
    <t>عصام شعبان سيد مرسى</t>
  </si>
  <si>
    <t>ك 302 مد</t>
  </si>
  <si>
    <t>احمد عبدالقادر محمد الاتربي</t>
  </si>
  <si>
    <t>محمد محمود محمد محمد</t>
  </si>
  <si>
    <t>كريم محمد بدير الصفطى السيد ابوالعينين</t>
  </si>
  <si>
    <t>هيثم محمود عبداللطيف محمد زغلول</t>
  </si>
  <si>
    <t>مصطفى محمد عبدالله حذيفه</t>
  </si>
  <si>
    <t>محمد محمود ابراهيم الدسوقي</t>
  </si>
  <si>
    <t>احمد حسين محمود السيد</t>
  </si>
  <si>
    <t>عبدالله سعيد عبدالله حسين</t>
  </si>
  <si>
    <t>شحاته محمد شحاته احمد</t>
  </si>
  <si>
    <t>محمد مبروك محمد اسماعيل</t>
  </si>
  <si>
    <t>محمد سعد عبدالعزیز السید احمد</t>
  </si>
  <si>
    <t>محمد فريد عثمان عبدالرحيم فرج</t>
  </si>
  <si>
    <t>عمرو محمد عبدالحميد احمد</t>
  </si>
  <si>
    <t>01024964843</t>
  </si>
  <si>
    <t>ابومشهور</t>
  </si>
  <si>
    <t>علي عاشور علي حسن</t>
  </si>
  <si>
    <t>عبدالله محمد خيرى ضبش</t>
  </si>
  <si>
    <t>محمد السيد محمد السيد احمد ياقوت</t>
  </si>
  <si>
    <t>محمود ربيع محمود عبدالدايم</t>
  </si>
  <si>
    <t>محمد عبدالعظيم ابوبكر طاحون</t>
  </si>
  <si>
    <t>حكمدار جماعة مش</t>
  </si>
  <si>
    <t>01272704577</t>
  </si>
  <si>
    <t>شما</t>
  </si>
  <si>
    <t>ك 515 مش ميكا / ل 166 مش ميكا مقل - ك 73 مش ميكا فهد - ك 913 مش / ل 113 مش - إدارة المشاة</t>
  </si>
  <si>
    <t>بشير محمد محمد احمد</t>
  </si>
  <si>
    <t xml:space="preserve">رقيب فصيله مش </t>
  </si>
  <si>
    <t>01055317125</t>
  </si>
  <si>
    <t xml:space="preserve">معهد ضباط الصف / ك 500 مش ميكا ل 118 ميكا / ك 407 مش ميكا ل التاسع مش ميكا / ك 902 مش ميكا ل902 مش ميكا </t>
  </si>
  <si>
    <t>إسلام محمد محمد عبدالهادى</t>
  </si>
  <si>
    <t>01155056733</t>
  </si>
  <si>
    <t xml:space="preserve">سنهوت </t>
  </si>
  <si>
    <t xml:space="preserve">مينا القمح </t>
  </si>
  <si>
    <t xml:space="preserve">فندق ضباط م ج ع </t>
  </si>
  <si>
    <t>ك 3 مش ميكا /ل137 مش ميكا مقل</t>
  </si>
  <si>
    <t>عمر فتح الله احمد فرغل</t>
  </si>
  <si>
    <t>01120560958</t>
  </si>
  <si>
    <t xml:space="preserve">بني شاح </t>
  </si>
  <si>
    <t>س 166 سطع / 166 مش ميكا مقل - ك 73 مش ميكا فهد</t>
  </si>
  <si>
    <t>محمد ناصر جابر خالد احمد</t>
  </si>
  <si>
    <t xml:space="preserve">اعدداية </t>
  </si>
  <si>
    <t xml:space="preserve">حكمدار جماعة مشاة </t>
  </si>
  <si>
    <t>01026747638</t>
  </si>
  <si>
    <t>البوها</t>
  </si>
  <si>
    <t xml:space="preserve">ك531 مش ميكا ل134 ميكا / ك15 مش ميكا ل5 مش ميكا فهد / ادارة المشاة / ق شرق القناه لمكافحة الارهاب </t>
  </si>
  <si>
    <t>جمال على السيد احمد</t>
  </si>
  <si>
    <t>01279267425</t>
  </si>
  <si>
    <t xml:space="preserve">نزه البحيرة </t>
  </si>
  <si>
    <t xml:space="preserve">جهينا </t>
  </si>
  <si>
    <t>ك515 مش ميكا ل166 مش ميكا</t>
  </si>
  <si>
    <t>محمد عبدالمنعم محمد سيد أحمد</t>
  </si>
  <si>
    <t xml:space="preserve">رقيب فصيلة مش </t>
  </si>
  <si>
    <t>01097400055</t>
  </si>
  <si>
    <t>1710/1992</t>
  </si>
  <si>
    <t xml:space="preserve">طلبا </t>
  </si>
  <si>
    <t xml:space="preserve">قيادة الحرس الجمهورى / ك حراسه فوج تشرفيات حرس جمهورى </t>
  </si>
  <si>
    <t>عبدالعظيم سعيد عبدالعظيم سكرمه</t>
  </si>
  <si>
    <t>.</t>
  </si>
  <si>
    <t>01018981925</t>
  </si>
  <si>
    <t xml:space="preserve">البندارية </t>
  </si>
  <si>
    <t xml:space="preserve">مركز تلا </t>
  </si>
  <si>
    <t xml:space="preserve">س 190 ش ع / المجموعة 28 ش ع نيابات </t>
  </si>
  <si>
    <t>محمد صبري مرجان عبدالمطلب علام</t>
  </si>
  <si>
    <t>01279376606</t>
  </si>
  <si>
    <t>ارض الرز</t>
  </si>
  <si>
    <t xml:space="preserve">ثان رمل </t>
  </si>
  <si>
    <t>الأسكندرية</t>
  </si>
  <si>
    <t>معهد التنظيم والإدارة للقوات المسلحة</t>
  </si>
  <si>
    <t>احمد صبحي عبدالفتاح ابو عيشة</t>
  </si>
  <si>
    <t xml:space="preserve">الوفائية </t>
  </si>
  <si>
    <t xml:space="preserve">ك 155 مش ميكا /ل 166 مش ميكا مقل </t>
  </si>
  <si>
    <t>احمد اسماعيل احمد اسماعيل</t>
  </si>
  <si>
    <t>01096883466</t>
  </si>
  <si>
    <t xml:space="preserve">البوها البلد </t>
  </si>
  <si>
    <t xml:space="preserve">كفر صقر </t>
  </si>
  <si>
    <t xml:space="preserve">مكتب تنسيق ومتابعة </t>
  </si>
  <si>
    <t>ك336 مش ميكا مقله</t>
  </si>
  <si>
    <t>محمد صبري علي مصطفى البسطويسى</t>
  </si>
  <si>
    <t>01007976408</t>
  </si>
  <si>
    <t>البوها فريك</t>
  </si>
  <si>
    <t>ك 888 مش ميكا / ل 166 مش ميكا مقل</t>
  </si>
  <si>
    <t>اسلام محمد عبده عبدالمجيد الشربينى</t>
  </si>
  <si>
    <t>01096025352</t>
  </si>
  <si>
    <t>29908141202597</t>
  </si>
  <si>
    <t>منشاة الاخوة</t>
  </si>
  <si>
    <t xml:space="preserve">اجا </t>
  </si>
  <si>
    <t xml:space="preserve">ك 15 مش ميكا / ل5 مش ميكا فهد / ك 37 مش ميكا / ل مش ميكا </t>
  </si>
  <si>
    <t>طه محمود حسن محمد</t>
  </si>
  <si>
    <t>01122992161</t>
  </si>
  <si>
    <t>الدخيلة</t>
  </si>
  <si>
    <t>السيد سامح عبدالحميد السيد ابوحمد</t>
  </si>
  <si>
    <t>01002025421</t>
  </si>
  <si>
    <t>إدارة الشرطة العسكرية ( فرع التحريات )</t>
  </si>
  <si>
    <t>علاء عاطف نمر عازر حنا</t>
  </si>
  <si>
    <t>عبدالرحمن ناصر عبدالرحمن خليل</t>
  </si>
  <si>
    <t>01007348557</t>
  </si>
  <si>
    <t>القناطرين</t>
  </si>
  <si>
    <t>مصطفى زكريا عبدالجواد عوض هارون</t>
  </si>
  <si>
    <t>نديبة</t>
  </si>
  <si>
    <t>فتحى سمير محمد زاهر عارف</t>
  </si>
  <si>
    <t>01030922597</t>
  </si>
  <si>
    <t>طويلة نشرت</t>
  </si>
  <si>
    <t>احمد محمد حسن محمد</t>
  </si>
  <si>
    <t>01153841271</t>
  </si>
  <si>
    <t>الخرانقة</t>
  </si>
  <si>
    <t>ايمن سعيد احمد عبده غريب</t>
  </si>
  <si>
    <t xml:space="preserve">حكمدار جماعة مش / ميكا </t>
  </si>
  <si>
    <t>01019537253</t>
  </si>
  <si>
    <t>ناصر</t>
  </si>
  <si>
    <t>محمد حسين حمدى محمد</t>
  </si>
  <si>
    <t>01015887921</t>
  </si>
  <si>
    <t>صنيم</t>
  </si>
  <si>
    <t>احمد محمد عبدالمجيد محمد</t>
  </si>
  <si>
    <t>01035691291</t>
  </si>
  <si>
    <t>النيا</t>
  </si>
  <si>
    <t>اسلام مهران منصور عبدالعزيز</t>
  </si>
  <si>
    <t>01095058777</t>
  </si>
  <si>
    <t>شنديد</t>
  </si>
  <si>
    <t>عمرو رفعت جيره غيته</t>
  </si>
  <si>
    <t>محمد رضا محمود السماحى</t>
  </si>
  <si>
    <t>احمد صبحى ابراهيم الدسوقى يوسف</t>
  </si>
  <si>
    <t>01124033542</t>
  </si>
  <si>
    <t>البساتين</t>
  </si>
  <si>
    <t>المرج</t>
  </si>
  <si>
    <t>ابراهيم اشرف محمد شعبان</t>
  </si>
  <si>
    <t>01011567444</t>
  </si>
  <si>
    <t>ناليفا</t>
  </si>
  <si>
    <t>اسلام ربيع جارحى محمد جارحى</t>
  </si>
  <si>
    <t>01034652904</t>
  </si>
  <si>
    <t>منشية فتيح</t>
  </si>
  <si>
    <t>محسن السيد بدوى عيد</t>
  </si>
  <si>
    <t>محمود محمد عطيه عبدالمطلب</t>
  </si>
  <si>
    <t>ياسر احمد عطية ادم</t>
  </si>
  <si>
    <t>فتحى المغاوري عبدالعاطي والي</t>
  </si>
  <si>
    <t>محمد محمود جمعة احمد</t>
  </si>
  <si>
    <t>محمد جابر حجازى حسن</t>
  </si>
  <si>
    <t>محمد حسنين محمد خليفة</t>
  </si>
  <si>
    <t>عاطف عادل عاطف النحراوى</t>
  </si>
  <si>
    <t>ايهاب محمد علي عبد الجليل</t>
  </si>
  <si>
    <t>احمد فوزي محمد مفتاح</t>
  </si>
  <si>
    <t>وفيق محمد عبدالسميع على جعفر</t>
  </si>
  <si>
    <t>احمد محمد زكريا محمد خميس</t>
  </si>
  <si>
    <t>محمد صلاح محمد محروس</t>
  </si>
  <si>
    <t>محمد عيد منصور عيد حسان راشد</t>
  </si>
  <si>
    <t>فارس محروس عبدالرازق ابو بكر</t>
  </si>
  <si>
    <t>محمد شعيب السيد على</t>
  </si>
  <si>
    <t>محمد احمد عبدالدايم عبدربه</t>
  </si>
  <si>
    <t>حسين منصور مصطفى حامد محمد</t>
  </si>
  <si>
    <t>محمود محمد عبدالرحمن عبدالحميد</t>
  </si>
  <si>
    <t>محمود ابراهيم محمود رضاالله</t>
  </si>
  <si>
    <t>محمد طارق فريد سيد</t>
  </si>
  <si>
    <t>ابراهيم احمد ابراهيم علي</t>
  </si>
  <si>
    <t>هشام هانى محمد سلامه</t>
  </si>
  <si>
    <t>ابراهيم محمد ابراهيم محمد ابوزيد</t>
  </si>
  <si>
    <t>مؤمن عبدالجليل ابراهيم عبدالجليل</t>
  </si>
  <si>
    <t>متولي جلال متولي عطية الطويل</t>
  </si>
  <si>
    <t>مصطفى حسن جابر عويس</t>
  </si>
  <si>
    <t xml:space="preserve">محمد أشرف سالم جمعه مرسى </t>
  </si>
  <si>
    <t>محمد فهيم علي عبدالصادق</t>
  </si>
  <si>
    <t>ك 444 مش</t>
  </si>
  <si>
    <t>محمود احمد محمود حسين</t>
  </si>
  <si>
    <t>عوض جلال عبدالمنعم احمد عوض</t>
  </si>
  <si>
    <t>الشافعي محمد الشافعي محمد ابوحسين</t>
  </si>
  <si>
    <t>احمد ايمن على محمدى الاشقر</t>
  </si>
  <si>
    <t>محمد رمضان سعيد الجمل</t>
  </si>
  <si>
    <t>عبدالمنعم جمال الشحات محمد</t>
  </si>
  <si>
    <t>احمد ممدوح احمد حسان</t>
  </si>
  <si>
    <t>محمد رمضان محمد محمد غنيمى</t>
  </si>
  <si>
    <t>علاء الدين سعد محمد ربيع</t>
  </si>
  <si>
    <t>احمد عبدربه عبدالواحد عبدربه</t>
  </si>
  <si>
    <t>محمد عبدالحميد مسعود عبدالحميد</t>
  </si>
  <si>
    <t>عبدالرحمن جابر محمد ابراهيم</t>
  </si>
  <si>
    <t>محمد زكريا حافظ النقيب</t>
  </si>
  <si>
    <t>احمد راشد عبيان يوسف عبيان</t>
  </si>
  <si>
    <t>محمود حسان محمود محمد</t>
  </si>
  <si>
    <t>باسم على احمد احمد</t>
  </si>
  <si>
    <t>كريم احمد عوض سعود اسماعيل</t>
  </si>
  <si>
    <t>محمد رزق محمد مصلحى محمد</t>
  </si>
  <si>
    <t>محمد سليم محى الدين محمد محمد</t>
  </si>
  <si>
    <t>محمد مؤمن محمد على الجندى</t>
  </si>
  <si>
    <t>فوزى محمد بسيونى محمد الدشاش</t>
  </si>
  <si>
    <t>محمد فوزي محمد عبدالله الشاذلي</t>
  </si>
  <si>
    <t>احمد ابراهيم عبداللطيف احمد حربى</t>
  </si>
  <si>
    <t>محمود عطيه سعد عطيه على الجبالى</t>
  </si>
  <si>
    <t>احمد عسران شوقى عسران السيد</t>
  </si>
  <si>
    <t>عبدالرحمن هشام عبده عبدالله بدوى</t>
  </si>
  <si>
    <t>يوسف احمد رمضان محمد خميس</t>
  </si>
  <si>
    <t>نادر محمد صبحي الصافي</t>
  </si>
  <si>
    <t xml:space="preserve">احمد عماد بشريده احمد </t>
  </si>
  <si>
    <t>طارق سيد مرزوق مرسى</t>
  </si>
  <si>
    <t>عبدالله عبدالمنصف طه نصر</t>
  </si>
  <si>
    <t>ك 560 د جو</t>
  </si>
  <si>
    <t>محمد سمير محمد مرسى</t>
  </si>
  <si>
    <t>إدارة الدفاع الجوى</t>
  </si>
  <si>
    <t>حكمدار رشاش 14.5 مم رباعي / ثنائي</t>
  </si>
  <si>
    <t>صبحى على مصباح على صالح</t>
  </si>
  <si>
    <t xml:space="preserve">مصطفى محمد يوسف شتا </t>
  </si>
  <si>
    <t>احمد جمال على مرسى ابراهيم</t>
  </si>
  <si>
    <t>السعيد احمد عنتر غانم</t>
  </si>
  <si>
    <t>محمود محمد عبدالرحمن على</t>
  </si>
  <si>
    <t xml:space="preserve">ياسر كمال علي فخري </t>
  </si>
  <si>
    <t>مصطفى محمود عبدالرازق فتحى شحاته</t>
  </si>
  <si>
    <t>عماد محمد سعيد المعداوى</t>
  </si>
  <si>
    <t>ورشة ل 117 مش ميكا مقل</t>
  </si>
  <si>
    <t>7 صناع</t>
  </si>
  <si>
    <t>01096139067</t>
  </si>
  <si>
    <t>01277344648</t>
  </si>
  <si>
    <t>مصطفى محمود عبدالقوى عبدالقوى</t>
  </si>
  <si>
    <t>حكمدار طاقم .. حــــــداد</t>
  </si>
  <si>
    <t>01070652019</t>
  </si>
  <si>
    <t>بلال كارم السيد اسماعيل</t>
  </si>
  <si>
    <t>01128738247</t>
  </si>
  <si>
    <t>بهتيم</t>
  </si>
  <si>
    <t>مسعود جابر مسعود محمد عاشور</t>
  </si>
  <si>
    <t>01007625284</t>
  </si>
  <si>
    <t>01026985677</t>
  </si>
  <si>
    <t>اسلام شعبان عبدالحميد المنير</t>
  </si>
  <si>
    <t>01202371073</t>
  </si>
  <si>
    <t xml:space="preserve">ابراهيم احمد محمد على </t>
  </si>
  <si>
    <t>كهربائي مجنزرات شرقي</t>
  </si>
  <si>
    <t>01031753708</t>
  </si>
  <si>
    <t xml:space="preserve">أشرف إبراهيم على محمد </t>
  </si>
  <si>
    <t>01028133497</t>
  </si>
  <si>
    <t>طوخ الاقلام</t>
  </si>
  <si>
    <t>اشرف اسامة السيد الفوال</t>
  </si>
  <si>
    <t>01014410174</t>
  </si>
  <si>
    <t>مصطفى على محمد عبدالخالق</t>
  </si>
  <si>
    <t>01021105602</t>
  </si>
  <si>
    <t>01229847169</t>
  </si>
  <si>
    <t>احمد فتحى شحاته محمد</t>
  </si>
  <si>
    <t>01150032044</t>
  </si>
  <si>
    <t>محمد على حسن احمد</t>
  </si>
  <si>
    <t>ميكانيكي اسلحة</t>
  </si>
  <si>
    <t>01111908358</t>
  </si>
  <si>
    <t>01002319354</t>
  </si>
  <si>
    <t>محمد رجب محمد عبدالرؤف الطباخ</t>
  </si>
  <si>
    <t>عامل إصلاح مركبات ديزل</t>
  </si>
  <si>
    <t>01015588504</t>
  </si>
  <si>
    <t>01099823478</t>
  </si>
  <si>
    <t>محمد حازم محمد السيد</t>
  </si>
  <si>
    <t>خازن فنى مجنزرات</t>
  </si>
  <si>
    <t>01276667648</t>
  </si>
  <si>
    <t>01036819669</t>
  </si>
  <si>
    <t>يوسف شحاته عبدالرحمن السيسي</t>
  </si>
  <si>
    <t>01026103497</t>
  </si>
  <si>
    <t>01236954785</t>
  </si>
  <si>
    <t>عبدالرحمن بشير رجب محمد متولى</t>
  </si>
  <si>
    <t>01229095200</t>
  </si>
  <si>
    <t>01024034760</t>
  </si>
  <si>
    <t>رامى احمد محمد حسين</t>
  </si>
  <si>
    <t>01022197966</t>
  </si>
  <si>
    <t>شعبان مسعود محمد ابراهيم لوندي</t>
  </si>
  <si>
    <t>01017863881</t>
  </si>
  <si>
    <t>ابراهيم علاء مصطفى ابراهيم</t>
  </si>
  <si>
    <t>احمد مجدي محفوظ عطية ابوالعنين</t>
  </si>
  <si>
    <t>حكمدار طاقم اضاءه</t>
  </si>
  <si>
    <t>01011388152</t>
  </si>
  <si>
    <t>احمد جمال عمران الجندى</t>
  </si>
  <si>
    <t>01226395399</t>
  </si>
  <si>
    <t>البتانون</t>
  </si>
  <si>
    <t>باهي محمود حسن علاق رضوان</t>
  </si>
  <si>
    <t>01015751421</t>
  </si>
  <si>
    <t>محمد حسونه جمعه محمد</t>
  </si>
  <si>
    <t>حكمدار عربة مساحة</t>
  </si>
  <si>
    <t>محمد ياسر محمد كمال</t>
  </si>
  <si>
    <t>احمد محمد احمد السيد الدهراوي</t>
  </si>
  <si>
    <t>يوسف رضا غنيم احمد</t>
  </si>
  <si>
    <t>01150622456</t>
  </si>
  <si>
    <t>احمد محمود احمد شبل</t>
  </si>
  <si>
    <t>01096689507</t>
  </si>
  <si>
    <t>اسلام حسان حسن محمد</t>
  </si>
  <si>
    <t>س 133 إشارة</t>
  </si>
  <si>
    <t>010222197966</t>
  </si>
  <si>
    <t>محمد محمود عبدالحليم</t>
  </si>
  <si>
    <t>01055975744</t>
  </si>
  <si>
    <t>محمد رضا السيد السيد سراج</t>
  </si>
  <si>
    <t>س 141 م ع</t>
  </si>
  <si>
    <t>سائق آلة جويدر</t>
  </si>
  <si>
    <t>01062557265</t>
  </si>
  <si>
    <t>محمود محمد محمود عطية والي</t>
  </si>
  <si>
    <t>01013635280</t>
  </si>
  <si>
    <t>محمد عبدالسلام محمد محمد</t>
  </si>
  <si>
    <t>رقیب أول سریة</t>
  </si>
  <si>
    <t>يسرى سيد احمد فهمى</t>
  </si>
  <si>
    <t>مساعد معلم سطع</t>
  </si>
  <si>
    <t>عبدالله صبحى محمد السید</t>
  </si>
  <si>
    <t>01069537678</t>
  </si>
  <si>
    <t>كوم الاطرون</t>
  </si>
  <si>
    <t>عمرو شاكر أحمد محمود محمد</t>
  </si>
  <si>
    <t>س 766 طب</t>
  </si>
  <si>
    <t>ثانية تمريض</t>
  </si>
  <si>
    <t>يوسف شعبان عبدالعزيز جداده</t>
  </si>
  <si>
    <t>الثالثة تمريض</t>
  </si>
  <si>
    <t>ثانوية أزهرية</t>
  </si>
  <si>
    <t>فني معمل</t>
  </si>
  <si>
    <t>طه عامر عبدالفتاح محمد</t>
  </si>
  <si>
    <t>وليد خلف عبدالحميد عبدالجواد</t>
  </si>
  <si>
    <t>الخامسة تمريض</t>
  </si>
  <si>
    <t>ثانوية</t>
  </si>
  <si>
    <t xml:space="preserve">على ربيع احمد على </t>
  </si>
  <si>
    <t>01113690626</t>
  </si>
  <si>
    <t>800 فدان</t>
  </si>
  <si>
    <t>محمد احمد احمد بركات</t>
  </si>
  <si>
    <t>رقيب اول سرية</t>
  </si>
  <si>
    <t>01010757690</t>
  </si>
  <si>
    <t>محمد صلاح محمد عبدالمجيد</t>
  </si>
  <si>
    <t>ك 155 مش</t>
  </si>
  <si>
    <t>ايهاب حمدى ابراهيم ابوترك</t>
  </si>
  <si>
    <t xml:space="preserve">ف 125 ش ع  </t>
  </si>
  <si>
    <t>حكمدار جماعة شرطة عسكرية</t>
  </si>
  <si>
    <t>كريم راوي جمعة السيد</t>
  </si>
  <si>
    <t xml:space="preserve">عماد مجدى نبيه البسيونى </t>
  </si>
  <si>
    <t>عبدالعزيز محمد عبدالعزيز محمود</t>
  </si>
  <si>
    <t>حكمدار جماعة دراجات اليه</t>
  </si>
  <si>
    <t>محمد احمد عبدالرحيم احمد</t>
  </si>
  <si>
    <t>محمود حلمى حامد الأسمر هلال بحيرى</t>
  </si>
  <si>
    <t>01149373368</t>
  </si>
  <si>
    <t>محمد إبراهيم رفقى ابراهيم رضوان</t>
  </si>
  <si>
    <t>ف 35 كيما</t>
  </si>
  <si>
    <t>رقيب فصيلة التطهير</t>
  </si>
  <si>
    <t>01024542540</t>
  </si>
  <si>
    <t>حسام جمال عبدالناصر راشد</t>
  </si>
  <si>
    <t>حكمدار جماعة</t>
  </si>
  <si>
    <t>01090231936</t>
  </si>
  <si>
    <t>عاطف حسني علي احمد</t>
  </si>
  <si>
    <t>قيا ل 166 مش ميكا مقل</t>
  </si>
  <si>
    <t>اشرف مجدى محمد محمد محمد</t>
  </si>
  <si>
    <t>01093006526</t>
  </si>
  <si>
    <t>محمود محمد مصطفى محمد</t>
  </si>
  <si>
    <t>مساعد معلم تربية بدنية ورياضية</t>
  </si>
  <si>
    <t>01278509345</t>
  </si>
  <si>
    <t>احمد محمد احمد حسن</t>
  </si>
  <si>
    <t>رقيب فصيلة مشاة / مش ميكا</t>
  </si>
  <si>
    <t>01094954516</t>
  </si>
  <si>
    <t xml:space="preserve">محمود عبده فؤاد ابراهيم </t>
  </si>
  <si>
    <t xml:space="preserve">احمد على حسن عبدالله </t>
  </si>
  <si>
    <t>01013996981</t>
  </si>
  <si>
    <t>احمد على محمد عبداللطيف</t>
  </si>
  <si>
    <t>محمد ياسر مصطفى محمد الطنطى</t>
  </si>
  <si>
    <t>01029182100</t>
  </si>
  <si>
    <t>على محمود على محمود</t>
  </si>
  <si>
    <t>012068990842</t>
  </si>
  <si>
    <t xml:space="preserve">رضا صابر على بدوى </t>
  </si>
  <si>
    <t>السيد صبحي السيد مراد</t>
  </si>
  <si>
    <t>محمود عبدالعزيز عبدالنافع عبدالعزيز</t>
  </si>
  <si>
    <t>محمد محمد محمد ابوشعيشع</t>
  </si>
  <si>
    <t>مصطفى فتحي محمد عايد</t>
  </si>
  <si>
    <t xml:space="preserve">محمد صبرى محمد سليمان مصطفى </t>
  </si>
  <si>
    <t>اسامه مرسى حموده شعبان</t>
  </si>
  <si>
    <t>محمد جمال عبدالبر سعيد</t>
  </si>
  <si>
    <t>احمد سعد مصطفى حرحش</t>
  </si>
  <si>
    <t>نادر السيد بسيونى صلاح</t>
  </si>
  <si>
    <t>أحمد محمد سلامة بسيوني سلامة</t>
  </si>
  <si>
    <t>محمد طه حسن حسین</t>
  </si>
  <si>
    <t>محمد فتحى صابر عبده مناف</t>
  </si>
  <si>
    <t xml:space="preserve">كريم محمد السيد عبدالرحمن </t>
  </si>
  <si>
    <t>محمود رضا محمود حبيب عطيه</t>
  </si>
  <si>
    <t>احمد عبدالله احمد عبد الله</t>
  </si>
  <si>
    <t>محمد مسعود مشحوت عبدالحميد</t>
  </si>
  <si>
    <t>احمد محمود اسماعيل على ميره</t>
  </si>
  <si>
    <t>عدلى مدحت عدلى محمد ابراهيم</t>
  </si>
  <si>
    <t>كريم هانى الوصال حسن مراد</t>
  </si>
  <si>
    <t>احمد محمد محمد الخولى</t>
  </si>
  <si>
    <t xml:space="preserve">ك 188 مد م </t>
  </si>
  <si>
    <t>رضا على احمد مشعل</t>
  </si>
  <si>
    <t>حكمدار جم سطع مدفعية</t>
  </si>
  <si>
    <t>المنشية الكبرى</t>
  </si>
  <si>
    <t>محمد فرحات عبدالفتاح فرحات عبدالله</t>
  </si>
  <si>
    <t>ك 188 مد.م</t>
  </si>
  <si>
    <t>29406121700757</t>
  </si>
  <si>
    <t>محمد نعمان جلال نعمان</t>
  </si>
  <si>
    <t xml:space="preserve">حكمدار عربة مساحة </t>
  </si>
  <si>
    <t>م.ج.ع</t>
  </si>
  <si>
    <t>احمد ماهر حمدي شفيق</t>
  </si>
  <si>
    <t>1//7/2015</t>
  </si>
  <si>
    <t>حكمدار طاقم هاوتز 122</t>
  </si>
  <si>
    <t xml:space="preserve">قيادة ل 166 مش ميكا </t>
  </si>
  <si>
    <t>محمد ابراهيم على عامر</t>
  </si>
  <si>
    <t xml:space="preserve">حكمدار طاقم هاوتز </t>
  </si>
  <si>
    <t>محمد حلمي كمال احمد الشريف</t>
  </si>
  <si>
    <t>محمد سعد محمد حشيش</t>
  </si>
  <si>
    <t>حكمدار طاقم هاوتز  122 مد.م</t>
  </si>
  <si>
    <t>م0ج0ع</t>
  </si>
  <si>
    <t xml:space="preserve">هيثم عبدالغنى راضى عبدالغنى </t>
  </si>
  <si>
    <t>محمود محمد على حسين</t>
  </si>
  <si>
    <t>30110302500473</t>
  </si>
  <si>
    <t>يوسف ايمن عبدالمنعم الصافى</t>
  </si>
  <si>
    <t>فؤاد زكريا محمد ابراهيم حسن</t>
  </si>
  <si>
    <t>محمود جمال محمود احمد</t>
  </si>
  <si>
    <t>حكمدار جماعة استطلاع</t>
  </si>
  <si>
    <t>01020713155</t>
  </si>
  <si>
    <t>محمدي عبدالصمد محمدي عبدالصمد</t>
  </si>
  <si>
    <t>01009090850</t>
  </si>
  <si>
    <t>01020849240</t>
  </si>
  <si>
    <t>محمد عبدالحميد عبدالجواد</t>
  </si>
  <si>
    <t>01119887939</t>
  </si>
  <si>
    <t>هانى محمد عطا محمد غنيم</t>
  </si>
  <si>
    <t>01553612476</t>
  </si>
  <si>
    <t>محمد عبدالله شعبان عباس</t>
  </si>
  <si>
    <t>سائق بب ت 62</t>
  </si>
  <si>
    <t>01128932532</t>
  </si>
  <si>
    <t>01126788474</t>
  </si>
  <si>
    <t>عادل محمد فرغلي سليمان</t>
  </si>
  <si>
    <t>01091388670</t>
  </si>
  <si>
    <t>01063439548</t>
  </si>
  <si>
    <t>علاء ابو هشيمه صالح محمد</t>
  </si>
  <si>
    <t>01013127039</t>
  </si>
  <si>
    <t>محمد عاطف رمضان جوده</t>
  </si>
  <si>
    <t>01013904345</t>
  </si>
  <si>
    <t>بهبشين</t>
  </si>
  <si>
    <t>محمد ابراهيم سعيد ابراهيم</t>
  </si>
  <si>
    <t>01098913231</t>
  </si>
  <si>
    <t>01225644945</t>
  </si>
  <si>
    <t>اشرف سمير فتحي حسن</t>
  </si>
  <si>
    <t>012554852485</t>
  </si>
  <si>
    <t>01154649492</t>
  </si>
  <si>
    <t>محمد على السيد احمد</t>
  </si>
  <si>
    <t>01145306502</t>
  </si>
  <si>
    <t>01126485192</t>
  </si>
  <si>
    <t>عبدالرحمن خالد فوزي قطب احمد</t>
  </si>
  <si>
    <t>01273149674</t>
  </si>
  <si>
    <t>01286832679</t>
  </si>
  <si>
    <t xml:space="preserve">محمد عبداللاه احمد محمد </t>
  </si>
  <si>
    <t>01097425145</t>
  </si>
  <si>
    <t>01154728565</t>
  </si>
  <si>
    <t>محمود صلاح ممدوح السيد</t>
  </si>
  <si>
    <t>01058424679</t>
  </si>
  <si>
    <t>01011244888</t>
  </si>
  <si>
    <t>محمد صلاح محمد احمد على خميس</t>
  </si>
  <si>
    <t>01092049728</t>
  </si>
  <si>
    <t>01031267857</t>
  </si>
  <si>
    <t>السيد نور عبدالغني احمد</t>
  </si>
  <si>
    <t>01032248147</t>
  </si>
  <si>
    <t>01008427424</t>
  </si>
  <si>
    <t>متولى لطفى متولى متولى شحاته</t>
  </si>
  <si>
    <t>01007632165</t>
  </si>
  <si>
    <t>01276924200</t>
  </si>
  <si>
    <t>مؤمن عبدالفتاح عطا شحاته</t>
  </si>
  <si>
    <t>01002954754</t>
  </si>
  <si>
    <t>01067041371</t>
  </si>
  <si>
    <t>مدحت صالح منجد احمد</t>
  </si>
  <si>
    <t>01012117767</t>
  </si>
  <si>
    <t>01288685156</t>
  </si>
  <si>
    <t>كفر الجنيدى</t>
  </si>
  <si>
    <t>ك 313 بب / ل 117 مش ميكا مقل</t>
  </si>
  <si>
    <t>محمد اسماعيل احمد محمود شاهين</t>
  </si>
  <si>
    <t>30202251803737</t>
  </si>
  <si>
    <t>دقدوقه</t>
  </si>
  <si>
    <t>رئاسة جهاز النقل العام للقوات المسلحة</t>
  </si>
  <si>
    <t>ياسر عبدالله عبدالحميد امام</t>
  </si>
  <si>
    <t>ك 561 د جو</t>
  </si>
  <si>
    <t>شوقي محمود كمال اللطف</t>
  </si>
  <si>
    <t>01032527544</t>
  </si>
  <si>
    <t>سعيد حسن سعد حسن</t>
  </si>
  <si>
    <t>01099856230</t>
  </si>
  <si>
    <t xml:space="preserve">مؤخرة م ج ع </t>
  </si>
  <si>
    <t>عبدالعظيم فكيه حسن القيمة</t>
  </si>
  <si>
    <t>01007982405</t>
  </si>
  <si>
    <t>طلعت على على العرجة</t>
  </si>
  <si>
    <t xml:space="preserve">مساعد عمليات وتدريب </t>
  </si>
  <si>
    <t>01091022633</t>
  </si>
  <si>
    <t xml:space="preserve">نيابة اسيوط العسكرية </t>
  </si>
  <si>
    <t>محمد عبدالعظيم محمد محمود الخولى</t>
  </si>
  <si>
    <t xml:space="preserve">حكمدار جماعة مشاه </t>
  </si>
  <si>
    <t>01002894141</t>
  </si>
  <si>
    <t>احمد جابر السيد عبدالوهاب الكلاوي</t>
  </si>
  <si>
    <t xml:space="preserve">رقيب فصيلة </t>
  </si>
  <si>
    <t>01090109473</t>
  </si>
  <si>
    <t>خالد احمد عبدالحميد محمد</t>
  </si>
  <si>
    <t>01025992899</t>
  </si>
  <si>
    <t>محمود عبدالمنعم شحاتة البنا</t>
  </si>
  <si>
    <t>01129492707</t>
  </si>
  <si>
    <t xml:space="preserve">ك المقر </t>
  </si>
  <si>
    <t>عمرو محمدى على سالم</t>
  </si>
  <si>
    <t xml:space="preserve">رقيب فصيلة مشاه ميكا </t>
  </si>
  <si>
    <t>01066608627</t>
  </si>
  <si>
    <t>مصطفى سعيد مصطفى عبدالجيد</t>
  </si>
  <si>
    <t>01559598115</t>
  </si>
  <si>
    <t>محمود كامل فتحى محمد</t>
  </si>
  <si>
    <t>01117546623</t>
  </si>
  <si>
    <t xml:space="preserve">قسم الامن الحربى </t>
  </si>
  <si>
    <t>احمد عبدالناصر احمد عبدالرؤوف</t>
  </si>
  <si>
    <t xml:space="preserve">حكمدار جماعة ادارة نيران </t>
  </si>
  <si>
    <t>01020573140</t>
  </si>
  <si>
    <t xml:space="preserve">منتظر </t>
  </si>
  <si>
    <t>علاء السيد عبدالعال علام</t>
  </si>
  <si>
    <t>01027748254</t>
  </si>
  <si>
    <t>عبدالحميد محمود عبدالحميد محمد</t>
  </si>
  <si>
    <t>0114488629</t>
  </si>
  <si>
    <t>حسنى محمد محمد محمود دحروج</t>
  </si>
  <si>
    <t>01280041145</t>
  </si>
  <si>
    <t>عبدالله حمدى احمد زكى</t>
  </si>
  <si>
    <t>مصوب هاون 120مم</t>
  </si>
  <si>
    <t>01102569958</t>
  </si>
  <si>
    <t xml:space="preserve">افريقا الوسطى </t>
  </si>
  <si>
    <t>حسام رجب رمضان ابراهيم</t>
  </si>
  <si>
    <t xml:space="preserve">رقيب فصيلة تو اهرام </t>
  </si>
  <si>
    <t>01050547955</t>
  </si>
  <si>
    <t>عبدالحكيم عبدالناصر محمد عبدالعزيز</t>
  </si>
  <si>
    <t>01011256234</t>
  </si>
  <si>
    <t>احمد السيد عبدالرازق الحسيني</t>
  </si>
  <si>
    <t>01015965960</t>
  </si>
  <si>
    <t>احمد عاطف احمد الفرغلي</t>
  </si>
  <si>
    <t>01004617391</t>
  </si>
  <si>
    <t>عادل محمد ابراهيم عبدالحليم يحيى</t>
  </si>
  <si>
    <t>01027399041</t>
  </si>
  <si>
    <t>عمرو كمال يس كامل سليمان</t>
  </si>
  <si>
    <t>01039316657</t>
  </si>
  <si>
    <t>محمد محمد حسن علي الصاحي</t>
  </si>
  <si>
    <t>01008625109</t>
  </si>
  <si>
    <t>محمد صابر محمد السقا</t>
  </si>
  <si>
    <t>01142616301</t>
  </si>
  <si>
    <t>محمد مرسي محمد المرسي فرحات</t>
  </si>
  <si>
    <t>01010202564</t>
  </si>
  <si>
    <t>صلاح سلامة عبدالرازق محمد حلوه</t>
  </si>
  <si>
    <t>01204840581</t>
  </si>
  <si>
    <t xml:space="preserve">عبدالمنعم عبدالمجيد هادى عيسى </t>
  </si>
  <si>
    <t>حازم عاطف هلال محمد</t>
  </si>
  <si>
    <t xml:space="preserve">محمود احمد فتحى زيدان </t>
  </si>
  <si>
    <t xml:space="preserve">احمد مصطفى عيد محمد </t>
  </si>
  <si>
    <t>محمود بدري محمد محمود</t>
  </si>
  <si>
    <t>محمد حمدى ابراهيم عويضه</t>
  </si>
  <si>
    <t xml:space="preserve">محمود رجب كمال عبد المعطي </t>
  </si>
  <si>
    <t>ك 888 مش</t>
  </si>
  <si>
    <t>محمد أنور نصر محمد المكاوى</t>
  </si>
  <si>
    <t>01091512488</t>
  </si>
  <si>
    <t>محمد رمضان ابو اليزيد ليلة</t>
  </si>
  <si>
    <t>على السيد على السيد الشنوانى</t>
  </si>
  <si>
    <t>محمود شعبان محمود محمد مسعود</t>
  </si>
  <si>
    <t>محمد علاء الدين حسن صالح</t>
  </si>
  <si>
    <t>محمود محمد عبدالله محمود</t>
  </si>
  <si>
    <t>جلال خلف عبدالعال محمد</t>
  </si>
  <si>
    <t>كريم عاطف عبدالفتاح قاسم</t>
  </si>
  <si>
    <t>احمد ابراهيم عبدالموجود دسوقي</t>
  </si>
  <si>
    <t>احمد محمد احمد خليل ابو الجبب</t>
  </si>
  <si>
    <t>احمد عاطف شحاته محمد الجوهرى</t>
  </si>
  <si>
    <t>محمد سيد فهيم احمد</t>
  </si>
  <si>
    <t>احمد سمير عبدالرازق محمد جعفر</t>
  </si>
  <si>
    <t>عمرو عيد عبدالسلام مهدى</t>
  </si>
  <si>
    <t>احمد رشدى محمد خطاب</t>
  </si>
  <si>
    <t>احمد عبدالقادر عبدالسلام جوهر</t>
  </si>
  <si>
    <t>احمد ناصر محمد الصغير توفيق</t>
  </si>
  <si>
    <t>محمد احمد عرابى محمد</t>
  </si>
  <si>
    <t>محمد اشرف سلطان عوض</t>
  </si>
  <si>
    <t>احمد حسنى عبدالحافظ محمد</t>
  </si>
  <si>
    <t>محمود جميل محمد احمد اسماعيل</t>
  </si>
  <si>
    <t>احمد شوقى حمدى عبده عبدالله</t>
  </si>
  <si>
    <t>محمد عيد محمود الخراط</t>
  </si>
  <si>
    <t>شادى عباده حسن مدين على مدين</t>
  </si>
  <si>
    <t>محمد صالح اسماعيل عبدالونيس</t>
  </si>
  <si>
    <t>عبدالمجيد ايهاب عبدالمجيد علي</t>
  </si>
  <si>
    <t>كريم عبدالقادر حامد ابوالعلا</t>
  </si>
  <si>
    <t>مصطفى محمود فتحى عطية</t>
  </si>
  <si>
    <t>سيد حامد سيد حامد</t>
  </si>
  <si>
    <t>بسام ابراهيم محمد بركات</t>
  </si>
  <si>
    <t>ورشة ل 166 مش ميكا مقل</t>
  </si>
  <si>
    <t>01050073902</t>
  </si>
  <si>
    <t>محمود عبدالله حسن حسين</t>
  </si>
  <si>
    <t>01006008131</t>
  </si>
  <si>
    <t>محمد عبدالصادق عبدالحميد الصادق</t>
  </si>
  <si>
    <t>01004095215</t>
  </si>
  <si>
    <t>اسلام الوهيدى ابراهيم شعير</t>
  </si>
  <si>
    <t>01204682198</t>
  </si>
  <si>
    <t xml:space="preserve">مصطفي عبدالله علي نصر </t>
  </si>
  <si>
    <t>سمكري مركبات</t>
  </si>
  <si>
    <t>01070623501</t>
  </si>
  <si>
    <t>ابراهيم محمد ابراهيم البونى</t>
  </si>
  <si>
    <t>عامل اصلاح مدافع ميدان</t>
  </si>
  <si>
    <t>احمد محمد عبدالمحسن عزالدين</t>
  </si>
  <si>
    <t>خازن فني مجنزرات</t>
  </si>
  <si>
    <t>01068061297</t>
  </si>
  <si>
    <t xml:space="preserve">محمد سامي زكي عبده </t>
  </si>
  <si>
    <t>عامل اصلاح اسلحة ورشاشات</t>
  </si>
  <si>
    <t>01028146747</t>
  </si>
  <si>
    <t>احمد وديع احمد محمد خفاجه</t>
  </si>
  <si>
    <t>01098271180</t>
  </si>
  <si>
    <t>احمد متولي حسن حامد حسن</t>
  </si>
  <si>
    <t>01090574882</t>
  </si>
  <si>
    <t>عبدالفتاح احمد عبدالفتاح عيسى</t>
  </si>
  <si>
    <t>س 305 اشارة</t>
  </si>
  <si>
    <t>01010275932</t>
  </si>
  <si>
    <t>01019275943</t>
  </si>
  <si>
    <t>احمد انور محمد احمد السيد</t>
  </si>
  <si>
    <t>01097047627</t>
  </si>
  <si>
    <t>حفظ سلام</t>
  </si>
  <si>
    <t>محمد وجيه الدسوقى المقدم</t>
  </si>
  <si>
    <t>01098593524</t>
  </si>
  <si>
    <t>01098103528</t>
  </si>
  <si>
    <t>سحيم</t>
  </si>
  <si>
    <t>عمرو السيد محمد سليمان</t>
  </si>
  <si>
    <t>س 305 اهرام</t>
  </si>
  <si>
    <t>01067687923</t>
  </si>
  <si>
    <t>محمود رأفت اسماعيل العوضي</t>
  </si>
  <si>
    <t>كاتب العسكري</t>
  </si>
  <si>
    <t>01205173311</t>
  </si>
  <si>
    <t>01025210858</t>
  </si>
  <si>
    <t>برهمتوش</t>
  </si>
  <si>
    <t>أحمد صالح محمد عبدالفتاح</t>
  </si>
  <si>
    <t>01102677398</t>
  </si>
  <si>
    <t>01103681108</t>
  </si>
  <si>
    <t>محمد صابر ابراهيم محمد</t>
  </si>
  <si>
    <t>01032088438</t>
  </si>
  <si>
    <t>01284203620</t>
  </si>
  <si>
    <t>محمود حسنى عبدالمنعم حسن اسماعيل</t>
  </si>
  <si>
    <t>01223218581</t>
  </si>
  <si>
    <t>النعامنة</t>
  </si>
  <si>
    <t>محمد احمد احمد محمد المصري</t>
  </si>
  <si>
    <t>01019822673</t>
  </si>
  <si>
    <t>29811141603075</t>
  </si>
  <si>
    <t>محلة منوف</t>
  </si>
  <si>
    <t xml:space="preserve">عبدالله محمود عبدالله محمد </t>
  </si>
  <si>
    <t>01092398123</t>
  </si>
  <si>
    <t>01111759603</t>
  </si>
  <si>
    <t>يوسف أيمن صلاح سعيد</t>
  </si>
  <si>
    <t>01018435776</t>
  </si>
  <si>
    <t>01151930403</t>
  </si>
  <si>
    <t>شنشورة</t>
  </si>
  <si>
    <t>محمد مبروك عبدالرازق مبروك</t>
  </si>
  <si>
    <t>01025016015</t>
  </si>
  <si>
    <t>01005567946</t>
  </si>
  <si>
    <t>حسام نصر ابراهيم شلش</t>
  </si>
  <si>
    <t>01129729685</t>
  </si>
  <si>
    <t>01271972989</t>
  </si>
  <si>
    <t>خليفه احمد خليفه حسين طه</t>
  </si>
  <si>
    <t>01070516037</t>
  </si>
  <si>
    <t>01148344964</t>
  </si>
  <si>
    <t>عبدالرحمن سيد يوسف محمد اسماعيل</t>
  </si>
  <si>
    <t>01104635386</t>
  </si>
  <si>
    <t>حسن محمد عطيه ابوالعلا عطيه</t>
  </si>
  <si>
    <t>ك313بب</t>
  </si>
  <si>
    <t>01090847055</t>
  </si>
  <si>
    <t>01124202511</t>
  </si>
  <si>
    <t>محمد السعيد عطا شحاته المصباحى</t>
  </si>
  <si>
    <t>01117350399</t>
  </si>
  <si>
    <t>محمود عبدالعزيز حماد مرسي</t>
  </si>
  <si>
    <t>01020075632</t>
  </si>
  <si>
    <t>01278294366</t>
  </si>
  <si>
    <t>عبدالفتاح حمدي عبدالفتاح بسيوني</t>
  </si>
  <si>
    <t>01098375595</t>
  </si>
  <si>
    <t>01122516618</t>
  </si>
  <si>
    <t>كفر الباجور</t>
  </si>
  <si>
    <t>بكر محمد سيف الدين عزالدين عبدالله</t>
  </si>
  <si>
    <t>س 305 طب</t>
  </si>
  <si>
    <t>01017808305</t>
  </si>
  <si>
    <t>محمد احمد عبدالحليم كامل</t>
  </si>
  <si>
    <t>01210307690</t>
  </si>
  <si>
    <t xml:space="preserve">فزازة </t>
  </si>
  <si>
    <t>عماد اشرف عزيز نجيب</t>
  </si>
  <si>
    <t>01288893624</t>
  </si>
  <si>
    <t>شارع 27</t>
  </si>
  <si>
    <t>محمد مصطفى موسى احمد</t>
  </si>
  <si>
    <t>س 305 م ع</t>
  </si>
  <si>
    <t>01004722857</t>
  </si>
  <si>
    <t>01024808184</t>
  </si>
  <si>
    <t>الربع</t>
  </si>
  <si>
    <t>مستوي ادني</t>
  </si>
  <si>
    <t xml:space="preserve">ايمن عبدالله احمد عبدالعال </t>
  </si>
  <si>
    <t>رقيب فصيلة م ع</t>
  </si>
  <si>
    <t>01023030528</t>
  </si>
  <si>
    <t>01114157090</t>
  </si>
  <si>
    <t>شطورة</t>
  </si>
  <si>
    <t>الاردن</t>
  </si>
  <si>
    <t>مصطفى عبدالسلام على حسن</t>
  </si>
  <si>
    <t>س 305 نقل</t>
  </si>
  <si>
    <t>01016407724</t>
  </si>
  <si>
    <t>01009969285</t>
  </si>
  <si>
    <t>بني عبيد</t>
  </si>
  <si>
    <t xml:space="preserve">عبدالرحمن صفوت مصطفى محمد </t>
  </si>
  <si>
    <t>01012916876</t>
  </si>
  <si>
    <t>01028515103</t>
  </si>
  <si>
    <t>ديروط الشريف</t>
  </si>
  <si>
    <t>محمد مصطفي محمد محمد</t>
  </si>
  <si>
    <t>ف 305 ش ع</t>
  </si>
  <si>
    <t>01126054561</t>
  </si>
  <si>
    <t>01154438145</t>
  </si>
  <si>
    <t>فؤاد اشرف فؤاد ابراهيم</t>
  </si>
  <si>
    <t>جمبواي</t>
  </si>
  <si>
    <t>مصطفي عبدالمقصود الجوهري</t>
  </si>
  <si>
    <t>01019275476</t>
  </si>
  <si>
    <t>29801011509659</t>
  </si>
  <si>
    <t>مسير</t>
  </si>
  <si>
    <t>عمرو موسي صالح محمود عوض</t>
  </si>
  <si>
    <t>01273735562</t>
  </si>
  <si>
    <t>القباري</t>
  </si>
  <si>
    <t xml:space="preserve">منصور طلعت منصور حافظ </t>
  </si>
  <si>
    <t>01061084510</t>
  </si>
  <si>
    <t>01144366252</t>
  </si>
  <si>
    <t>احمد فتحى احمد حسين بكر</t>
  </si>
  <si>
    <t>01148897291</t>
  </si>
  <si>
    <t>30412301800291</t>
  </si>
  <si>
    <t xml:space="preserve">محمود موسى عبدالسلام موسى الفرارجى </t>
  </si>
  <si>
    <t>01063701597</t>
  </si>
  <si>
    <t>رضا احمد عبدالحميد جاد</t>
  </si>
  <si>
    <t>ف 305 كيما</t>
  </si>
  <si>
    <t>خازن فني مواد كيميائية</t>
  </si>
  <si>
    <t>01277618629</t>
  </si>
  <si>
    <t>28602030202011</t>
  </si>
  <si>
    <t>خورشيد</t>
  </si>
  <si>
    <t>محمود أشرف جلال احمد</t>
  </si>
  <si>
    <t>01279432871</t>
  </si>
  <si>
    <t>بني فيز</t>
  </si>
  <si>
    <t>محمد على عبدالعزيز عبدالله</t>
  </si>
  <si>
    <t>01093771543</t>
  </si>
  <si>
    <t>01282656926</t>
  </si>
  <si>
    <t>جرف سرحان</t>
  </si>
  <si>
    <t>احمد ياسر فتحي عبدالفتاح</t>
  </si>
  <si>
    <t>01093049345</t>
  </si>
  <si>
    <t>01009096688</t>
  </si>
  <si>
    <t>طحا الاعمدة</t>
  </si>
  <si>
    <t>عبدالحكيم عامر محمد عبدالرازق</t>
  </si>
  <si>
    <t>قيا ل 305 مش مقل</t>
  </si>
  <si>
    <t>010077667536</t>
  </si>
  <si>
    <t>نزلة المختون</t>
  </si>
  <si>
    <t>ك 362 مش ميكا / ل 117 مش مقل</t>
  </si>
  <si>
    <t>محمد حسن محمد عبدالحليم</t>
  </si>
  <si>
    <t>01030273161</t>
  </si>
  <si>
    <t>01284026756</t>
  </si>
  <si>
    <t>زويل</t>
  </si>
  <si>
    <t>مجمع انتاج خبز رقم 3</t>
  </si>
  <si>
    <t>عمرو جمال محمد عمر</t>
  </si>
  <si>
    <t>01288870842</t>
  </si>
  <si>
    <t>01061582720</t>
  </si>
  <si>
    <t>بهيج</t>
  </si>
  <si>
    <t>جهاز الملحقين الحربيين / هيئة الإستخبارات العسكرية</t>
  </si>
  <si>
    <t>محمد جهاد شاكر عبدالحميد</t>
  </si>
  <si>
    <t>01001856146</t>
  </si>
  <si>
    <t>01119417107</t>
  </si>
  <si>
    <t>ك 137 دفاع اقليم</t>
  </si>
  <si>
    <t>محمود هشام عبدالستار حسن</t>
  </si>
  <si>
    <t>01033855749</t>
  </si>
  <si>
    <t>نجع حمادي</t>
  </si>
  <si>
    <t>إسلام احمد فوزى محمود</t>
  </si>
  <si>
    <t>ك 900 مش</t>
  </si>
  <si>
    <t>مساعد عمليات وتدريب</t>
  </si>
  <si>
    <t>01000701907</t>
  </si>
  <si>
    <t>01143699662</t>
  </si>
  <si>
    <t>الجبل الاصفر</t>
  </si>
  <si>
    <t>ادارة شئون ضباط</t>
  </si>
  <si>
    <t>احمد رمضان محمد خليل</t>
  </si>
  <si>
    <t>ك 515 د جو</t>
  </si>
  <si>
    <t>عامل سطع د جو مدفعية م ط عامة</t>
  </si>
  <si>
    <t>طهطاى</t>
  </si>
  <si>
    <t>ك 423 د جو - ك 540 د جو</t>
  </si>
  <si>
    <t>وليد محمدى محمد عبدالغنى</t>
  </si>
  <si>
    <t>مساعد معلم رشاش م ط 14.5 مم رباعي / ثنائي</t>
  </si>
  <si>
    <t>01011163946</t>
  </si>
  <si>
    <t>كفر الصارم القبلى</t>
  </si>
  <si>
    <t>ك 377 د جو</t>
  </si>
  <si>
    <t>محمد مخلوف محمد عدلي</t>
  </si>
  <si>
    <t>ك 55 رادار - ك 550 د جو</t>
  </si>
  <si>
    <t>مصطفى يحيي جمعة عبدالجواد</t>
  </si>
  <si>
    <t>حكمدار رشاش م ط 14.5 مم رباعي / ثنائي</t>
  </si>
  <si>
    <t>ميت القصري</t>
  </si>
  <si>
    <t>مصطفى احمد عبدالمجيد احمد العزب</t>
  </si>
  <si>
    <t>الكوم الاحمر</t>
  </si>
  <si>
    <t>مصطفى محمد سعد سعد</t>
  </si>
  <si>
    <t>سائق عربة / راتب عالي / مجند</t>
  </si>
  <si>
    <t>عبدالله عادل محمد عبدالمقصود محمد</t>
  </si>
  <si>
    <t>حكمدار مدفع 23 مم 2</t>
  </si>
  <si>
    <t>العجمى</t>
  </si>
  <si>
    <t>حاتم هشام محمد عبدالمنعم</t>
  </si>
  <si>
    <t>حكمدار جماعه رصد وتسجيل</t>
  </si>
  <si>
    <t>01030108345</t>
  </si>
  <si>
    <t>محمد حمدى عبدالنبى على ابراهيم</t>
  </si>
  <si>
    <t>مساعد تعليم كتيبة/الدفاع الجوي</t>
  </si>
  <si>
    <t>01147552119</t>
  </si>
  <si>
    <t>أحمد مصطفي الصافي الحوفى</t>
  </si>
  <si>
    <t xml:space="preserve">سائق عربة / راتب عالي </t>
  </si>
  <si>
    <t>01159117520</t>
  </si>
  <si>
    <t>01099755147</t>
  </si>
  <si>
    <t>الأمانة العامة - المقر العام - فر 18</t>
  </si>
  <si>
    <t>محمد الهادي حسين السيد</t>
  </si>
  <si>
    <t>01067063143</t>
  </si>
  <si>
    <t>010101015498</t>
  </si>
  <si>
    <t xml:space="preserve">محمد سامح محمد الهادي محمد </t>
  </si>
  <si>
    <t>01027399053</t>
  </si>
  <si>
    <t>01143538557</t>
  </si>
  <si>
    <t>كفر موسى</t>
  </si>
  <si>
    <t>ك 236 بب - ك 212 بب / فر 19</t>
  </si>
  <si>
    <t>حازم رضا على خليفه</t>
  </si>
  <si>
    <t>01011719143</t>
  </si>
  <si>
    <t>01097355343</t>
  </si>
  <si>
    <t>صاالحجر</t>
  </si>
  <si>
    <t>ك 254 بب</t>
  </si>
  <si>
    <t>محمد ناصر عبدالله الدش</t>
  </si>
  <si>
    <t>01021348567</t>
  </si>
  <si>
    <t>01210214555</t>
  </si>
  <si>
    <t>احمد سعيد شوقى سعدة</t>
  </si>
  <si>
    <t>سائق عربة هامر / راتب عالى / مجند</t>
  </si>
  <si>
    <t>01023447290</t>
  </si>
  <si>
    <t>حسن محمد حامد الصاوى</t>
  </si>
  <si>
    <t xml:space="preserve"> كهربائي مجنزرات شرقي</t>
  </si>
  <si>
    <t>01156360253</t>
  </si>
  <si>
    <t>01066850199</t>
  </si>
  <si>
    <t>س 122 تأمين فنى / ل 22 مدرع</t>
  </si>
  <si>
    <t>وزارة الخارجية</t>
  </si>
  <si>
    <t>محمد شوقي عطالله علام</t>
  </si>
  <si>
    <t>سائق عربة هامر / راتب عالى / مجند / رقيب</t>
  </si>
  <si>
    <t>01021352434</t>
  </si>
  <si>
    <t>محلة قيس</t>
  </si>
  <si>
    <t>إعارة بوزارة البيئة</t>
  </si>
  <si>
    <t>ك 815 مد م / ل 139 صار م ط - ك 960 سطع مد / فر 33 ميكا - س 22 م م م د / ل 22 م - س 14 م م م د / ل 14 م</t>
  </si>
  <si>
    <t>حفظ سلام (  افريقيا الوسطى )</t>
  </si>
  <si>
    <t xml:space="preserve">احمد عادل عبدالحميد على </t>
  </si>
  <si>
    <t>سائق مركبة ب . ك</t>
  </si>
  <si>
    <t>01096909811</t>
  </si>
  <si>
    <t>01283531901</t>
  </si>
  <si>
    <t>البرانية</t>
  </si>
  <si>
    <t>احمد عبدالحافظ محمود عبدالحافظ</t>
  </si>
  <si>
    <t>سائق مركبة م 113</t>
  </si>
  <si>
    <t>01140500724</t>
  </si>
  <si>
    <t>01045515445</t>
  </si>
  <si>
    <t>4</t>
  </si>
  <si>
    <t xml:space="preserve">الغنايم </t>
  </si>
  <si>
    <t>مدرسه المعركه والامداد بالرجال - ورشة ل 10 مش ميكا - ك 533 / ل 72 مد - ك 145 - ك 532 / ل 135 مش مقل</t>
  </si>
  <si>
    <t>الولايات المتحدة الأمريكية</t>
  </si>
  <si>
    <t>بدر محمد احمد بدر</t>
  </si>
  <si>
    <t>01090406894</t>
  </si>
  <si>
    <t>ك 7 بب - ك 141 بب - ك 1273 بب - مركز تدريب المدرعات</t>
  </si>
  <si>
    <t>حسام حفنى محمود احمد</t>
  </si>
  <si>
    <t>مركبات</t>
  </si>
  <si>
    <t>01016603897</t>
  </si>
  <si>
    <t xml:space="preserve">منفلوط </t>
  </si>
  <si>
    <t>عبدالعاطي سامي عبدالعاطي محمد</t>
  </si>
  <si>
    <t>مساعد تعليم/ إدارة المدرعات</t>
  </si>
  <si>
    <t>01096593902</t>
  </si>
  <si>
    <t>01097441050</t>
  </si>
  <si>
    <t>شمنديل</t>
  </si>
  <si>
    <t>ك 215 بب / ل 5 مش - ك 250 بب / ل 22 م - ك 255 بب / ل 23 م - ك 230 بب / ل 16 - ك 255 بب / ل 23 م</t>
  </si>
  <si>
    <t>احمد خيرى عبدالفتاح طراد</t>
  </si>
  <si>
    <t>حكمدار طاقم بب ت ٦٢</t>
  </si>
  <si>
    <t>01202861915</t>
  </si>
  <si>
    <t>01274678716</t>
  </si>
  <si>
    <t>المنشأة الكبرى</t>
  </si>
  <si>
    <t>على احمد على محمد ابراهيم</t>
  </si>
  <si>
    <t>حكمدار طاقم أمن/ إدارة المدرعات</t>
  </si>
  <si>
    <t>01096672297</t>
  </si>
  <si>
    <t>01063867333</t>
  </si>
  <si>
    <t>طوخ الأقلام</t>
  </si>
  <si>
    <t>عمليات اللواء</t>
  </si>
  <si>
    <t>س 15 / قيا ل 5 م</t>
  </si>
  <si>
    <t>اسلام حمدى صابر حسين حسن</t>
  </si>
  <si>
    <t>01159723293</t>
  </si>
  <si>
    <t>كفر الغنيمى</t>
  </si>
  <si>
    <t xml:space="preserve">محمد رفاعى محمد رفاعى محمد </t>
  </si>
  <si>
    <t>01010205973</t>
  </si>
  <si>
    <t>الصالحية</t>
  </si>
  <si>
    <t>ابراهيم على ابراهيم احمد دنيا</t>
  </si>
  <si>
    <t>01030027840</t>
  </si>
  <si>
    <t>01010273110</t>
  </si>
  <si>
    <t xml:space="preserve">عبدالغنى احمد عدلى عبدالمقيد </t>
  </si>
  <si>
    <t>01267553686</t>
  </si>
  <si>
    <t>01203435192</t>
  </si>
  <si>
    <t>الحسينية</t>
  </si>
  <si>
    <t xml:space="preserve">ع-س304طب ل 4 - العيادة الخارجية بالمنصورة - مست العسكري بغمرة - مست الطب الوقائي رقم 7 - مست جرميد رقم 4 - ك 321 نقل مختلط </t>
  </si>
  <si>
    <t>عماد الشحات عبدالعليم عزالعرب</t>
  </si>
  <si>
    <t>01066866692</t>
  </si>
  <si>
    <t>شبرا أوسيم</t>
  </si>
  <si>
    <t>شعبة عمليات</t>
  </si>
  <si>
    <t>الفوج 28 سطع م - ل 333 مد / قيادة م م ع - رئاسة إدارة المدفعية - ك 730 مد / ل 99 م - ك 800 مد م / ل 130 ميكا</t>
  </si>
  <si>
    <t>عصام احمد محمد علي</t>
  </si>
  <si>
    <t>معاون جهاز أرصاد سطحية</t>
  </si>
  <si>
    <t>01140355161</t>
  </si>
  <si>
    <t>ك 188 مد م / ل 166 مش ميكا مقل - ك 396 مد / ل 85 مد - قيا ل 62 مد - ك 770 مد / ل 333 مد</t>
  </si>
  <si>
    <t xml:space="preserve">محمد الشحات لبيب أبو حسن </t>
  </si>
  <si>
    <t>01020152494</t>
  </si>
  <si>
    <t>01007848406</t>
  </si>
  <si>
    <t>حسنين عمرو</t>
  </si>
  <si>
    <t xml:space="preserve">فوج 303 نقل بب - مج 101 صاعقة تدخل سريع - س 9 نقل صاعقة - الوحدة 777 قتال - كتيبة نقل مختلط </t>
  </si>
  <si>
    <t>عادل محفوظ عبدالقوي حمزه</t>
  </si>
  <si>
    <t>حكمدار طاقم هاوتزر 122مم</t>
  </si>
  <si>
    <t>01001730603</t>
  </si>
  <si>
    <t>مشرف</t>
  </si>
  <si>
    <t>ك 635 مد م / ل 135 مش مقل - ك 362 مد م / ل 134 ميكا - ك 846 مد م / ل 313 مش</t>
  </si>
  <si>
    <t>محمد رفعت الحسانين تعلب</t>
  </si>
  <si>
    <t>رقيب أول سرية هاوتزر 122 مم مجرور / ذ ح</t>
  </si>
  <si>
    <t>01022279262</t>
  </si>
  <si>
    <t>بلاى</t>
  </si>
  <si>
    <t>رئاسة إدارة المدفعية - ك 2 مد صار - رئاسة إدارة المدفعية - ك 3 مد صار - ك 240 مد صار / ل 333 مد</t>
  </si>
  <si>
    <t>سامح ايمن احمد الزيات</t>
  </si>
  <si>
    <t>01201311738</t>
  </si>
  <si>
    <t>ك 800 مد م / ل 130 ميكا</t>
  </si>
  <si>
    <t xml:space="preserve">عبدالمنعم محمد عبدالمنعم </t>
  </si>
  <si>
    <t>معاون ضابط موقع</t>
  </si>
  <si>
    <t>01286291408</t>
  </si>
  <si>
    <t>ك 294 مد وسط / ل 59 مد</t>
  </si>
  <si>
    <t>مروان صادق امين محمد</t>
  </si>
  <si>
    <t>مصوب ھاوتزر ١٢٢ مم</t>
  </si>
  <si>
    <t>01277160823</t>
  </si>
  <si>
    <t>معارك</t>
  </si>
  <si>
    <t xml:space="preserve">ك 302 مد م / ل 117 مش ميكا مقل </t>
  </si>
  <si>
    <t>محمد زين رمضان عبدالله عيد</t>
  </si>
  <si>
    <t>ك 113 ح ح ساحلي - ك 4 ح ح - الكلية الحربية - ك المقر / قيا قوات ح ح</t>
  </si>
  <si>
    <t>امين ناصر حسن سلامة</t>
  </si>
  <si>
    <t>01030859892</t>
  </si>
  <si>
    <t>فيشا الكبرى</t>
  </si>
  <si>
    <t>ك 4 نقل أفراد / فوج النقل العام - ك 2 نقل أفراد / فوج النقل العام</t>
  </si>
  <si>
    <t>حسام أسامة عبدالرحمن أبوالغار</t>
  </si>
  <si>
    <t>رقيب فصيلة صواريخ أرض أرض</t>
  </si>
  <si>
    <t>01063628604</t>
  </si>
  <si>
    <t>01007341047</t>
  </si>
  <si>
    <t>سلامون قبلي</t>
  </si>
  <si>
    <t>ك 76 مد / ل 64 مد</t>
  </si>
  <si>
    <t>احمد محمد محمد ناصف أمين</t>
  </si>
  <si>
    <t>01007546863</t>
  </si>
  <si>
    <t xml:space="preserve">محمد رمضان فرج مصري </t>
  </si>
  <si>
    <t>01007782746</t>
  </si>
  <si>
    <t>البنوان</t>
  </si>
  <si>
    <t>محمود محمد شلبى سالم القاضى</t>
  </si>
  <si>
    <t>رقيب اول سرية مشاه</t>
  </si>
  <si>
    <t>01036419800</t>
  </si>
  <si>
    <t>01026723256</t>
  </si>
  <si>
    <t>المنشية الجديدة</t>
  </si>
  <si>
    <t>ك 151 مش ميكا / ل 166 مش ميكا</t>
  </si>
  <si>
    <t>محمود يس محمود عبد العليم</t>
  </si>
  <si>
    <t>01144582295</t>
  </si>
  <si>
    <t>01001607553</t>
  </si>
  <si>
    <t>غياطة الشرقية</t>
  </si>
  <si>
    <t>ك 145 مش ميكا ل 90 ف 9</t>
  </si>
  <si>
    <t>محمد عبدالغنى محمد عبدالغنى جبران</t>
  </si>
  <si>
    <t>حكمدار طقم تو اهرام</t>
  </si>
  <si>
    <t>01003770063</t>
  </si>
  <si>
    <t>01126288123</t>
  </si>
  <si>
    <t xml:space="preserve">67 ش الكردى الحسينية </t>
  </si>
  <si>
    <t>ك 336 مش ميكا مقل</t>
  </si>
  <si>
    <t>رجب جمال شحاته سعيد</t>
  </si>
  <si>
    <t>01050600571</t>
  </si>
  <si>
    <t>01271100830</t>
  </si>
  <si>
    <t>بنى يحى بحرى</t>
  </si>
  <si>
    <t>المدرسة العسكرية الرياضية بالمنيا</t>
  </si>
  <si>
    <t>معتمد مصطفى محمد محمد مخلوف</t>
  </si>
  <si>
    <t>01005218299</t>
  </si>
  <si>
    <t>01065176129</t>
  </si>
  <si>
    <t>ابتوك</t>
  </si>
  <si>
    <t>ك 888 مش ميكا</t>
  </si>
  <si>
    <t>السيد حلمي السيد عبدالفتاح</t>
  </si>
  <si>
    <t>01027054798</t>
  </si>
  <si>
    <t>01032714754</t>
  </si>
  <si>
    <t>كفر شبين</t>
  </si>
  <si>
    <t>الوحدة 777 قتال الهايكستب</t>
  </si>
  <si>
    <t>احمد جمال عبدالسلام السمين</t>
  </si>
  <si>
    <t>رقيب فصيلة مشاه</t>
  </si>
  <si>
    <t>01024527496</t>
  </si>
  <si>
    <t>01276927800</t>
  </si>
  <si>
    <t>عزبة كاولا /قرية بريم</t>
  </si>
  <si>
    <t>محمد احمد محمد كمال زرد</t>
  </si>
  <si>
    <t>رقيب أول فصيله مشاه</t>
  </si>
  <si>
    <t>01099036655</t>
  </si>
  <si>
    <t>01066176465</t>
  </si>
  <si>
    <t xml:space="preserve">النعمامنه </t>
  </si>
  <si>
    <t>مكتب مخابرات مطروح مستوى (1)</t>
  </si>
  <si>
    <t>احمد محمد عبدالرحمن احمد سلام</t>
  </si>
  <si>
    <t>01000913559</t>
  </si>
  <si>
    <t>01060647060</t>
  </si>
  <si>
    <t>الطافر</t>
  </si>
  <si>
    <t>ك 360 مش ميكا</t>
  </si>
  <si>
    <t>ابراهيم محمد علي دياب</t>
  </si>
  <si>
    <t>رقيب فصيله مشاه</t>
  </si>
  <si>
    <t>01031854368</t>
  </si>
  <si>
    <t>05320380/040</t>
  </si>
  <si>
    <t xml:space="preserve">طوخ  </t>
  </si>
  <si>
    <t>الامانة العامة وزارة الدفاع</t>
  </si>
  <si>
    <t>احمد محمد عبدالفتاح محمد ابوالعز</t>
  </si>
  <si>
    <t>رقيب اول سرية هاون</t>
  </si>
  <si>
    <t>01022894236</t>
  </si>
  <si>
    <t>ميت الليث</t>
  </si>
  <si>
    <t xml:space="preserve">336 مش ميكا </t>
  </si>
  <si>
    <t>رمضان محمد رمضان عوض</t>
  </si>
  <si>
    <t>01099875180</t>
  </si>
  <si>
    <t>01005190910</t>
  </si>
  <si>
    <t>قا ل 117 مش مقل</t>
  </si>
  <si>
    <t>محمد احمد عبدالقادر سلامة عبدالقادر</t>
  </si>
  <si>
    <t>01016635718</t>
  </si>
  <si>
    <t>0128858403</t>
  </si>
  <si>
    <t>ك 362 مشاه ميكا</t>
  </si>
  <si>
    <t>محمد صالح ابراهيم عبدالباقي</t>
  </si>
  <si>
    <t>01157081066</t>
  </si>
  <si>
    <t>01154098638</t>
  </si>
  <si>
    <t>6ش طارق محمود</t>
  </si>
  <si>
    <t>قيادة المجموعة129 صاعقة</t>
  </si>
  <si>
    <t>يوسف محمد يوسف ابراهيم عقل</t>
  </si>
  <si>
    <t>01033060957</t>
  </si>
  <si>
    <t>01033318363</t>
  </si>
  <si>
    <t>دنديط</t>
  </si>
  <si>
    <t>معهد التنظيم والادارة</t>
  </si>
  <si>
    <t>إبراهيم حسام عبدالرازق عبدالواحد</t>
  </si>
  <si>
    <t>سائق عربة ر ع</t>
  </si>
  <si>
    <t>01008946698</t>
  </si>
  <si>
    <t>0123188259</t>
  </si>
  <si>
    <t>سيجر</t>
  </si>
  <si>
    <t>مستشفى عسكرى بالحرس الجمهورى</t>
  </si>
  <si>
    <t>محمد ابراهيم عطية ابراهيم</t>
  </si>
  <si>
    <t>01028692424</t>
  </si>
  <si>
    <t>01091798412</t>
  </si>
  <si>
    <t>عزبة الناظر</t>
  </si>
  <si>
    <t>احمد شعبان عبدالعزيز الكيلانى</t>
  </si>
  <si>
    <t>حكمدار جماعة مشاة</t>
  </si>
  <si>
    <t>01061180728</t>
  </si>
  <si>
    <t>01000987245</t>
  </si>
  <si>
    <t>ابوعوالى</t>
  </si>
  <si>
    <t>جميل رضا جميل محمد</t>
  </si>
  <si>
    <t>01019374575</t>
  </si>
  <si>
    <t>01014425964</t>
  </si>
  <si>
    <t>مساكن الطياره</t>
  </si>
  <si>
    <t>محمد رضا عبدالحميد محمد شريف</t>
  </si>
  <si>
    <t>سائق عربة  ر.ع</t>
  </si>
  <si>
    <t>01023633629</t>
  </si>
  <si>
    <t>01029015017</t>
  </si>
  <si>
    <t>كفر الدير</t>
  </si>
  <si>
    <t>يوسف فراج جاد السنوسى</t>
  </si>
  <si>
    <t>01114130698</t>
  </si>
  <si>
    <t>01151532190</t>
  </si>
  <si>
    <t>الاسماعلية</t>
  </si>
  <si>
    <t>محمد لملوم محمود وريث</t>
  </si>
  <si>
    <t>01016806348</t>
  </si>
  <si>
    <t>01147364692</t>
  </si>
  <si>
    <t>الحوطا الغربية</t>
  </si>
  <si>
    <t>علي حسام سيد احمد</t>
  </si>
  <si>
    <t>01020633467</t>
  </si>
  <si>
    <t>قرية نجع حمد</t>
  </si>
  <si>
    <t>عبدالله احمد ابوالغيط محمد</t>
  </si>
  <si>
    <t>011515831472</t>
  </si>
  <si>
    <t>01144020225</t>
  </si>
  <si>
    <t xml:space="preserve">كوم ابو شبل </t>
  </si>
  <si>
    <t>احمد محمد مرعي عبدالله</t>
  </si>
  <si>
    <t>01044346640</t>
  </si>
  <si>
    <t>01121763149</t>
  </si>
  <si>
    <t>مصطفي علي مصطفي احمد</t>
  </si>
  <si>
    <t>حكمدار جماعة إدارة نيران</t>
  </si>
  <si>
    <t>010929573484</t>
  </si>
  <si>
    <t>010990115738</t>
  </si>
  <si>
    <t>القوطا</t>
  </si>
  <si>
    <t>محمد سعيد محمد عفيفى محمد</t>
  </si>
  <si>
    <t>01036944922</t>
  </si>
  <si>
    <t>01142880464</t>
  </si>
  <si>
    <t>جزيرة بلى</t>
  </si>
  <si>
    <t>أحمد محمد شعبان عبدالظاهر</t>
  </si>
  <si>
    <t>01505811338</t>
  </si>
  <si>
    <t>01118740643</t>
  </si>
  <si>
    <t>زرابى تانوف</t>
  </si>
  <si>
    <t xml:space="preserve">احمد سيد عبدالفتاح احمد </t>
  </si>
  <si>
    <t>01009829417</t>
  </si>
  <si>
    <t>01155014155</t>
  </si>
  <si>
    <t>قرية الشقر</t>
  </si>
  <si>
    <t>محمد سعيد السيد عيد</t>
  </si>
  <si>
    <t xml:space="preserve">رامى تو </t>
  </si>
  <si>
    <t>012226059270</t>
  </si>
  <si>
    <t>01274086245</t>
  </si>
  <si>
    <t xml:space="preserve">كفر حشاد </t>
  </si>
  <si>
    <t xml:space="preserve">مكتب السيد مساعد رئيس اركان </t>
  </si>
  <si>
    <t>ك660/لا مش ف 6م- ك 531 مش /ل134مش - م ت القاهرة - قيا فر 18</t>
  </si>
  <si>
    <t>محمد عبدالشافى عباس عيد</t>
  </si>
  <si>
    <t xml:space="preserve">رقيب فصيلة مشاة </t>
  </si>
  <si>
    <t>01013023465</t>
  </si>
  <si>
    <t>01208133420</t>
  </si>
  <si>
    <t>المنشاة الجديدة</t>
  </si>
  <si>
    <t xml:space="preserve">ك88 مش /ل166 ميكا مقل -ك515مش / ل166 مش -ك 888 / ل 166 مش </t>
  </si>
  <si>
    <t>محمد عبدالحميد لطفى احمد السيد</t>
  </si>
  <si>
    <t xml:space="preserve">سكرتارية عسكرية </t>
  </si>
  <si>
    <t>01029446514</t>
  </si>
  <si>
    <t>01025701362</t>
  </si>
  <si>
    <t xml:space="preserve">ادارة المشاه -قيا ل18مش ميكا - ك305مش ج3 - ك 912 مش ج ش </t>
  </si>
  <si>
    <t>محمد مصطفي محمد جودة</t>
  </si>
  <si>
    <t>01069597998</t>
  </si>
  <si>
    <t>01154472889</t>
  </si>
  <si>
    <t xml:space="preserve">كوم الصعايدة </t>
  </si>
  <si>
    <t>معهد المشاة - ك336 مش مقل - ك155 مش ميكا / ل166</t>
  </si>
  <si>
    <t>على احمد عبدالحميد جاد</t>
  </si>
  <si>
    <t>01018123750</t>
  </si>
  <si>
    <t>01018905186</t>
  </si>
  <si>
    <t xml:space="preserve">المعالى </t>
  </si>
  <si>
    <t xml:space="preserve">مكتب السيد/ قائد م ج ع </t>
  </si>
  <si>
    <t xml:space="preserve">ك37تو - الامانة العامة وزارة الدفاع </t>
  </si>
  <si>
    <t>محمد عبده محمد مبروك</t>
  </si>
  <si>
    <t>01001112969</t>
  </si>
  <si>
    <t>01110727535</t>
  </si>
  <si>
    <t xml:space="preserve">على عمار </t>
  </si>
  <si>
    <t xml:space="preserve">معهد ضباط صف المعلمين - ك137دفاع اقلينى </t>
  </si>
  <si>
    <t>احمد عبداللطيف علي مصطفي</t>
  </si>
  <si>
    <t>01002965869</t>
  </si>
  <si>
    <t>01101044504</t>
  </si>
  <si>
    <t xml:space="preserve">الشقر </t>
  </si>
  <si>
    <t xml:space="preserve">ك44مش /ل117مش ميكا -ك23صاعقة </t>
  </si>
  <si>
    <t>أحمد هليل محمد على</t>
  </si>
  <si>
    <t>01212057760</t>
  </si>
  <si>
    <t>01551737309</t>
  </si>
  <si>
    <t xml:space="preserve">الزيتون </t>
  </si>
  <si>
    <t xml:space="preserve">امن اللواء 305مش ميكا </t>
  </si>
  <si>
    <t>ك911مش / ل313مش</t>
  </si>
  <si>
    <t>سعيد محمد سعيد عبدالمطلب</t>
  </si>
  <si>
    <t>01150906674</t>
  </si>
  <si>
    <t>01119573477</t>
  </si>
  <si>
    <t xml:space="preserve">مدينة الابطال </t>
  </si>
  <si>
    <t xml:space="preserve">ك44مش ميكا - س 39ش ع م م ع </t>
  </si>
  <si>
    <t>احمد كمال احمد عرفه</t>
  </si>
  <si>
    <t>01090094569</t>
  </si>
  <si>
    <t xml:space="preserve">ك362/ل177مش ميكا </t>
  </si>
  <si>
    <t>ابراهيم سامى حامد ابراهيم العطار</t>
  </si>
  <si>
    <t>ك 15 ح ح بري - ك 14 ح ح بري - ك 114 ح ح ساحلي</t>
  </si>
  <si>
    <t>احمد هاني محمد السيد عبدالوهاب</t>
  </si>
  <si>
    <t>01044503548</t>
  </si>
  <si>
    <t>01005216503</t>
  </si>
  <si>
    <t xml:space="preserve">طحلة </t>
  </si>
  <si>
    <t xml:space="preserve">ك الخدمة / الحرس الجمهورى </t>
  </si>
  <si>
    <t>محمد حسن على محمد</t>
  </si>
  <si>
    <t>01062819323</t>
  </si>
  <si>
    <t>01150884413</t>
  </si>
  <si>
    <t>علاء السيد عبدالفتاح خليف</t>
  </si>
  <si>
    <t>01285501278</t>
  </si>
  <si>
    <t>01015023477</t>
  </si>
  <si>
    <t xml:space="preserve">الفتح </t>
  </si>
  <si>
    <t xml:space="preserve">ك533مش/ل135مش </t>
  </si>
  <si>
    <t>عبدالله محمد خليل محمد البوهى</t>
  </si>
  <si>
    <t>01023783535</t>
  </si>
  <si>
    <t>01285888934</t>
  </si>
  <si>
    <t xml:space="preserve">كفر احمد جبران </t>
  </si>
  <si>
    <t>عبدالرحمن ناصر حسن سليمان</t>
  </si>
  <si>
    <t>01018954065</t>
  </si>
  <si>
    <t>01017985528</t>
  </si>
  <si>
    <t xml:space="preserve">ابى سقل </t>
  </si>
  <si>
    <t>عبدالعزيز محمد عبدالعزيز عبدالباقى</t>
  </si>
  <si>
    <t>01023936309</t>
  </si>
  <si>
    <t>01206103025</t>
  </si>
  <si>
    <t xml:space="preserve">غزال الخيس </t>
  </si>
  <si>
    <t>محمد محمود عبدالرحمن محمد</t>
  </si>
  <si>
    <t>01013380726</t>
  </si>
  <si>
    <t>01003616568</t>
  </si>
  <si>
    <t xml:space="preserve">البحاروه </t>
  </si>
  <si>
    <t xml:space="preserve">جمهورية افريقا الوسطى دولة بنجى </t>
  </si>
  <si>
    <t>رؤوف عبدالسميع دمرداش محمد</t>
  </si>
  <si>
    <t>01020069708</t>
  </si>
  <si>
    <t xml:space="preserve">شنواى </t>
  </si>
  <si>
    <t>عمرو على ابو السعود محمد</t>
  </si>
  <si>
    <t>01014091669</t>
  </si>
  <si>
    <t>01092321985</t>
  </si>
  <si>
    <t xml:space="preserve">اسطنها </t>
  </si>
  <si>
    <t>حسن عاطف على فرس</t>
  </si>
  <si>
    <t>0112118616</t>
  </si>
  <si>
    <t>01016235343</t>
  </si>
  <si>
    <t xml:space="preserve">عشما </t>
  </si>
  <si>
    <t>يونس ناصر منصور</t>
  </si>
  <si>
    <t>محمد جمال محمد محمد يونس</t>
  </si>
  <si>
    <t>محمد محمود محمد احمد</t>
  </si>
  <si>
    <t>01096098284</t>
  </si>
  <si>
    <t>01092272661</t>
  </si>
  <si>
    <t>محمد مصطفى خليفة عبدالمالك عثمان</t>
  </si>
  <si>
    <t>01140471985</t>
  </si>
  <si>
    <t>01146810532</t>
  </si>
  <si>
    <t xml:space="preserve">منشية السلام الجديدة </t>
  </si>
  <si>
    <t>محمد مدحت رجب بحيرى</t>
  </si>
  <si>
    <t>01227161628</t>
  </si>
  <si>
    <t>01210537602</t>
  </si>
  <si>
    <t xml:space="preserve">كفر فيشا </t>
  </si>
  <si>
    <t>ابراهيم نادى ابراهيم عبدالباقى</t>
  </si>
  <si>
    <t>01019818561</t>
  </si>
  <si>
    <t>01033829570</t>
  </si>
  <si>
    <t>منسلفيس</t>
  </si>
  <si>
    <t>هشام عبدالدايم الحسينى السيد</t>
  </si>
  <si>
    <t xml:space="preserve">ك 902 مش </t>
  </si>
  <si>
    <t>01029385578</t>
  </si>
  <si>
    <t>الديرس</t>
  </si>
  <si>
    <t>ك 9 / ل 3</t>
  </si>
  <si>
    <t>خليل فتحي محمد علم الدين</t>
  </si>
  <si>
    <t>01221297220</t>
  </si>
  <si>
    <t>البرانقه</t>
  </si>
  <si>
    <t>ك 444 مش ميكا</t>
  </si>
  <si>
    <t>ايهاب عبدالهادى مصطفى الحضرى</t>
  </si>
  <si>
    <t>01010115912</t>
  </si>
  <si>
    <t xml:space="preserve">حوين </t>
  </si>
  <si>
    <t xml:space="preserve">بدر محمد عبدالعزيز محمد جنيدى </t>
  </si>
  <si>
    <t>01144740529</t>
  </si>
  <si>
    <t>جعيف</t>
  </si>
  <si>
    <t>ك 10 مشاه</t>
  </si>
  <si>
    <t>محمد حماده محمد حافظ</t>
  </si>
  <si>
    <t xml:space="preserve">حكمدار جماعة مش </t>
  </si>
  <si>
    <t>01008131366</t>
  </si>
  <si>
    <t>0108521105</t>
  </si>
  <si>
    <t>امن حربي م ج ع</t>
  </si>
  <si>
    <t>ك 155 / ل 166</t>
  </si>
  <si>
    <t>طلال ابو النواس عبدالعظيم عبدالجيد</t>
  </si>
  <si>
    <t>01151269879</t>
  </si>
  <si>
    <t>ميانه</t>
  </si>
  <si>
    <t xml:space="preserve"> امن اللواء 305 مش مقل م.ج.ع</t>
  </si>
  <si>
    <t xml:space="preserve"> مركز تدريب المشاه رقم 1</t>
  </si>
  <si>
    <t xml:space="preserve">جاد الرب عبدالمنعم علي </t>
  </si>
  <si>
    <t>رقيب فصيلة مش</t>
  </si>
  <si>
    <t>01097903417</t>
  </si>
  <si>
    <t xml:space="preserve">بنى فيز </t>
  </si>
  <si>
    <t>س 194 شرطا عسكريا</t>
  </si>
  <si>
    <t>محمد مجدى محمد الشرنوبى</t>
  </si>
  <si>
    <t>رقيب فصيلة مش ميكا</t>
  </si>
  <si>
    <t>01096216052</t>
  </si>
  <si>
    <t xml:space="preserve">محلة فرنوى </t>
  </si>
  <si>
    <t>ك 444 مش ميكا /ل 117 مش ميكا</t>
  </si>
  <si>
    <t>اسلام محمد احمد محمود عبدالله</t>
  </si>
  <si>
    <t>01280694183</t>
  </si>
  <si>
    <t xml:space="preserve">شبرا النونه </t>
  </si>
  <si>
    <t>مكتب رئيس اركان م.ج.ع</t>
  </si>
  <si>
    <t>معهد المشاة</t>
  </si>
  <si>
    <t>محمد احمد محمد محمود البيه</t>
  </si>
  <si>
    <t>01096525918</t>
  </si>
  <si>
    <t>01104962019</t>
  </si>
  <si>
    <t>كفر دمتيوه</t>
  </si>
  <si>
    <t>ك 502 مش ميك /ل 118</t>
  </si>
  <si>
    <t>عبدالرحمن ابراهيم خالد ابراهيم</t>
  </si>
  <si>
    <t>01024307678</t>
  </si>
  <si>
    <t>01277583966</t>
  </si>
  <si>
    <t>ك 362 مش ميكا ل 117 مش ميكا - مفرزة الأمن / حرس جمهوري</t>
  </si>
  <si>
    <t>افريقيا الوسطى</t>
  </si>
  <si>
    <t>عيد محمود عيد احمد عثمان</t>
  </si>
  <si>
    <t>01158485899</t>
  </si>
  <si>
    <t>01151752537</t>
  </si>
  <si>
    <t>مدينة الناصرية</t>
  </si>
  <si>
    <t>ملحق م.ج.ع</t>
  </si>
  <si>
    <t>ك 360 مش ميكا / ل 117 مش</t>
  </si>
  <si>
    <t>أحمد عبدالحميد على السيد</t>
  </si>
  <si>
    <t>01040462861</t>
  </si>
  <si>
    <t>01110971234</t>
  </si>
  <si>
    <t>خليج السويس</t>
  </si>
  <si>
    <t>ك 707 مش ميكا / ل222</t>
  </si>
  <si>
    <t>محمد جمعه محمد ضيف الله الجمل</t>
  </si>
  <si>
    <t>01011162176</t>
  </si>
  <si>
    <t>ثروت</t>
  </si>
  <si>
    <t>ك 366 مش ميكا</t>
  </si>
  <si>
    <t>حرس سفارات</t>
  </si>
  <si>
    <t>احمد رشاد على حسن زياده</t>
  </si>
  <si>
    <t>01019782520</t>
  </si>
  <si>
    <t>01065445432</t>
  </si>
  <si>
    <t>المنشلين</t>
  </si>
  <si>
    <t>ملحق لواء</t>
  </si>
  <si>
    <t xml:space="preserve">ك 901 مش /ل 305 مش مقل </t>
  </si>
  <si>
    <t>عبده صابر ابراهيم عبدالعاطى ابراهيم</t>
  </si>
  <si>
    <t>01066524408</t>
  </si>
  <si>
    <t>0106180618</t>
  </si>
  <si>
    <t>دويده</t>
  </si>
  <si>
    <t>محمد اشرف محمود محمد شحاته</t>
  </si>
  <si>
    <t>01090397682</t>
  </si>
  <si>
    <t>01125550903</t>
  </si>
  <si>
    <t xml:space="preserve">كوم النور </t>
  </si>
  <si>
    <t>مكتب ماليات اللواء</t>
  </si>
  <si>
    <t>ك 900 مش / ل 305 مش مقل</t>
  </si>
  <si>
    <t>أحمد نصر ابراهيم محمد حديفه</t>
  </si>
  <si>
    <t>01016534121</t>
  </si>
  <si>
    <t>01286148852</t>
  </si>
  <si>
    <t>ك 11 مش ميكا /ل 4</t>
  </si>
  <si>
    <t>مصطفى على يوسف فهمى</t>
  </si>
  <si>
    <t>سائق عربة زيل</t>
  </si>
  <si>
    <t>01018695607</t>
  </si>
  <si>
    <t>عزبة التل</t>
  </si>
  <si>
    <t>مصطفى عبدالموجود عبدالفتاح يوسف</t>
  </si>
  <si>
    <t>01004281077</t>
  </si>
  <si>
    <t>01276590525</t>
  </si>
  <si>
    <t>سندنهور</t>
  </si>
  <si>
    <t>ك 524 مش ميكا</t>
  </si>
  <si>
    <t>رمضان ايمن محمد ابراهيم</t>
  </si>
  <si>
    <t>رقيب فصيلة تو / اهرام</t>
  </si>
  <si>
    <t>01126793261</t>
  </si>
  <si>
    <t>بنى حي</t>
  </si>
  <si>
    <t>ناصر محمد احمد محمد</t>
  </si>
  <si>
    <t>رقيب فصيلة تو اهرام</t>
  </si>
  <si>
    <t>01030776317</t>
  </si>
  <si>
    <t>18/10/200</t>
  </si>
  <si>
    <t xml:space="preserve">المطاوعه </t>
  </si>
  <si>
    <t>محمد خلف محمد عبدالحميد</t>
  </si>
  <si>
    <t>0114588714</t>
  </si>
  <si>
    <t xml:space="preserve">ديمشاو هاشم </t>
  </si>
  <si>
    <t xml:space="preserve"> افريقيا الوسطى</t>
  </si>
  <si>
    <t>محمد صابر عبدالعليم عبدالعال</t>
  </si>
  <si>
    <t>01100423145</t>
  </si>
  <si>
    <t>01158541519</t>
  </si>
  <si>
    <t xml:space="preserve">العامرية الشرقية </t>
  </si>
  <si>
    <t>محمد حسن عبدالنعيم محمد</t>
  </si>
  <si>
    <t>01140211262</t>
  </si>
  <si>
    <t>المدمر</t>
  </si>
  <si>
    <t>ياسين احمد سيد حامد على</t>
  </si>
  <si>
    <t>01027076717</t>
  </si>
  <si>
    <t>حلمية الزيتون</t>
  </si>
  <si>
    <t>عادل محمد محمد محمد دويدار</t>
  </si>
  <si>
    <t>01119423597</t>
  </si>
  <si>
    <t>01151120140</t>
  </si>
  <si>
    <t>مساكن اطلس</t>
  </si>
  <si>
    <t>محمد عبدالمعطى الدسوقى سليم</t>
  </si>
  <si>
    <t>إبتدائية</t>
  </si>
  <si>
    <t>حكمدار جماعة إصلاح بطاريات</t>
  </si>
  <si>
    <t>01070493608</t>
  </si>
  <si>
    <t>الورشة رقم 1 مركبات</t>
  </si>
  <si>
    <t>محمود حمودة عبدالمجيد حمودة</t>
  </si>
  <si>
    <t>01009078528</t>
  </si>
  <si>
    <t>فوج نقل المقر العالي ق م</t>
  </si>
  <si>
    <t>حماده حنفى عبدالله عويس</t>
  </si>
  <si>
    <t>دبلوم صناعى</t>
  </si>
  <si>
    <t>سمكرى عام</t>
  </si>
  <si>
    <t>01020812818</t>
  </si>
  <si>
    <t>01228934335</t>
  </si>
  <si>
    <t>الورشة رقم 10 مدرعات</t>
  </si>
  <si>
    <t>محمد علاء فتح الله محمد عبدالمجيد</t>
  </si>
  <si>
    <t>مركز تدريب مركبات رقم 2</t>
  </si>
  <si>
    <t>محمد محمود السيد محمد التعلب</t>
  </si>
  <si>
    <t>01278001766</t>
  </si>
  <si>
    <t>01282332597</t>
  </si>
  <si>
    <t>ك 282 بب /ل 55 م</t>
  </si>
  <si>
    <t>عبدالرحمن احمد موسى سید موسى</t>
  </si>
  <si>
    <t>30005112501157</t>
  </si>
  <si>
    <t>خالد الشحات محمد بسيونى</t>
  </si>
  <si>
    <t>01014559216</t>
  </si>
  <si>
    <t xml:space="preserve">الورشة الرئيسية للمدرعات رقم 5 </t>
  </si>
  <si>
    <t>محمد مصطفى عبدالسلام عوض عباس</t>
  </si>
  <si>
    <t>01275313775</t>
  </si>
  <si>
    <t>01226402778</t>
  </si>
  <si>
    <t xml:space="preserve">الورشة رقم 6 محركات </t>
  </si>
  <si>
    <t>احمد فيصل محمد عبدالهادي</t>
  </si>
  <si>
    <t>01032704967</t>
  </si>
  <si>
    <t>01018803842</t>
  </si>
  <si>
    <t>سامح عبدالفتاح عبدالفتاح العشرى</t>
  </si>
  <si>
    <t>01093747179</t>
  </si>
  <si>
    <t>احمد عبدالحفيظ خليل عبدالحفيظ</t>
  </si>
  <si>
    <t>عامل إصلاحأجهزة يصرية</t>
  </si>
  <si>
    <t>01011862539</t>
  </si>
  <si>
    <t>محمد صابر عبدالعليم عبداللاه</t>
  </si>
  <si>
    <t>01014826219</t>
  </si>
  <si>
    <t>على كرم على الدقونى</t>
  </si>
  <si>
    <t>01147328128</t>
  </si>
  <si>
    <t>مصطفي السيد احمد سليمان</t>
  </si>
  <si>
    <t>01012844151</t>
  </si>
  <si>
    <t>01091167849</t>
  </si>
  <si>
    <t>محمد ياسر محمد عبدالقادر قنصوه</t>
  </si>
  <si>
    <t>01020457145</t>
  </si>
  <si>
    <t>مستودع 61 مدرعات</t>
  </si>
  <si>
    <t xml:space="preserve">احمد السيد محمد على محمد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</si>
</sst>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1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theme="1"/>
      </top>
      <bottom style="thin">
        <color indexed="64"/>
      </bottom>
      <diagonal/>
    </border>
  </borders>
  <cellStyleXfs count="2">
    <xf numFmtId="0" fontId="0" fillId="0" borderId="0"/>
    <xf numFmtId="0" fontId="1" fillId="0" borderId="0"/>
  </cellStyleXfs>
  <cellXfs count="2">
    <xf numFmtId="0" fontId="0" fillId="0" borderId="0" xfId="0"/>
    <xf numFmtId="1" fontId="2" fillId="0" borderId="1" xfId="1" applyNumberFormat="1" applyFont="1" applyBorder="1" applyAlignment="1">
      <alignment horizontal="center" vertical="center" readingOrder="2"/>
    </xf>
  </cellXfs>
  <cellStyles count="2">
    <cellStyle name="Normal" xfId="0" builtinId="0"/>
    <cellStyle name="Normal 2" xfId="1" xr:uid="{A70F69AF-F10E-46FE-8117-DBF67E82860D}"/>
  </cellStyles>
  <dxfs count="18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prog\laragon\www\ganobia\tabels\&#1585;&#1575;&#1578;&#1576;%20&#1593;&#1575;&#1604;&#1609;\&#1578;&#1581;&#1583;&#1610;&#1579;%20&#1603;&#1575;&#1585;&#1578;%20&#1575;&#1604;&#1576;&#1610;&#1575;&#1606;&#1575;&#1578;%20-%20Copy.xlsx" TargetMode="External"/><Relationship Id="rId1" Type="http://schemas.openxmlformats.org/officeDocument/2006/relationships/externalLinkPath" Target="file:///G:\prog\laragon\www\ganobia\tabels\&#1585;&#1575;&#1578;&#1576;%20&#1593;&#1575;&#1604;&#1609;\&#1578;&#1581;&#1583;&#1610;&#1579;%20&#1603;&#1575;&#1585;&#1578;%20&#1575;&#1604;&#1576;&#1610;&#1575;&#1606;&#1575;&#1578;%20-%20Copy.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prog\laragon\www\ganobia\tabels\&#1585;&#1575;&#1578;&#1576;%20&#1593;&#1575;&#1604;&#1609;\&#1578;&#1581;&#1583;&#1610;&#1579;%20&#1603;&#1575;&#1585;&#1578;%20&#1575;&#1604;&#1576;&#1610;&#1575;&#1606;&#1575;&#1578;.xlsx" TargetMode="External"/><Relationship Id="rId1" Type="http://schemas.openxmlformats.org/officeDocument/2006/relationships/externalLinkPath" Target="file:///G:\prog\laragon\www\ganobia\tabels\&#1585;&#1575;&#1578;&#1576;%20&#1593;&#1575;&#1604;&#1609;\&#1578;&#1581;&#1583;&#1610;&#1579;%20&#1603;&#1575;&#1585;&#1578;%20&#1575;&#1604;&#1576;&#1610;&#1575;&#1606;&#1575;&#157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بروفايل"/>
      <sheetName val="كارت البيانات"/>
      <sheetName val="Sheet1"/>
      <sheetName val="إنهاءات و نقل"/>
      <sheetName val="يومية عددية"/>
      <sheetName val="سفر"/>
      <sheetName val="Sheet2"/>
      <sheetName val="كارت البيانات2"/>
      <sheetName val="Sheet3"/>
      <sheetName val="تحديث كارت البيانات - Copy"/>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بروفايل"/>
      <sheetName val="كارت البيانات"/>
      <sheetName val="Sheet1"/>
      <sheetName val="إنهاءات و نقل"/>
      <sheetName val="يومية عددية"/>
      <sheetName val="سفر"/>
      <sheetName val="Sheet2"/>
      <sheetName val="كارت البيانات2"/>
      <sheetName val="Sheet3"/>
      <sheetName val="تحديث كارت البيانات"/>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150"/>
  <sheetViews>
    <sheetView rightToLeft="1" tabSelected="1" workbookViewId="0">
      <selection activeCell="C1" sqref="C1:C1048576"/>
    </sheetView>
  </sheetViews>
  <sheetFormatPr defaultRowHeight="14.4" x14ac:dyDescent="0.3"/>
  <cols>
    <col min="1" max="1" width="24.21875" style="1" customWidth="1"/>
    <col min="3" max="3" width="21.21875" customWidth="1"/>
    <col min="38" max="38" width="18" customWidth="1"/>
  </cols>
  <sheetData>
    <row r="1" spans="1:40" ht="18.75" customHeight="1" x14ac:dyDescent="0.3">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ht="18.75" customHeight="1" x14ac:dyDescent="0.3">
      <c r="A2" s="1">
        <v>2023138303500</v>
      </c>
      <c r="B2" t="s">
        <v>40</v>
      </c>
      <c r="C2" t="s">
        <v>41</v>
      </c>
      <c r="D2" t="s">
        <v>42</v>
      </c>
      <c r="E2" t="s">
        <v>43</v>
      </c>
      <c r="F2" t="s">
        <v>44</v>
      </c>
      <c r="G2">
        <v>39692</v>
      </c>
      <c r="H2">
        <v>38597</v>
      </c>
      <c r="I2">
        <v>45292</v>
      </c>
      <c r="J2">
        <v>45215</v>
      </c>
      <c r="K2">
        <v>45215</v>
      </c>
      <c r="L2" t="s">
        <v>45</v>
      </c>
      <c r="M2" t="s">
        <v>46</v>
      </c>
      <c r="N2" t="s">
        <v>47</v>
      </c>
      <c r="O2" t="s">
        <v>48</v>
      </c>
      <c r="P2" t="s">
        <v>49</v>
      </c>
      <c r="R2">
        <v>12</v>
      </c>
      <c r="S2">
        <v>1</v>
      </c>
      <c r="T2">
        <v>0</v>
      </c>
      <c r="U2" t="s">
        <v>50</v>
      </c>
      <c r="W2">
        <v>29111201800130</v>
      </c>
      <c r="X2">
        <v>33562</v>
      </c>
      <c r="Y2" t="s">
        <v>51</v>
      </c>
      <c r="Z2">
        <v>0</v>
      </c>
      <c r="AA2">
        <v>0</v>
      </c>
      <c r="AB2">
        <v>0</v>
      </c>
      <c r="AC2" t="s">
        <v>52</v>
      </c>
      <c r="AD2" t="s">
        <v>53</v>
      </c>
      <c r="AE2" t="s">
        <v>54</v>
      </c>
      <c r="AF2">
        <v>65</v>
      </c>
      <c r="AG2">
        <v>160</v>
      </c>
      <c r="AH2" t="e">
        <f>IF([1]!Table1[[#This Row],[الوزن]]&lt;&gt;"",[1]!Table1[[#This Row],[الوزن]]-([1]!Table1[[#This Row],[الطول]]-100),"")</f>
        <v>#REF!</v>
      </c>
      <c r="AJ2" t="s">
        <v>55</v>
      </c>
      <c r="AK2" t="s">
        <v>84</v>
      </c>
      <c r="AL2" t="s">
        <v>85</v>
      </c>
      <c r="AM2" t="s">
        <v>86</v>
      </c>
      <c r="AN2" t="s">
        <v>56</v>
      </c>
    </row>
    <row r="3" spans="1:40" ht="18.75" customHeight="1" x14ac:dyDescent="0.3">
      <c r="A3" s="1">
        <v>2008134791090</v>
      </c>
      <c r="B3" t="s">
        <v>40</v>
      </c>
      <c r="C3" t="s">
        <v>41</v>
      </c>
      <c r="D3" t="s">
        <v>42</v>
      </c>
      <c r="E3" t="s">
        <v>43</v>
      </c>
      <c r="F3" t="s">
        <v>44</v>
      </c>
      <c r="G3">
        <v>39692</v>
      </c>
      <c r="H3">
        <v>38597</v>
      </c>
      <c r="I3">
        <v>45292</v>
      </c>
      <c r="J3">
        <v>45215</v>
      </c>
      <c r="K3">
        <v>45215</v>
      </c>
      <c r="L3" t="s">
        <v>45</v>
      </c>
      <c r="M3" t="s">
        <v>46</v>
      </c>
      <c r="N3" t="s">
        <v>47</v>
      </c>
      <c r="O3" t="s">
        <v>48</v>
      </c>
      <c r="P3" t="s">
        <v>49</v>
      </c>
      <c r="R3">
        <v>12</v>
      </c>
      <c r="S3">
        <v>1</v>
      </c>
      <c r="T3">
        <v>0</v>
      </c>
      <c r="U3" t="s">
        <v>50</v>
      </c>
      <c r="W3">
        <v>29111201800130</v>
      </c>
      <c r="X3">
        <v>33562</v>
      </c>
      <c r="Y3" t="s">
        <v>51</v>
      </c>
      <c r="Z3">
        <v>0</v>
      </c>
      <c r="AA3">
        <v>0</v>
      </c>
      <c r="AB3">
        <v>0</v>
      </c>
      <c r="AC3" t="s">
        <v>52</v>
      </c>
      <c r="AD3" t="s">
        <v>53</v>
      </c>
      <c r="AE3" t="s">
        <v>54</v>
      </c>
      <c r="AF3">
        <v>65</v>
      </c>
      <c r="AG3">
        <v>160</v>
      </c>
      <c r="AH3">
        <f>IF([2]!Table1[[#This Row],[الوزن]]&lt;&gt;"",[2]!Table1[[#This Row],[الوزن]]-([2]!Table1[[#This Row],[الطول]]-100),"")</f>
        <v>7</v>
      </c>
      <c r="AJ3" t="s">
        <v>55</v>
      </c>
      <c r="AN3" t="s">
        <v>56</v>
      </c>
    </row>
    <row r="4" spans="1:40" ht="18.75" customHeight="1" x14ac:dyDescent="0.3">
      <c r="A4" s="1">
        <v>2012134705084</v>
      </c>
      <c r="B4" t="s">
        <v>57</v>
      </c>
      <c r="C4" t="s">
        <v>58</v>
      </c>
      <c r="D4" t="s">
        <v>42</v>
      </c>
      <c r="E4" t="s">
        <v>43</v>
      </c>
      <c r="F4">
        <v>148</v>
      </c>
      <c r="G4">
        <v>41111</v>
      </c>
      <c r="H4">
        <v>41309</v>
      </c>
      <c r="I4">
        <v>45108</v>
      </c>
      <c r="J4">
        <v>44146</v>
      </c>
      <c r="K4">
        <v>44146</v>
      </c>
      <c r="L4" t="s">
        <v>59</v>
      </c>
      <c r="M4" t="s">
        <v>46</v>
      </c>
      <c r="N4" t="s">
        <v>47</v>
      </c>
      <c r="O4" t="s">
        <v>60</v>
      </c>
      <c r="P4" t="s">
        <v>49</v>
      </c>
      <c r="R4">
        <v>0</v>
      </c>
      <c r="S4">
        <v>0</v>
      </c>
      <c r="T4">
        <v>0</v>
      </c>
      <c r="U4" t="s">
        <v>61</v>
      </c>
      <c r="W4">
        <v>29109011304631</v>
      </c>
      <c r="X4">
        <v>33482</v>
      </c>
      <c r="Y4" t="s">
        <v>51</v>
      </c>
      <c r="Z4">
        <v>0</v>
      </c>
      <c r="AA4">
        <v>0</v>
      </c>
      <c r="AB4">
        <v>0</v>
      </c>
      <c r="AC4" t="s">
        <v>62</v>
      </c>
      <c r="AD4" t="s">
        <v>63</v>
      </c>
      <c r="AE4" t="s">
        <v>64</v>
      </c>
      <c r="AF4">
        <v>73</v>
      </c>
      <c r="AG4">
        <v>166</v>
      </c>
      <c r="AH4">
        <f>IF([2]!Table1[[#This Row],[الوزن]]&lt;&gt;"",[2]!Table1[[#This Row],[الوزن]]-([2]!Table1[[#This Row],[الطول]]-100),"")</f>
        <v>-5</v>
      </c>
      <c r="AJ4" t="s">
        <v>65</v>
      </c>
      <c r="AN4" t="s">
        <v>56</v>
      </c>
    </row>
    <row r="5" spans="1:40" ht="18.75" customHeight="1" x14ac:dyDescent="0.3">
      <c r="A5" s="1">
        <v>2012134791645</v>
      </c>
      <c r="B5" t="s">
        <v>66</v>
      </c>
      <c r="C5" t="s">
        <v>67</v>
      </c>
      <c r="D5" t="s">
        <v>42</v>
      </c>
      <c r="E5" t="s">
        <v>43</v>
      </c>
      <c r="F5" t="s">
        <v>68</v>
      </c>
      <c r="G5">
        <v>41154</v>
      </c>
      <c r="H5">
        <v>41155</v>
      </c>
      <c r="I5">
        <v>44927</v>
      </c>
      <c r="J5">
        <v>44856</v>
      </c>
      <c r="K5">
        <v>44856</v>
      </c>
      <c r="L5" t="s">
        <v>45</v>
      </c>
      <c r="M5" t="s">
        <v>46</v>
      </c>
      <c r="N5" t="s">
        <v>47</v>
      </c>
      <c r="O5" t="s">
        <v>69</v>
      </c>
      <c r="P5" t="s">
        <v>49</v>
      </c>
      <c r="R5">
        <v>8</v>
      </c>
      <c r="S5">
        <v>0</v>
      </c>
      <c r="T5">
        <v>0</v>
      </c>
      <c r="U5" t="s">
        <v>70</v>
      </c>
      <c r="W5">
        <v>29009272301812</v>
      </c>
      <c r="X5">
        <v>35464</v>
      </c>
      <c r="Y5" t="s">
        <v>51</v>
      </c>
      <c r="Z5">
        <v>0</v>
      </c>
      <c r="AA5">
        <v>0</v>
      </c>
      <c r="AB5">
        <v>0</v>
      </c>
      <c r="AC5" t="s">
        <v>71</v>
      </c>
      <c r="AD5" t="s">
        <v>72</v>
      </c>
      <c r="AE5" t="s">
        <v>73</v>
      </c>
      <c r="AF5">
        <v>60</v>
      </c>
      <c r="AG5">
        <v>165</v>
      </c>
      <c r="AH5">
        <f>IF([2]!Table1[[#This Row],[الوزن]]&lt;&gt;"",[2]!Table1[[#This Row],[الوزن]]-([2]!Table1[[#This Row],[الطول]]-100),"")</f>
        <v>-3</v>
      </c>
      <c r="AJ5" t="s">
        <v>74</v>
      </c>
      <c r="AN5" t="s">
        <v>56</v>
      </c>
    </row>
    <row r="6" spans="1:40" ht="18.75" customHeight="1" x14ac:dyDescent="0.3">
      <c r="A6" s="1">
        <v>2013130401907</v>
      </c>
      <c r="B6" t="s">
        <v>75</v>
      </c>
      <c r="C6" t="s">
        <v>76</v>
      </c>
      <c r="D6" t="s">
        <v>42</v>
      </c>
      <c r="E6" t="s">
        <v>43</v>
      </c>
      <c r="G6">
        <v>41500</v>
      </c>
      <c r="H6">
        <v>41924</v>
      </c>
      <c r="I6">
        <v>45658</v>
      </c>
      <c r="J6">
        <v>45587</v>
      </c>
      <c r="K6">
        <v>45587</v>
      </c>
      <c r="L6" t="s">
        <v>77</v>
      </c>
      <c r="M6" t="s">
        <v>46</v>
      </c>
      <c r="N6" t="s">
        <v>78</v>
      </c>
      <c r="O6" t="s">
        <v>79</v>
      </c>
      <c r="P6" t="s">
        <v>49</v>
      </c>
      <c r="R6">
        <v>9</v>
      </c>
      <c r="S6">
        <v>1</v>
      </c>
      <c r="T6">
        <v>0</v>
      </c>
      <c r="U6" t="s">
        <v>80</v>
      </c>
      <c r="W6">
        <v>29401122502434</v>
      </c>
      <c r="X6">
        <v>34346</v>
      </c>
      <c r="Y6" t="s">
        <v>51</v>
      </c>
      <c r="Z6">
        <v>3</v>
      </c>
      <c r="AA6">
        <v>1</v>
      </c>
      <c r="AB6">
        <v>2</v>
      </c>
      <c r="AC6" t="s">
        <v>81</v>
      </c>
      <c r="AD6" t="s">
        <v>82</v>
      </c>
      <c r="AE6" t="s">
        <v>43</v>
      </c>
      <c r="AF6">
        <v>69</v>
      </c>
      <c r="AG6">
        <v>172</v>
      </c>
      <c r="AH6">
        <f>IF([2]!Table1[[#This Row],[الوزن]]&lt;&gt;"",[2]!Table1[[#This Row],[الوزن]]-([2]!Table1[[#This Row],[الطول]]-100),"")</f>
        <v>-2</v>
      </c>
      <c r="AJ6" t="s">
        <v>83</v>
      </c>
      <c r="AN6" t="s">
        <v>56</v>
      </c>
    </row>
    <row r="7" spans="1:40" ht="18.75" customHeight="1" x14ac:dyDescent="0.3">
      <c r="A7" s="1">
        <v>2013134704745</v>
      </c>
      <c r="B7" t="s">
        <v>57</v>
      </c>
      <c r="C7" t="s">
        <v>87</v>
      </c>
      <c r="D7" t="s">
        <v>42</v>
      </c>
      <c r="E7" t="s">
        <v>43</v>
      </c>
      <c r="F7">
        <v>150</v>
      </c>
      <c r="G7">
        <v>41510</v>
      </c>
      <c r="H7">
        <v>41823</v>
      </c>
      <c r="I7">
        <v>41821</v>
      </c>
      <c r="J7">
        <v>44135</v>
      </c>
      <c r="K7">
        <v>44135</v>
      </c>
      <c r="L7" t="s">
        <v>88</v>
      </c>
      <c r="M7" t="s">
        <v>46</v>
      </c>
      <c r="N7" t="s">
        <v>47</v>
      </c>
      <c r="O7" t="s">
        <v>89</v>
      </c>
      <c r="P7" t="s">
        <v>49</v>
      </c>
      <c r="R7">
        <v>1</v>
      </c>
      <c r="S7">
        <v>0</v>
      </c>
      <c r="T7">
        <v>0</v>
      </c>
      <c r="U7" t="s">
        <v>90</v>
      </c>
      <c r="W7">
        <v>29403170100332</v>
      </c>
      <c r="X7">
        <v>34410</v>
      </c>
      <c r="Y7" t="s">
        <v>51</v>
      </c>
      <c r="Z7">
        <v>1</v>
      </c>
      <c r="AA7">
        <v>0</v>
      </c>
      <c r="AB7">
        <v>1</v>
      </c>
      <c r="AC7" t="s">
        <v>91</v>
      </c>
      <c r="AD7" t="s">
        <v>92</v>
      </c>
      <c r="AE7" t="s">
        <v>93</v>
      </c>
      <c r="AF7">
        <v>67</v>
      </c>
      <c r="AG7">
        <v>169</v>
      </c>
      <c r="AH7">
        <f>IF([2]!Table1[[#This Row],[الوزن]]&lt;&gt;"",[2]!Table1[[#This Row],[الوزن]]-([2]!Table1[[#This Row],[الطول]]-100),"")</f>
        <v>-16</v>
      </c>
      <c r="AJ7" t="s">
        <v>94</v>
      </c>
      <c r="AN7" t="s">
        <v>56</v>
      </c>
    </row>
    <row r="8" spans="1:40" ht="18.75" customHeight="1" x14ac:dyDescent="0.3">
      <c r="A8" s="1">
        <v>2014134703167</v>
      </c>
      <c r="B8" t="s">
        <v>57</v>
      </c>
      <c r="C8" t="s">
        <v>95</v>
      </c>
      <c r="D8" t="s">
        <v>42</v>
      </c>
      <c r="E8" t="s">
        <v>43</v>
      </c>
      <c r="F8">
        <v>152</v>
      </c>
      <c r="G8">
        <v>41853</v>
      </c>
      <c r="H8">
        <v>42051</v>
      </c>
      <c r="I8">
        <v>44013</v>
      </c>
      <c r="J8">
        <v>45592</v>
      </c>
      <c r="K8">
        <v>45592</v>
      </c>
      <c r="L8" t="s">
        <v>59</v>
      </c>
      <c r="M8" t="s">
        <v>46</v>
      </c>
      <c r="N8" t="s">
        <v>47</v>
      </c>
      <c r="O8" t="s">
        <v>96</v>
      </c>
      <c r="P8" t="s">
        <v>49</v>
      </c>
      <c r="R8">
        <v>6</v>
      </c>
      <c r="S8">
        <v>0</v>
      </c>
      <c r="T8">
        <v>0</v>
      </c>
      <c r="U8" t="s">
        <v>97</v>
      </c>
      <c r="W8">
        <v>29501011623458</v>
      </c>
      <c r="X8">
        <v>34700</v>
      </c>
      <c r="Y8" t="s">
        <v>51</v>
      </c>
      <c r="Z8">
        <v>1</v>
      </c>
      <c r="AA8">
        <v>0</v>
      </c>
      <c r="AB8">
        <v>1</v>
      </c>
      <c r="AC8" t="s">
        <v>98</v>
      </c>
      <c r="AD8" t="s">
        <v>99</v>
      </c>
      <c r="AE8" t="s">
        <v>73</v>
      </c>
      <c r="AF8">
        <v>60</v>
      </c>
      <c r="AG8">
        <v>176</v>
      </c>
      <c r="AH8">
        <f>IF([2]!Table1[[#This Row],[الوزن]]&lt;&gt;"",[2]!Table1[[#This Row],[الوزن]]-([2]!Table1[[#This Row],[الطول]]-100),"")</f>
        <v>-5</v>
      </c>
      <c r="AJ8" t="s">
        <v>100</v>
      </c>
      <c r="AN8" t="s">
        <v>56</v>
      </c>
    </row>
    <row r="9" spans="1:40" ht="18.75" customHeight="1" x14ac:dyDescent="0.3">
      <c r="A9" s="1">
        <v>2014134703456</v>
      </c>
      <c r="B9" t="s">
        <v>57</v>
      </c>
      <c r="C9" t="s">
        <v>101</v>
      </c>
      <c r="D9" t="s">
        <v>42</v>
      </c>
      <c r="E9" t="s">
        <v>43</v>
      </c>
      <c r="F9">
        <v>152</v>
      </c>
      <c r="G9">
        <v>41853</v>
      </c>
      <c r="H9">
        <v>42051</v>
      </c>
      <c r="I9">
        <v>44013</v>
      </c>
      <c r="J9">
        <v>45585</v>
      </c>
      <c r="K9">
        <v>45585</v>
      </c>
      <c r="L9" t="s">
        <v>59</v>
      </c>
      <c r="M9" t="s">
        <v>46</v>
      </c>
      <c r="N9" t="s">
        <v>47</v>
      </c>
      <c r="O9" t="s">
        <v>96</v>
      </c>
      <c r="P9" t="s">
        <v>49</v>
      </c>
      <c r="R9">
        <v>6</v>
      </c>
      <c r="S9">
        <v>0</v>
      </c>
      <c r="T9">
        <v>0</v>
      </c>
      <c r="U9" t="s">
        <v>102</v>
      </c>
      <c r="W9">
        <v>29303031602914</v>
      </c>
      <c r="X9">
        <v>34031</v>
      </c>
      <c r="Y9" t="s">
        <v>103</v>
      </c>
      <c r="Z9">
        <v>2</v>
      </c>
      <c r="AA9">
        <v>1</v>
      </c>
      <c r="AB9">
        <v>1</v>
      </c>
      <c r="AC9" t="s">
        <v>104</v>
      </c>
      <c r="AD9" t="s">
        <v>99</v>
      </c>
      <c r="AE9" t="s">
        <v>73</v>
      </c>
      <c r="AF9">
        <v>69</v>
      </c>
      <c r="AG9">
        <v>174</v>
      </c>
      <c r="AH9">
        <f>IF([2]!Table1[[#This Row],[الوزن]]&lt;&gt;"",[2]!Table1[[#This Row],[الوزن]]-([2]!Table1[[#This Row],[الطول]]-100),"")</f>
        <v>-1</v>
      </c>
      <c r="AJ9" t="s">
        <v>105</v>
      </c>
      <c r="AN9" t="s">
        <v>56</v>
      </c>
    </row>
    <row r="10" spans="1:40" ht="18.75" customHeight="1" x14ac:dyDescent="0.3">
      <c r="A10" s="1">
        <v>2015134711027</v>
      </c>
      <c r="B10" t="s">
        <v>106</v>
      </c>
      <c r="C10" t="s">
        <v>107</v>
      </c>
      <c r="D10" t="s">
        <v>42</v>
      </c>
      <c r="E10" t="s">
        <v>43</v>
      </c>
      <c r="F10">
        <v>154</v>
      </c>
      <c r="G10">
        <v>42224</v>
      </c>
      <c r="H10">
        <v>42789</v>
      </c>
      <c r="I10">
        <v>44743</v>
      </c>
      <c r="J10">
        <v>44879</v>
      </c>
      <c r="K10">
        <v>44879</v>
      </c>
      <c r="L10" t="s">
        <v>45</v>
      </c>
      <c r="M10" t="s">
        <v>46</v>
      </c>
      <c r="N10" t="s">
        <v>47</v>
      </c>
      <c r="O10" t="s">
        <v>108</v>
      </c>
      <c r="P10" t="s">
        <v>49</v>
      </c>
      <c r="R10">
        <v>1</v>
      </c>
      <c r="S10">
        <v>0</v>
      </c>
      <c r="T10">
        <v>0</v>
      </c>
      <c r="U10" t="s">
        <v>109</v>
      </c>
      <c r="W10">
        <v>29505011603819</v>
      </c>
      <c r="X10">
        <v>34820</v>
      </c>
      <c r="Y10" t="s">
        <v>103</v>
      </c>
      <c r="Z10">
        <v>1</v>
      </c>
      <c r="AA10">
        <v>1</v>
      </c>
      <c r="AB10">
        <v>0</v>
      </c>
      <c r="AC10" t="s">
        <v>110</v>
      </c>
      <c r="AD10" t="s">
        <v>111</v>
      </c>
      <c r="AE10" t="s">
        <v>73</v>
      </c>
      <c r="AF10">
        <v>68</v>
      </c>
      <c r="AG10">
        <v>169</v>
      </c>
      <c r="AH10">
        <f>IF([2]!Table1[[#This Row],[الوزن]]&lt;&gt;"",[2]!Table1[[#This Row],[الوزن]]-([2]!Table1[[#This Row],[الطول]]-100),"")</f>
        <v>-7</v>
      </c>
      <c r="AJ10" t="s">
        <v>112</v>
      </c>
      <c r="AN10" t="s">
        <v>56</v>
      </c>
    </row>
    <row r="11" spans="1:40" ht="18.75" customHeight="1" x14ac:dyDescent="0.3">
      <c r="A11" s="1">
        <v>2018130403185</v>
      </c>
      <c r="B11" t="s">
        <v>106</v>
      </c>
      <c r="C11" t="s">
        <v>113</v>
      </c>
      <c r="D11" t="s">
        <v>42</v>
      </c>
      <c r="E11" t="s">
        <v>43</v>
      </c>
      <c r="G11">
        <v>43279</v>
      </c>
      <c r="H11">
        <v>44117</v>
      </c>
      <c r="I11">
        <v>44117</v>
      </c>
      <c r="J11">
        <v>45978</v>
      </c>
      <c r="K11">
        <v>45978</v>
      </c>
      <c r="L11" t="s">
        <v>45</v>
      </c>
      <c r="M11" t="s">
        <v>46</v>
      </c>
      <c r="N11" t="s">
        <v>78</v>
      </c>
      <c r="O11" t="s">
        <v>114</v>
      </c>
      <c r="P11" t="s">
        <v>49</v>
      </c>
      <c r="R11">
        <v>0</v>
      </c>
      <c r="S11">
        <v>0</v>
      </c>
      <c r="T11">
        <v>0</v>
      </c>
      <c r="U11" t="s">
        <v>115</v>
      </c>
      <c r="W11">
        <v>30203181201293</v>
      </c>
      <c r="X11">
        <v>37333</v>
      </c>
      <c r="Y11" t="s">
        <v>103</v>
      </c>
      <c r="Z11">
        <v>1</v>
      </c>
      <c r="AA11">
        <v>0</v>
      </c>
      <c r="AB11">
        <v>1</v>
      </c>
      <c r="AC11" t="s">
        <v>116</v>
      </c>
      <c r="AD11" t="s">
        <v>117</v>
      </c>
      <c r="AE11" t="s">
        <v>118</v>
      </c>
      <c r="AF11">
        <v>57</v>
      </c>
      <c r="AG11">
        <v>164</v>
      </c>
      <c r="AH11">
        <f>IF([2]!Table1[[#This Row],[الوزن]]&lt;&gt;"",[2]!Table1[[#This Row],[الوزن]]-([2]!Table1[[#This Row],[الطول]]-100),"")</f>
        <v>-6</v>
      </c>
      <c r="AJ11" t="s">
        <v>119</v>
      </c>
      <c r="AN11" t="s">
        <v>56</v>
      </c>
    </row>
    <row r="12" spans="1:40" ht="18.75" customHeight="1" x14ac:dyDescent="0.3">
      <c r="A12" s="1">
        <v>2018134708036</v>
      </c>
      <c r="B12" t="s">
        <v>106</v>
      </c>
      <c r="C12" t="s">
        <v>120</v>
      </c>
      <c r="D12" t="s">
        <v>42</v>
      </c>
      <c r="E12" t="s">
        <v>43</v>
      </c>
      <c r="G12">
        <v>43279</v>
      </c>
      <c r="H12">
        <v>44117</v>
      </c>
      <c r="I12">
        <v>44117</v>
      </c>
      <c r="J12">
        <v>44503</v>
      </c>
      <c r="K12">
        <v>44503</v>
      </c>
      <c r="L12" t="s">
        <v>45</v>
      </c>
      <c r="M12" t="s">
        <v>46</v>
      </c>
      <c r="N12" t="s">
        <v>47</v>
      </c>
      <c r="O12" t="s">
        <v>89</v>
      </c>
      <c r="P12" t="s">
        <v>49</v>
      </c>
      <c r="R12">
        <v>2</v>
      </c>
      <c r="S12">
        <v>0</v>
      </c>
      <c r="T12">
        <v>0</v>
      </c>
      <c r="U12" t="s">
        <v>121</v>
      </c>
      <c r="W12">
        <v>30109292501338</v>
      </c>
      <c r="X12">
        <v>37163</v>
      </c>
      <c r="Y12" t="s">
        <v>51</v>
      </c>
      <c r="Z12">
        <v>0</v>
      </c>
      <c r="AA12">
        <v>0</v>
      </c>
      <c r="AB12">
        <v>0</v>
      </c>
      <c r="AC12" t="s">
        <v>122</v>
      </c>
      <c r="AD12" t="s">
        <v>123</v>
      </c>
      <c r="AE12" t="s">
        <v>43</v>
      </c>
      <c r="AF12">
        <v>63</v>
      </c>
      <c r="AG12">
        <v>169</v>
      </c>
      <c r="AH12">
        <f>IF([2]!Table1[[#This Row],[الوزن]]&lt;&gt;"",[2]!Table1[[#This Row],[الوزن]]-([2]!Table1[[#This Row],[الطول]]-100),"")</f>
        <v>-3</v>
      </c>
      <c r="AJ12" t="s">
        <v>124</v>
      </c>
      <c r="AN12" t="s">
        <v>56</v>
      </c>
    </row>
    <row r="13" spans="1:40" ht="18.75" customHeight="1" x14ac:dyDescent="0.3">
      <c r="A13" s="1">
        <v>2019138305993</v>
      </c>
      <c r="B13" t="s">
        <v>125</v>
      </c>
      <c r="C13" t="s">
        <v>126</v>
      </c>
      <c r="D13" t="s">
        <v>42</v>
      </c>
      <c r="E13" t="s">
        <v>43</v>
      </c>
      <c r="F13">
        <v>159</v>
      </c>
      <c r="G13">
        <v>43692</v>
      </c>
      <c r="H13">
        <v>44482</v>
      </c>
      <c r="I13">
        <v>44482</v>
      </c>
      <c r="J13">
        <v>45981</v>
      </c>
      <c r="K13">
        <v>45981</v>
      </c>
      <c r="L13" t="s">
        <v>45</v>
      </c>
      <c r="M13" t="s">
        <v>46</v>
      </c>
      <c r="N13" t="s">
        <v>127</v>
      </c>
      <c r="O13" t="s">
        <v>128</v>
      </c>
      <c r="P13" t="s">
        <v>49</v>
      </c>
      <c r="R13">
        <v>3</v>
      </c>
      <c r="S13">
        <v>0</v>
      </c>
      <c r="T13">
        <v>0</v>
      </c>
      <c r="U13" t="s">
        <v>129</v>
      </c>
      <c r="W13">
        <v>30203191300354</v>
      </c>
      <c r="X13">
        <v>37306</v>
      </c>
      <c r="Y13" t="s">
        <v>51</v>
      </c>
      <c r="Z13">
        <v>0</v>
      </c>
      <c r="AA13">
        <v>0</v>
      </c>
      <c r="AB13">
        <v>0</v>
      </c>
      <c r="AC13" t="s">
        <v>130</v>
      </c>
      <c r="AD13" t="s">
        <v>131</v>
      </c>
      <c r="AE13" t="s">
        <v>64</v>
      </c>
      <c r="AF13">
        <v>72</v>
      </c>
      <c r="AG13">
        <v>175</v>
      </c>
      <c r="AH13">
        <f>IF([2]!Table1[[#This Row],[الوزن]]&lt;&gt;"",[2]!Table1[[#This Row],[الوزن]]-([2]!Table1[[#This Row],[الطول]]-100),"")</f>
        <v>208</v>
      </c>
      <c r="AJ13" t="s">
        <v>132</v>
      </c>
      <c r="AN13" t="s">
        <v>56</v>
      </c>
    </row>
    <row r="14" spans="1:40" ht="18.75" customHeight="1" x14ac:dyDescent="0.3">
      <c r="A14" s="1">
        <v>2005131100406</v>
      </c>
      <c r="B14" t="s">
        <v>57</v>
      </c>
      <c r="C14" t="s">
        <v>133</v>
      </c>
      <c r="D14" t="s">
        <v>134</v>
      </c>
      <c r="E14" t="s">
        <v>43</v>
      </c>
      <c r="F14">
        <v>134</v>
      </c>
      <c r="G14">
        <v>38549</v>
      </c>
      <c r="H14">
        <v>39023</v>
      </c>
      <c r="I14">
        <v>44743</v>
      </c>
      <c r="J14">
        <v>42686</v>
      </c>
      <c r="K14">
        <v>45220</v>
      </c>
      <c r="L14" t="s">
        <v>135</v>
      </c>
      <c r="M14" t="s">
        <v>136</v>
      </c>
      <c r="N14" t="s">
        <v>127</v>
      </c>
      <c r="O14" t="s">
        <v>137</v>
      </c>
      <c r="P14" t="s">
        <v>138</v>
      </c>
      <c r="R14">
        <v>5</v>
      </c>
      <c r="S14">
        <v>0</v>
      </c>
      <c r="T14">
        <v>0</v>
      </c>
      <c r="U14" t="s">
        <v>139</v>
      </c>
      <c r="V14">
        <v>1226432594</v>
      </c>
      <c r="W14" t="s">
        <v>140</v>
      </c>
      <c r="X14" t="s">
        <v>141</v>
      </c>
      <c r="Y14" t="s">
        <v>103</v>
      </c>
      <c r="Z14">
        <v>1</v>
      </c>
      <c r="AA14">
        <v>0</v>
      </c>
      <c r="AB14">
        <v>1</v>
      </c>
      <c r="AC14" t="s">
        <v>142</v>
      </c>
      <c r="AD14" t="s">
        <v>143</v>
      </c>
      <c r="AE14" t="s">
        <v>43</v>
      </c>
      <c r="AF14">
        <v>170</v>
      </c>
      <c r="AG14">
        <v>62</v>
      </c>
      <c r="AH14" t="e">
        <f>IF([2]!Table1[[#This Row],[الوزن]]&lt;&gt;"",[2]!Table1[[#This Row],[الوزن]]-([2]!Table1[[#This Row],[الطول]]-100),"")</f>
        <v>#VALUE!</v>
      </c>
      <c r="AJ14" t="s">
        <v>144</v>
      </c>
      <c r="AN14" t="s">
        <v>145</v>
      </c>
    </row>
    <row r="15" spans="1:40" ht="18.75" customHeight="1" x14ac:dyDescent="0.3">
      <c r="A15" s="1">
        <v>2021134703716</v>
      </c>
      <c r="B15" t="s">
        <v>125</v>
      </c>
      <c r="C15" t="s">
        <v>146</v>
      </c>
      <c r="D15" t="s">
        <v>42</v>
      </c>
      <c r="E15" t="s">
        <v>43</v>
      </c>
      <c r="F15">
        <v>150</v>
      </c>
      <c r="G15">
        <v>41510</v>
      </c>
      <c r="H15">
        <v>41983</v>
      </c>
      <c r="I15">
        <v>45658</v>
      </c>
      <c r="J15">
        <v>41847</v>
      </c>
      <c r="K15">
        <v>44154</v>
      </c>
      <c r="L15" t="s">
        <v>135</v>
      </c>
      <c r="M15" t="s">
        <v>147</v>
      </c>
      <c r="N15" t="s">
        <v>148</v>
      </c>
      <c r="O15" t="s">
        <v>79</v>
      </c>
      <c r="Q15" t="s">
        <v>138</v>
      </c>
      <c r="R15">
        <v>4</v>
      </c>
      <c r="S15">
        <v>0</v>
      </c>
      <c r="T15">
        <v>0</v>
      </c>
      <c r="U15" t="s">
        <v>149</v>
      </c>
      <c r="V15" t="s">
        <v>150</v>
      </c>
      <c r="W15" t="s">
        <v>151</v>
      </c>
      <c r="X15" t="s">
        <v>152</v>
      </c>
      <c r="Y15" t="s">
        <v>153</v>
      </c>
      <c r="AB15">
        <v>1</v>
      </c>
      <c r="AC15">
        <v>1</v>
      </c>
      <c r="AD15" t="s">
        <v>154</v>
      </c>
      <c r="AE15" t="s">
        <v>155</v>
      </c>
      <c r="AF15" t="s">
        <v>118</v>
      </c>
      <c r="AG15">
        <v>176</v>
      </c>
      <c r="AH15">
        <f>IF([2]!Table1[[#This Row],[الوزن]]&lt;&gt;"",[2]!Table1[[#This Row],[الوزن]]-([2]!Table1[[#This Row],[الطول]]-100),"")</f>
        <v>205</v>
      </c>
      <c r="AJ15" t="s">
        <v>156</v>
      </c>
      <c r="AN15" t="s">
        <v>56</v>
      </c>
    </row>
    <row r="16" spans="1:40" ht="18.75" customHeight="1" x14ac:dyDescent="0.3">
      <c r="A16" s="1">
        <v>2013130401890</v>
      </c>
      <c r="B16" t="s">
        <v>75</v>
      </c>
      <c r="C16" t="s">
        <v>157</v>
      </c>
      <c r="D16" t="s">
        <v>134</v>
      </c>
      <c r="E16" t="s">
        <v>43</v>
      </c>
      <c r="F16">
        <v>150</v>
      </c>
      <c r="G16">
        <v>41510</v>
      </c>
      <c r="H16">
        <v>41983</v>
      </c>
      <c r="I16">
        <v>45658</v>
      </c>
      <c r="J16">
        <v>41847</v>
      </c>
      <c r="K16">
        <v>44154</v>
      </c>
      <c r="L16" t="s">
        <v>135</v>
      </c>
      <c r="M16" t="s">
        <v>158</v>
      </c>
      <c r="N16" t="s">
        <v>148</v>
      </c>
      <c r="O16" t="s">
        <v>79</v>
      </c>
      <c r="Q16" t="s">
        <v>138</v>
      </c>
      <c r="R16">
        <v>4</v>
      </c>
      <c r="S16">
        <v>0</v>
      </c>
      <c r="T16">
        <v>0</v>
      </c>
      <c r="U16" t="s">
        <v>149</v>
      </c>
      <c r="V16" t="s">
        <v>150</v>
      </c>
      <c r="W16" t="s">
        <v>151</v>
      </c>
      <c r="X16" t="s">
        <v>152</v>
      </c>
      <c r="Y16" t="s">
        <v>103</v>
      </c>
      <c r="Z16">
        <v>2</v>
      </c>
      <c r="AA16">
        <v>1</v>
      </c>
      <c r="AB16">
        <v>1</v>
      </c>
      <c r="AC16" t="s">
        <v>154</v>
      </c>
      <c r="AD16" t="s">
        <v>155</v>
      </c>
      <c r="AE16" t="s">
        <v>118</v>
      </c>
      <c r="AF16">
        <v>176</v>
      </c>
      <c r="AG16">
        <v>71</v>
      </c>
      <c r="AH16">
        <f>IF([2]!Table1[[#This Row],[الوزن]]&lt;&gt;"",[2]!Table1[[#This Row],[الوزن]]-([2]!Table1[[#This Row],[الطول]]-100),"")</f>
        <v>199</v>
      </c>
      <c r="AJ16" t="s">
        <v>156</v>
      </c>
      <c r="AN16" t="s">
        <v>145</v>
      </c>
    </row>
    <row r="17" spans="1:40" ht="18.75" customHeight="1" x14ac:dyDescent="0.3">
      <c r="A17" s="1">
        <v>2015138305553</v>
      </c>
      <c r="B17" t="s">
        <v>106</v>
      </c>
      <c r="C17" t="s">
        <v>159</v>
      </c>
      <c r="D17" t="s">
        <v>134</v>
      </c>
      <c r="E17" t="s">
        <v>43</v>
      </c>
      <c r="F17">
        <v>153</v>
      </c>
      <c r="G17">
        <v>42030</v>
      </c>
      <c r="H17">
        <v>42501</v>
      </c>
      <c r="I17">
        <v>44562</v>
      </c>
      <c r="J17">
        <v>42823</v>
      </c>
      <c r="K17">
        <v>44133</v>
      </c>
      <c r="L17" t="s">
        <v>135</v>
      </c>
      <c r="M17" t="s">
        <v>160</v>
      </c>
      <c r="N17" t="s">
        <v>127</v>
      </c>
      <c r="O17" t="s">
        <v>161</v>
      </c>
      <c r="P17" t="s">
        <v>138</v>
      </c>
      <c r="R17">
        <v>2</v>
      </c>
      <c r="S17">
        <v>7</v>
      </c>
      <c r="T17">
        <v>0</v>
      </c>
      <c r="U17" t="s">
        <v>162</v>
      </c>
      <c r="V17">
        <v>1210724729</v>
      </c>
      <c r="W17" t="s">
        <v>163</v>
      </c>
      <c r="X17" t="s">
        <v>164</v>
      </c>
      <c r="Y17" t="s">
        <v>103</v>
      </c>
      <c r="Z17">
        <v>2</v>
      </c>
      <c r="AA17">
        <v>2</v>
      </c>
      <c r="AB17">
        <v>0</v>
      </c>
      <c r="AC17" t="s">
        <v>165</v>
      </c>
      <c r="AD17" t="s">
        <v>166</v>
      </c>
      <c r="AE17" t="s">
        <v>167</v>
      </c>
      <c r="AF17">
        <v>176</v>
      </c>
      <c r="AG17">
        <v>77</v>
      </c>
      <c r="AH17">
        <f>IF([2]!Table1[[#This Row],[الوزن]]&lt;&gt;"",[2]!Table1[[#This Row],[الوزن]]-([2]!Table1[[#This Row],[الطول]]-100),"")</f>
        <v>203</v>
      </c>
      <c r="AJ17" t="s">
        <v>168</v>
      </c>
      <c r="AN17" t="s">
        <v>145</v>
      </c>
    </row>
    <row r="18" spans="1:40" ht="18.75" customHeight="1" x14ac:dyDescent="0.3">
      <c r="A18" s="1">
        <v>2018138308072</v>
      </c>
      <c r="B18" t="s">
        <v>106</v>
      </c>
      <c r="C18" t="s">
        <v>169</v>
      </c>
      <c r="D18" t="s">
        <v>134</v>
      </c>
      <c r="E18" t="s">
        <v>43</v>
      </c>
      <c r="F18">
        <v>158</v>
      </c>
      <c r="G18">
        <v>43279</v>
      </c>
      <c r="H18">
        <v>44117</v>
      </c>
      <c r="I18">
        <v>46023</v>
      </c>
      <c r="J18">
        <v>45965</v>
      </c>
      <c r="K18">
        <v>45965</v>
      </c>
      <c r="L18" t="s">
        <v>135</v>
      </c>
      <c r="M18" t="s">
        <v>160</v>
      </c>
      <c r="N18" t="s">
        <v>127</v>
      </c>
      <c r="O18" t="s">
        <v>170</v>
      </c>
      <c r="Q18" t="s">
        <v>138</v>
      </c>
      <c r="R18">
        <v>3</v>
      </c>
      <c r="S18">
        <v>1</v>
      </c>
      <c r="T18">
        <v>0</v>
      </c>
      <c r="U18" t="s">
        <v>171</v>
      </c>
      <c r="V18">
        <v>1155821260</v>
      </c>
      <c r="W18" t="s">
        <v>172</v>
      </c>
      <c r="X18" t="s">
        <v>173</v>
      </c>
      <c r="Y18" t="s">
        <v>103</v>
      </c>
      <c r="Z18">
        <v>1</v>
      </c>
      <c r="AA18">
        <v>0</v>
      </c>
      <c r="AB18">
        <v>1</v>
      </c>
      <c r="AC18" t="s">
        <v>174</v>
      </c>
      <c r="AD18" t="s">
        <v>175</v>
      </c>
      <c r="AE18" t="s">
        <v>176</v>
      </c>
      <c r="AF18">
        <v>172</v>
      </c>
      <c r="AG18">
        <v>69</v>
      </c>
      <c r="AH18">
        <f>IF([2]!Table1[[#This Row],[الوزن]]&lt;&gt;"",[2]!Table1[[#This Row],[الوزن]]-([2]!Table1[[#This Row],[الطول]]-100),"")</f>
        <v>193</v>
      </c>
      <c r="AJ18" t="s">
        <v>177</v>
      </c>
      <c r="AN18" t="s">
        <v>145</v>
      </c>
    </row>
    <row r="19" spans="1:40" ht="18.75" customHeight="1" x14ac:dyDescent="0.3">
      <c r="A19" s="1">
        <v>2021138307415</v>
      </c>
      <c r="B19" t="s">
        <v>125</v>
      </c>
      <c r="C19" t="s">
        <v>178</v>
      </c>
      <c r="D19" t="s">
        <v>134</v>
      </c>
      <c r="E19" t="s">
        <v>43</v>
      </c>
      <c r="F19">
        <v>160</v>
      </c>
      <c r="G19">
        <v>44205</v>
      </c>
      <c r="H19">
        <v>45197</v>
      </c>
      <c r="I19">
        <v>45197</v>
      </c>
      <c r="J19">
        <v>45212</v>
      </c>
      <c r="K19">
        <v>45212</v>
      </c>
      <c r="L19" t="s">
        <v>135</v>
      </c>
      <c r="M19" t="s">
        <v>160</v>
      </c>
      <c r="N19" t="s">
        <v>127</v>
      </c>
      <c r="O19" t="s">
        <v>179</v>
      </c>
      <c r="Q19" t="s">
        <v>138</v>
      </c>
      <c r="R19">
        <v>0</v>
      </c>
      <c r="S19">
        <v>0</v>
      </c>
      <c r="T19">
        <v>0</v>
      </c>
      <c r="U19" t="s">
        <v>180</v>
      </c>
      <c r="V19">
        <v>1220762617015</v>
      </c>
      <c r="W19" t="s">
        <v>181</v>
      </c>
      <c r="X19" t="s">
        <v>182</v>
      </c>
      <c r="Y19" t="s">
        <v>153</v>
      </c>
      <c r="Z19">
        <v>0</v>
      </c>
      <c r="AA19">
        <v>0</v>
      </c>
      <c r="AB19">
        <v>0</v>
      </c>
      <c r="AC19" t="s">
        <v>183</v>
      </c>
      <c r="AD19" t="s">
        <v>184</v>
      </c>
      <c r="AE19" t="s">
        <v>54</v>
      </c>
      <c r="AF19">
        <v>170</v>
      </c>
      <c r="AG19">
        <v>77</v>
      </c>
      <c r="AH19">
        <f>IF([2]!Table1[[#This Row],[الوزن]]&lt;&gt;"",[2]!Table1[[#This Row],[الوزن]]-([2]!Table1[[#This Row],[الطول]]-100),"")</f>
        <v>201</v>
      </c>
      <c r="AJ19" t="s">
        <v>185</v>
      </c>
      <c r="AN19" t="s">
        <v>145</v>
      </c>
    </row>
    <row r="20" spans="1:40" ht="18.75" customHeight="1" x14ac:dyDescent="0.3">
      <c r="A20" s="1">
        <v>2021138316648</v>
      </c>
      <c r="B20" t="s">
        <v>125</v>
      </c>
      <c r="C20" t="s">
        <v>186</v>
      </c>
      <c r="D20" t="s">
        <v>134</v>
      </c>
      <c r="E20" t="s">
        <v>43</v>
      </c>
      <c r="F20">
        <v>161</v>
      </c>
      <c r="G20">
        <v>44546</v>
      </c>
      <c r="H20">
        <v>45581</v>
      </c>
      <c r="I20">
        <v>45581</v>
      </c>
      <c r="J20">
        <v>45580</v>
      </c>
      <c r="K20">
        <v>45580</v>
      </c>
      <c r="L20" t="s">
        <v>135</v>
      </c>
      <c r="M20" t="s">
        <v>160</v>
      </c>
      <c r="N20" t="s">
        <v>127</v>
      </c>
      <c r="O20" t="s">
        <v>187</v>
      </c>
      <c r="Q20" t="s">
        <v>138</v>
      </c>
      <c r="R20">
        <v>0</v>
      </c>
      <c r="S20">
        <v>0</v>
      </c>
      <c r="T20">
        <v>0</v>
      </c>
      <c r="U20" t="s">
        <v>188</v>
      </c>
      <c r="V20">
        <v>1010771026</v>
      </c>
      <c r="W20" t="s">
        <v>189</v>
      </c>
      <c r="X20" t="s">
        <v>190</v>
      </c>
      <c r="Y20" t="s">
        <v>153</v>
      </c>
      <c r="Z20">
        <v>0</v>
      </c>
      <c r="AA20">
        <v>0</v>
      </c>
      <c r="AB20">
        <v>0</v>
      </c>
      <c r="AC20" t="s">
        <v>191</v>
      </c>
      <c r="AD20" t="s">
        <v>192</v>
      </c>
      <c r="AE20" t="s">
        <v>43</v>
      </c>
      <c r="AF20">
        <v>176</v>
      </c>
      <c r="AG20">
        <v>75</v>
      </c>
      <c r="AH20">
        <f>IF([2]!Table1[[#This Row],[الوزن]]&lt;&gt;"",[2]!Table1[[#This Row],[الوزن]]-([2]!Table1[[#This Row],[الطول]]-100),"")</f>
        <v>206</v>
      </c>
      <c r="AJ20" t="s">
        <v>193</v>
      </c>
      <c r="AN20" t="s">
        <v>145</v>
      </c>
    </row>
    <row r="21" spans="1:40" ht="18.75" customHeight="1" x14ac:dyDescent="0.3">
      <c r="A21" s="1">
        <v>2023138307883</v>
      </c>
      <c r="B21" t="s">
        <v>125</v>
      </c>
      <c r="C21" t="s">
        <v>194</v>
      </c>
      <c r="D21" t="s">
        <v>134</v>
      </c>
      <c r="E21" t="s">
        <v>43</v>
      </c>
      <c r="F21">
        <v>162</v>
      </c>
      <c r="G21">
        <v>44941</v>
      </c>
      <c r="H21">
        <v>45976</v>
      </c>
      <c r="I21">
        <v>45967</v>
      </c>
      <c r="J21">
        <v>45967</v>
      </c>
      <c r="K21">
        <v>45967</v>
      </c>
      <c r="L21" t="s">
        <v>135</v>
      </c>
      <c r="M21" t="s">
        <v>160</v>
      </c>
      <c r="N21" t="s">
        <v>127</v>
      </c>
      <c r="O21" t="s">
        <v>179</v>
      </c>
      <c r="Q21" t="s">
        <v>138</v>
      </c>
      <c r="R21">
        <v>0</v>
      </c>
      <c r="S21">
        <v>0</v>
      </c>
      <c r="T21">
        <v>0</v>
      </c>
      <c r="U21" t="s">
        <v>195</v>
      </c>
      <c r="V21">
        <v>10663463976</v>
      </c>
      <c r="W21" t="s">
        <v>196</v>
      </c>
      <c r="X21" t="s">
        <v>197</v>
      </c>
      <c r="Y21" t="s">
        <v>103</v>
      </c>
      <c r="Z21">
        <v>1</v>
      </c>
      <c r="AA21">
        <v>1</v>
      </c>
      <c r="AB21">
        <v>0</v>
      </c>
      <c r="AC21" t="s">
        <v>198</v>
      </c>
      <c r="AD21" t="s">
        <v>199</v>
      </c>
      <c r="AE21" t="s">
        <v>200</v>
      </c>
      <c r="AF21">
        <v>172</v>
      </c>
      <c r="AG21">
        <v>66</v>
      </c>
      <c r="AH21">
        <f>IF([2]!Table1[[#This Row],[الوزن]]&lt;&gt;"",[2]!Table1[[#This Row],[الوزن]]-([2]!Table1[[#This Row],[الطول]]-100),"")</f>
        <v>203</v>
      </c>
      <c r="AJ21" t="s">
        <v>201</v>
      </c>
      <c r="AN21" t="s">
        <v>145</v>
      </c>
    </row>
    <row r="22" spans="1:40" ht="18.75" customHeight="1" x14ac:dyDescent="0.3">
      <c r="A22" s="1">
        <v>2007138311317</v>
      </c>
      <c r="B22" t="s">
        <v>57</v>
      </c>
      <c r="C22" t="s">
        <v>202</v>
      </c>
      <c r="D22" t="s">
        <v>203</v>
      </c>
      <c r="E22" t="s">
        <v>43</v>
      </c>
      <c r="F22">
        <v>138</v>
      </c>
      <c r="G22">
        <v>39284</v>
      </c>
      <c r="H22">
        <v>39759</v>
      </c>
      <c r="I22">
        <v>45292</v>
      </c>
      <c r="J22">
        <v>44859</v>
      </c>
      <c r="K22">
        <v>44859</v>
      </c>
      <c r="L22" t="s">
        <v>135</v>
      </c>
      <c r="M22" t="s">
        <v>160</v>
      </c>
      <c r="N22" t="s">
        <v>127</v>
      </c>
      <c r="O22" t="s">
        <v>204</v>
      </c>
      <c r="Q22" t="s">
        <v>138</v>
      </c>
      <c r="R22">
        <v>8</v>
      </c>
      <c r="S22">
        <v>0</v>
      </c>
      <c r="T22">
        <v>0</v>
      </c>
      <c r="U22" t="s">
        <v>205</v>
      </c>
      <c r="V22">
        <v>1149600082</v>
      </c>
      <c r="W22" t="s">
        <v>206</v>
      </c>
      <c r="X22" t="s">
        <v>207</v>
      </c>
      <c r="Y22" t="s">
        <v>103</v>
      </c>
      <c r="Z22">
        <v>1</v>
      </c>
      <c r="AA22">
        <v>1</v>
      </c>
      <c r="AB22">
        <v>0</v>
      </c>
      <c r="AC22" t="s">
        <v>208</v>
      </c>
      <c r="AD22" t="s">
        <v>209</v>
      </c>
      <c r="AE22" t="s">
        <v>200</v>
      </c>
      <c r="AF22">
        <v>168</v>
      </c>
      <c r="AG22">
        <v>65</v>
      </c>
      <c r="AH22">
        <f>IF([2]!Table1[[#This Row],[الوزن]]&lt;&gt;"",[2]!Table1[[#This Row],[الوزن]]-([2]!Table1[[#This Row],[الطول]]-100),"")</f>
        <v>190</v>
      </c>
      <c r="AN22" t="s">
        <v>145</v>
      </c>
    </row>
    <row r="23" spans="1:40" ht="18.75" customHeight="1" x14ac:dyDescent="0.3">
      <c r="A23" s="1">
        <v>1999138301125</v>
      </c>
      <c r="B23" t="s">
        <v>210</v>
      </c>
      <c r="C23" t="s">
        <v>211</v>
      </c>
      <c r="D23" t="s">
        <v>212</v>
      </c>
      <c r="E23" t="s">
        <v>43</v>
      </c>
      <c r="F23">
        <v>121</v>
      </c>
      <c r="G23">
        <v>36197</v>
      </c>
      <c r="H23">
        <v>36667</v>
      </c>
      <c r="I23">
        <v>44562</v>
      </c>
      <c r="J23">
        <v>44140</v>
      </c>
      <c r="K23">
        <v>44140</v>
      </c>
      <c r="L23" t="s">
        <v>135</v>
      </c>
      <c r="M23" t="s">
        <v>160</v>
      </c>
      <c r="N23" t="s">
        <v>127</v>
      </c>
      <c r="O23" t="s">
        <v>179</v>
      </c>
      <c r="P23" t="s">
        <v>138</v>
      </c>
      <c r="R23">
        <v>22</v>
      </c>
      <c r="S23">
        <v>1</v>
      </c>
      <c r="T23">
        <v>1</v>
      </c>
      <c r="U23" t="s">
        <v>213</v>
      </c>
      <c r="V23">
        <v>1097215885</v>
      </c>
      <c r="W23" t="s">
        <v>214</v>
      </c>
      <c r="X23" t="s">
        <v>215</v>
      </c>
      <c r="Y23" t="s">
        <v>103</v>
      </c>
      <c r="Z23">
        <v>2</v>
      </c>
      <c r="AA23">
        <v>1</v>
      </c>
      <c r="AB23">
        <v>1</v>
      </c>
      <c r="AC23" t="s">
        <v>216</v>
      </c>
      <c r="AD23" t="s">
        <v>217</v>
      </c>
      <c r="AE23" t="s">
        <v>73</v>
      </c>
      <c r="AF23">
        <v>175</v>
      </c>
      <c r="AG23">
        <v>85</v>
      </c>
      <c r="AH23">
        <f>IF([2]!Table1[[#This Row],[الوزن]]&lt;&gt;"",[2]!Table1[[#This Row],[الوزن]]-([2]!Table1[[#This Row],[الطول]]-100),"")</f>
        <v>195</v>
      </c>
      <c r="AJ23" t="s">
        <v>218</v>
      </c>
      <c r="AN23" t="s">
        <v>145</v>
      </c>
    </row>
    <row r="24" spans="1:40" ht="18.75" customHeight="1" x14ac:dyDescent="0.3">
      <c r="A24" s="1">
        <v>2011138307218</v>
      </c>
      <c r="B24" t="s">
        <v>75</v>
      </c>
      <c r="C24" t="s">
        <v>219</v>
      </c>
      <c r="D24" t="s">
        <v>212</v>
      </c>
      <c r="E24" t="s">
        <v>43</v>
      </c>
      <c r="F24">
        <v>147</v>
      </c>
      <c r="G24">
        <v>40936</v>
      </c>
      <c r="H24">
        <v>41353</v>
      </c>
      <c r="I24">
        <v>44927</v>
      </c>
      <c r="J24">
        <v>41299</v>
      </c>
      <c r="K24">
        <v>45974</v>
      </c>
      <c r="L24" t="s">
        <v>88</v>
      </c>
      <c r="M24" t="s">
        <v>160</v>
      </c>
      <c r="N24" t="s">
        <v>47</v>
      </c>
      <c r="O24" t="s">
        <v>220</v>
      </c>
      <c r="Q24" t="s">
        <v>138</v>
      </c>
      <c r="R24">
        <v>0</v>
      </c>
      <c r="S24">
        <v>0</v>
      </c>
      <c r="T24">
        <v>0</v>
      </c>
      <c r="U24" t="s">
        <v>221</v>
      </c>
      <c r="V24">
        <v>1072432818</v>
      </c>
      <c r="W24" t="s">
        <v>222</v>
      </c>
      <c r="X24" t="s">
        <v>223</v>
      </c>
      <c r="Y24" t="s">
        <v>103</v>
      </c>
      <c r="Z24">
        <v>5</v>
      </c>
      <c r="AA24">
        <v>3</v>
      </c>
      <c r="AB24">
        <v>2</v>
      </c>
      <c r="AC24" t="s">
        <v>224</v>
      </c>
      <c r="AD24" t="s">
        <v>225</v>
      </c>
      <c r="AE24" t="s">
        <v>43</v>
      </c>
      <c r="AF24">
        <v>177</v>
      </c>
      <c r="AG24">
        <v>82</v>
      </c>
      <c r="AH24">
        <f>IF([2]!Table1[[#This Row],[الوزن]]&lt;&gt;"",[2]!Table1[[#This Row],[الوزن]]-([2]!Table1[[#This Row],[الطول]]-100),"")</f>
        <v>199</v>
      </c>
      <c r="AJ24" t="s">
        <v>226</v>
      </c>
      <c r="AN24" t="s">
        <v>145</v>
      </c>
    </row>
    <row r="25" spans="1:40" ht="18.75" customHeight="1" x14ac:dyDescent="0.3">
      <c r="A25" s="1">
        <v>2012134702006</v>
      </c>
      <c r="B25" t="s">
        <v>57</v>
      </c>
      <c r="C25" t="s">
        <v>227</v>
      </c>
      <c r="D25" t="s">
        <v>212</v>
      </c>
      <c r="E25" t="s">
        <v>43</v>
      </c>
      <c r="F25">
        <v>147</v>
      </c>
      <c r="G25">
        <v>40936</v>
      </c>
      <c r="H25">
        <v>41407</v>
      </c>
      <c r="I25">
        <v>45108</v>
      </c>
      <c r="J25">
        <v>45588</v>
      </c>
      <c r="K25">
        <v>45588</v>
      </c>
      <c r="L25" t="s">
        <v>135</v>
      </c>
      <c r="M25" t="s">
        <v>160</v>
      </c>
      <c r="N25" t="s">
        <v>127</v>
      </c>
      <c r="O25" t="s">
        <v>228</v>
      </c>
      <c r="P25" t="s">
        <v>138</v>
      </c>
      <c r="R25">
        <v>10</v>
      </c>
      <c r="S25">
        <v>0</v>
      </c>
      <c r="T25">
        <v>0</v>
      </c>
      <c r="U25" t="s">
        <v>229</v>
      </c>
      <c r="V25">
        <v>1063323257</v>
      </c>
      <c r="W25" t="s">
        <v>230</v>
      </c>
      <c r="X25" t="s">
        <v>231</v>
      </c>
      <c r="Y25" t="s">
        <v>103</v>
      </c>
      <c r="Z25">
        <v>3</v>
      </c>
      <c r="AA25">
        <v>3</v>
      </c>
      <c r="AB25">
        <v>0</v>
      </c>
      <c r="AC25" t="s">
        <v>232</v>
      </c>
      <c r="AD25" t="s">
        <v>233</v>
      </c>
      <c r="AE25" t="s">
        <v>234</v>
      </c>
      <c r="AF25">
        <v>179</v>
      </c>
      <c r="AG25">
        <v>80</v>
      </c>
      <c r="AH25">
        <f>IF([2]!Table1[[#This Row],[الوزن]]&lt;&gt;"",[2]!Table1[[#This Row],[الوزن]]-([2]!Table1[[#This Row],[الطول]]-100),"")</f>
        <v>197</v>
      </c>
      <c r="AJ25" t="s">
        <v>235</v>
      </c>
      <c r="AN25" t="s">
        <v>145</v>
      </c>
    </row>
    <row r="26" spans="1:40" ht="18.75" customHeight="1" x14ac:dyDescent="0.3">
      <c r="A26" s="1">
        <v>2012134791736</v>
      </c>
      <c r="B26" t="s">
        <v>66</v>
      </c>
      <c r="C26" t="s">
        <v>236</v>
      </c>
      <c r="D26" t="s">
        <v>212</v>
      </c>
      <c r="E26" t="s">
        <v>43</v>
      </c>
      <c r="F26">
        <v>145</v>
      </c>
      <c r="G26">
        <v>40558</v>
      </c>
      <c r="H26">
        <v>41039</v>
      </c>
      <c r="I26">
        <v>44743</v>
      </c>
      <c r="J26">
        <v>41271</v>
      </c>
      <c r="K26">
        <v>45985</v>
      </c>
      <c r="L26" t="s">
        <v>135</v>
      </c>
      <c r="M26" t="s">
        <v>160</v>
      </c>
      <c r="N26" t="s">
        <v>127</v>
      </c>
      <c r="O26" t="s">
        <v>179</v>
      </c>
      <c r="P26" t="s">
        <v>138</v>
      </c>
      <c r="R26">
        <v>7</v>
      </c>
      <c r="S26">
        <v>0</v>
      </c>
      <c r="T26">
        <v>0</v>
      </c>
      <c r="U26" t="s">
        <v>237</v>
      </c>
      <c r="V26">
        <v>1030242974</v>
      </c>
      <c r="W26" t="s">
        <v>238</v>
      </c>
      <c r="X26" t="s">
        <v>239</v>
      </c>
      <c r="Y26" t="s">
        <v>103</v>
      </c>
      <c r="Z26">
        <v>3</v>
      </c>
      <c r="AA26">
        <v>2</v>
      </c>
      <c r="AB26">
        <v>1</v>
      </c>
      <c r="AC26" t="s">
        <v>240</v>
      </c>
      <c r="AD26" t="s">
        <v>241</v>
      </c>
      <c r="AE26" t="s">
        <v>242</v>
      </c>
      <c r="AF26">
        <v>167</v>
      </c>
      <c r="AG26">
        <v>70</v>
      </c>
      <c r="AH26">
        <f>IF([2]!Table1[[#This Row],[الوزن]]&lt;&gt;"",[2]!Table1[[#This Row],[الوزن]]-([2]!Table1[[#This Row],[الطول]]-100),"")</f>
        <v>205</v>
      </c>
      <c r="AJ26" t="s">
        <v>243</v>
      </c>
      <c r="AN26" t="s">
        <v>145</v>
      </c>
    </row>
    <row r="27" spans="1:40" ht="18.75" customHeight="1" x14ac:dyDescent="0.3">
      <c r="A27" s="1">
        <v>2012138309767</v>
      </c>
      <c r="B27" t="s">
        <v>75</v>
      </c>
      <c r="C27" t="s">
        <v>244</v>
      </c>
      <c r="D27" t="s">
        <v>212</v>
      </c>
      <c r="E27" t="s">
        <v>43</v>
      </c>
      <c r="F27" t="s">
        <v>245</v>
      </c>
      <c r="G27">
        <v>41154</v>
      </c>
      <c r="H27">
        <v>41155</v>
      </c>
      <c r="I27">
        <v>44927</v>
      </c>
      <c r="J27">
        <v>41492</v>
      </c>
      <c r="K27">
        <v>41492</v>
      </c>
      <c r="L27" t="s">
        <v>135</v>
      </c>
      <c r="M27" t="s">
        <v>160</v>
      </c>
      <c r="N27" t="s">
        <v>246</v>
      </c>
      <c r="O27" t="s">
        <v>247</v>
      </c>
      <c r="P27" t="s">
        <v>138</v>
      </c>
      <c r="R27">
        <v>10</v>
      </c>
      <c r="S27">
        <v>0</v>
      </c>
      <c r="T27">
        <v>0</v>
      </c>
      <c r="U27" t="s">
        <v>248</v>
      </c>
      <c r="V27">
        <v>1093866252</v>
      </c>
      <c r="W27" t="s">
        <v>249</v>
      </c>
      <c r="X27" t="s">
        <v>250</v>
      </c>
      <c r="Y27" t="s">
        <v>103</v>
      </c>
      <c r="Z27">
        <v>3</v>
      </c>
      <c r="AA27">
        <v>3</v>
      </c>
      <c r="AB27">
        <v>0</v>
      </c>
      <c r="AC27" t="s">
        <v>251</v>
      </c>
      <c r="AD27" t="s">
        <v>252</v>
      </c>
      <c r="AE27" t="s">
        <v>73</v>
      </c>
      <c r="AF27">
        <v>180</v>
      </c>
      <c r="AG27">
        <v>75</v>
      </c>
      <c r="AH27">
        <f>IF([2]!Table1[[#This Row],[الوزن]]&lt;&gt;"",[2]!Table1[[#This Row],[الوزن]]-([2]!Table1[[#This Row],[الطول]]-100),"")</f>
        <v>214</v>
      </c>
      <c r="AJ27" t="s">
        <v>253</v>
      </c>
      <c r="AN27" t="s">
        <v>145</v>
      </c>
    </row>
    <row r="28" spans="1:40" ht="18.75" customHeight="1" x14ac:dyDescent="0.3">
      <c r="A28" s="1">
        <v>2014134792475</v>
      </c>
      <c r="B28" t="s">
        <v>66</v>
      </c>
      <c r="C28" t="s">
        <v>254</v>
      </c>
      <c r="D28" t="s">
        <v>212</v>
      </c>
      <c r="E28" t="s">
        <v>43</v>
      </c>
      <c r="F28" t="s">
        <v>255</v>
      </c>
      <c r="G28">
        <v>41883</v>
      </c>
      <c r="H28">
        <v>41884</v>
      </c>
      <c r="I28">
        <v>45658</v>
      </c>
      <c r="J28">
        <v>45584</v>
      </c>
      <c r="K28">
        <v>45584</v>
      </c>
      <c r="L28" t="s">
        <v>135</v>
      </c>
      <c r="M28" t="s">
        <v>160</v>
      </c>
      <c r="N28" t="s">
        <v>246</v>
      </c>
      <c r="O28" t="s">
        <v>247</v>
      </c>
      <c r="Q28" t="s">
        <v>138</v>
      </c>
      <c r="R28">
        <v>8</v>
      </c>
      <c r="S28">
        <v>0</v>
      </c>
      <c r="T28">
        <v>0</v>
      </c>
      <c r="U28" t="s">
        <v>256</v>
      </c>
      <c r="V28">
        <v>1554077624</v>
      </c>
      <c r="W28" t="s">
        <v>257</v>
      </c>
      <c r="X28" t="s">
        <v>258</v>
      </c>
      <c r="Y28" t="s">
        <v>103</v>
      </c>
      <c r="Z28">
        <v>2</v>
      </c>
      <c r="AA28">
        <v>0</v>
      </c>
      <c r="AB28">
        <v>2</v>
      </c>
      <c r="AC28" t="s">
        <v>259</v>
      </c>
      <c r="AD28" t="s">
        <v>242</v>
      </c>
      <c r="AE28" t="s">
        <v>242</v>
      </c>
      <c r="AF28">
        <v>176</v>
      </c>
      <c r="AG28">
        <v>62</v>
      </c>
      <c r="AH28">
        <f>IF([2]!Table1[[#This Row],[الوزن]]&lt;&gt;"",[2]!Table1[[#This Row],[الوزن]]-([2]!Table1[[#This Row],[الطول]]-100),"")</f>
        <v>195</v>
      </c>
      <c r="AJ28" t="s">
        <v>260</v>
      </c>
      <c r="AN28" t="s">
        <v>145</v>
      </c>
    </row>
    <row r="29" spans="1:40" ht="18.75" customHeight="1" x14ac:dyDescent="0.3">
      <c r="A29" s="1">
        <v>2015138318077</v>
      </c>
      <c r="B29" t="s">
        <v>106</v>
      </c>
      <c r="C29" t="s">
        <v>261</v>
      </c>
      <c r="D29" t="s">
        <v>212</v>
      </c>
      <c r="E29" t="s">
        <v>43</v>
      </c>
      <c r="F29" t="s">
        <v>262</v>
      </c>
      <c r="G29">
        <v>43040</v>
      </c>
      <c r="H29">
        <v>43683</v>
      </c>
      <c r="I29">
        <v>45658</v>
      </c>
      <c r="J29">
        <v>45586</v>
      </c>
      <c r="K29">
        <v>45586</v>
      </c>
      <c r="L29" t="s">
        <v>263</v>
      </c>
      <c r="M29" t="s">
        <v>264</v>
      </c>
      <c r="N29" t="s">
        <v>127</v>
      </c>
      <c r="O29" t="s">
        <v>265</v>
      </c>
      <c r="Q29" t="s">
        <v>138</v>
      </c>
      <c r="R29">
        <v>1</v>
      </c>
      <c r="S29">
        <v>0</v>
      </c>
      <c r="T29">
        <v>0</v>
      </c>
      <c r="U29" t="s">
        <v>266</v>
      </c>
      <c r="V29" t="s">
        <v>267</v>
      </c>
      <c r="W29" t="s">
        <v>268</v>
      </c>
      <c r="X29" t="s">
        <v>269</v>
      </c>
      <c r="Y29" t="s">
        <v>103</v>
      </c>
      <c r="Z29">
        <v>2</v>
      </c>
      <c r="AA29">
        <v>1</v>
      </c>
      <c r="AB29">
        <v>1</v>
      </c>
      <c r="AC29" t="s">
        <v>270</v>
      </c>
      <c r="AD29" t="s">
        <v>271</v>
      </c>
      <c r="AE29" t="s">
        <v>73</v>
      </c>
      <c r="AF29">
        <v>170</v>
      </c>
      <c r="AG29">
        <v>75</v>
      </c>
      <c r="AH29">
        <f>IF([2]!Table1[[#This Row],[الوزن]]&lt;&gt;"",[2]!Table1[[#This Row],[الوزن]]-([2]!Table1[[#This Row],[الطول]]-100),"")</f>
        <v>203</v>
      </c>
      <c r="AJ29" t="s">
        <v>272</v>
      </c>
      <c r="AN29" t="s">
        <v>145</v>
      </c>
    </row>
    <row r="30" spans="1:40" ht="18.75" customHeight="1" x14ac:dyDescent="0.3">
      <c r="A30" s="1">
        <v>2015138325999</v>
      </c>
      <c r="B30" t="s">
        <v>106</v>
      </c>
      <c r="C30" t="s">
        <v>273</v>
      </c>
      <c r="D30" t="s">
        <v>212</v>
      </c>
      <c r="E30" t="s">
        <v>43</v>
      </c>
      <c r="F30">
        <v>155</v>
      </c>
      <c r="G30">
        <v>42369</v>
      </c>
      <c r="H30">
        <v>42932</v>
      </c>
      <c r="I30">
        <v>44927</v>
      </c>
      <c r="J30">
        <v>44859</v>
      </c>
      <c r="K30">
        <v>44859</v>
      </c>
      <c r="L30" t="s">
        <v>135</v>
      </c>
      <c r="M30" t="s">
        <v>160</v>
      </c>
      <c r="N30" t="s">
        <v>127</v>
      </c>
      <c r="O30" t="s">
        <v>161</v>
      </c>
      <c r="P30" t="s">
        <v>138</v>
      </c>
      <c r="R30">
        <v>1</v>
      </c>
      <c r="S30">
        <v>1</v>
      </c>
      <c r="T30">
        <v>0</v>
      </c>
      <c r="U30" t="s">
        <v>274</v>
      </c>
      <c r="V30" t="s">
        <v>275</v>
      </c>
      <c r="W30" t="s">
        <v>276</v>
      </c>
      <c r="X30" t="s">
        <v>277</v>
      </c>
      <c r="Y30" t="s">
        <v>103</v>
      </c>
      <c r="Z30">
        <v>1</v>
      </c>
      <c r="AA30">
        <v>1</v>
      </c>
      <c r="AB30">
        <v>0</v>
      </c>
      <c r="AC30" t="s">
        <v>278</v>
      </c>
      <c r="AD30" t="s">
        <v>279</v>
      </c>
      <c r="AE30" t="s">
        <v>73</v>
      </c>
      <c r="AF30">
        <v>158</v>
      </c>
      <c r="AG30">
        <v>55</v>
      </c>
      <c r="AH30">
        <f>IF([2]!Table1[[#This Row],[الوزن]]&lt;&gt;"",[2]!Table1[[#This Row],[الوزن]]-([2]!Table1[[#This Row],[الطول]]-100),"")</f>
        <v>220</v>
      </c>
      <c r="AJ30" t="s">
        <v>280</v>
      </c>
      <c r="AN30" t="s">
        <v>145</v>
      </c>
    </row>
    <row r="31" spans="1:40" ht="18.75" customHeight="1" x14ac:dyDescent="0.3">
      <c r="A31" s="1">
        <v>2017132702769</v>
      </c>
      <c r="B31" t="s">
        <v>75</v>
      </c>
      <c r="C31" t="s">
        <v>281</v>
      </c>
      <c r="D31" t="s">
        <v>212</v>
      </c>
      <c r="E31" t="s">
        <v>43</v>
      </c>
      <c r="F31">
        <v>155</v>
      </c>
      <c r="G31">
        <v>42369</v>
      </c>
      <c r="H31">
        <v>42932</v>
      </c>
      <c r="I31">
        <v>44927</v>
      </c>
      <c r="J31">
        <v>44868</v>
      </c>
      <c r="K31">
        <v>44868</v>
      </c>
      <c r="L31" t="s">
        <v>135</v>
      </c>
      <c r="M31" t="s">
        <v>160</v>
      </c>
      <c r="N31" t="s">
        <v>127</v>
      </c>
      <c r="O31" t="s">
        <v>179</v>
      </c>
      <c r="P31" t="s">
        <v>138</v>
      </c>
      <c r="R31">
        <v>0</v>
      </c>
      <c r="S31">
        <v>0</v>
      </c>
      <c r="T31">
        <v>0</v>
      </c>
      <c r="U31" t="s">
        <v>282</v>
      </c>
      <c r="V31">
        <v>1091678783</v>
      </c>
      <c r="W31" t="s">
        <v>283</v>
      </c>
      <c r="X31" t="s">
        <v>284</v>
      </c>
      <c r="Y31" t="s">
        <v>103</v>
      </c>
      <c r="Z31">
        <v>1</v>
      </c>
      <c r="AA31">
        <v>1</v>
      </c>
      <c r="AB31">
        <v>0</v>
      </c>
      <c r="AC31" t="s">
        <v>285</v>
      </c>
      <c r="AD31" t="s">
        <v>155</v>
      </c>
      <c r="AE31" t="s">
        <v>118</v>
      </c>
      <c r="AF31">
        <v>182</v>
      </c>
      <c r="AG31">
        <v>62</v>
      </c>
      <c r="AH31">
        <f>IF([2]!Table1[[#This Row],[الوزن]]&lt;&gt;"",[2]!Table1[[#This Row],[الوزن]]-([2]!Table1[[#This Row],[الطول]]-100),"")</f>
        <v>196</v>
      </c>
      <c r="AJ31" t="s">
        <v>286</v>
      </c>
      <c r="AN31" t="s">
        <v>145</v>
      </c>
    </row>
    <row r="32" spans="1:40" ht="18.75" customHeight="1" x14ac:dyDescent="0.3">
      <c r="A32" s="1">
        <v>2019130403597</v>
      </c>
      <c r="B32" t="s">
        <v>125</v>
      </c>
      <c r="C32" t="s">
        <v>287</v>
      </c>
      <c r="D32" t="s">
        <v>212</v>
      </c>
      <c r="E32" t="s">
        <v>43</v>
      </c>
      <c r="F32">
        <v>159</v>
      </c>
      <c r="G32">
        <v>43692</v>
      </c>
      <c r="H32">
        <v>44481</v>
      </c>
      <c r="I32">
        <v>44481</v>
      </c>
      <c r="J32">
        <v>44508</v>
      </c>
      <c r="K32">
        <v>44508</v>
      </c>
      <c r="L32" t="s">
        <v>135</v>
      </c>
      <c r="M32" t="s">
        <v>158</v>
      </c>
      <c r="N32" t="s">
        <v>148</v>
      </c>
      <c r="O32" t="s">
        <v>79</v>
      </c>
      <c r="Q32" t="s">
        <v>138</v>
      </c>
      <c r="R32">
        <v>0</v>
      </c>
      <c r="S32">
        <v>0</v>
      </c>
      <c r="T32">
        <v>0</v>
      </c>
      <c r="U32" t="s">
        <v>288</v>
      </c>
      <c r="V32">
        <v>1204459595</v>
      </c>
      <c r="W32" t="s">
        <v>289</v>
      </c>
      <c r="X32" t="s">
        <v>290</v>
      </c>
      <c r="Y32" t="s">
        <v>51</v>
      </c>
      <c r="Z32">
        <v>0</v>
      </c>
      <c r="AA32">
        <v>0</v>
      </c>
      <c r="AB32">
        <v>0</v>
      </c>
      <c r="AD32" t="s">
        <v>225</v>
      </c>
      <c r="AE32" t="s">
        <v>43</v>
      </c>
      <c r="AF32">
        <v>168</v>
      </c>
      <c r="AG32">
        <v>72</v>
      </c>
      <c r="AH32">
        <f>IF([2]!Table1[[#This Row],[الوزن]]&lt;&gt;"",[2]!Table1[[#This Row],[الوزن]]-([2]!Table1[[#This Row],[الطول]]-100),"")</f>
        <v>195</v>
      </c>
      <c r="AJ32" t="s">
        <v>291</v>
      </c>
      <c r="AN32" t="s">
        <v>145</v>
      </c>
    </row>
    <row r="33" spans="1:40" ht="18.75" customHeight="1" x14ac:dyDescent="0.3">
      <c r="A33" s="1">
        <v>2008138309732</v>
      </c>
      <c r="B33" t="s">
        <v>57</v>
      </c>
      <c r="C33" t="s">
        <v>292</v>
      </c>
      <c r="D33" t="s">
        <v>203</v>
      </c>
      <c r="E33" t="s">
        <v>43</v>
      </c>
      <c r="F33">
        <v>140</v>
      </c>
      <c r="G33">
        <v>39655</v>
      </c>
      <c r="H33">
        <v>40128</v>
      </c>
      <c r="I33">
        <v>45658</v>
      </c>
      <c r="J33">
        <v>42359</v>
      </c>
      <c r="K33">
        <v>42359</v>
      </c>
      <c r="L33" t="s">
        <v>88</v>
      </c>
      <c r="M33" t="s">
        <v>160</v>
      </c>
      <c r="N33" t="s">
        <v>47</v>
      </c>
      <c r="O33" t="s">
        <v>179</v>
      </c>
      <c r="Q33" t="s">
        <v>138</v>
      </c>
      <c r="R33">
        <v>0</v>
      </c>
      <c r="S33">
        <v>0</v>
      </c>
      <c r="T33">
        <v>0</v>
      </c>
      <c r="U33" t="s">
        <v>293</v>
      </c>
      <c r="V33">
        <v>1553040213</v>
      </c>
      <c r="W33" t="s">
        <v>294</v>
      </c>
      <c r="X33" t="s">
        <v>295</v>
      </c>
      <c r="Y33" t="s">
        <v>51</v>
      </c>
      <c r="Z33">
        <v>0</v>
      </c>
      <c r="AA33">
        <v>0</v>
      </c>
      <c r="AB33">
        <v>0</v>
      </c>
      <c r="AC33" t="s">
        <v>296</v>
      </c>
      <c r="AD33" t="s">
        <v>297</v>
      </c>
      <c r="AE33" t="s">
        <v>64</v>
      </c>
      <c r="AF33">
        <v>177</v>
      </c>
      <c r="AG33">
        <v>82</v>
      </c>
      <c r="AH33">
        <f>IF([2]!Table1[[#This Row],[الوزن]]&lt;&gt;"",[2]!Table1[[#This Row],[الوزن]]-([2]!Table1[[#This Row],[الطول]]-100),"")</f>
        <v>201</v>
      </c>
      <c r="AJ33" t="s">
        <v>298</v>
      </c>
      <c r="AN33" t="s">
        <v>145</v>
      </c>
    </row>
    <row r="34" spans="1:40" ht="18.75" customHeight="1" x14ac:dyDescent="0.3">
      <c r="A34" s="1">
        <v>2015134704816</v>
      </c>
      <c r="B34" t="s">
        <v>106</v>
      </c>
      <c r="C34" t="s">
        <v>299</v>
      </c>
      <c r="D34" t="s">
        <v>203</v>
      </c>
      <c r="E34" t="s">
        <v>43</v>
      </c>
      <c r="F34">
        <v>153</v>
      </c>
      <c r="G34">
        <v>42030</v>
      </c>
      <c r="H34">
        <v>42501</v>
      </c>
      <c r="I34">
        <v>44378</v>
      </c>
      <c r="J34">
        <v>44880</v>
      </c>
      <c r="K34">
        <v>44880</v>
      </c>
      <c r="L34" t="s">
        <v>135</v>
      </c>
      <c r="M34" t="s">
        <v>160</v>
      </c>
      <c r="N34" t="s">
        <v>127</v>
      </c>
      <c r="O34" t="s">
        <v>300</v>
      </c>
      <c r="P34" t="s">
        <v>138</v>
      </c>
      <c r="R34">
        <v>3</v>
      </c>
      <c r="S34">
        <v>1</v>
      </c>
      <c r="T34">
        <v>0</v>
      </c>
      <c r="U34" t="s">
        <v>301</v>
      </c>
      <c r="V34">
        <v>1225813316</v>
      </c>
      <c r="W34" t="s">
        <v>302</v>
      </c>
      <c r="X34" t="s">
        <v>303</v>
      </c>
      <c r="Y34" t="s">
        <v>51</v>
      </c>
      <c r="Z34">
        <v>0</v>
      </c>
      <c r="AA34">
        <v>0</v>
      </c>
      <c r="AB34">
        <v>0</v>
      </c>
      <c r="AC34" t="s">
        <v>304</v>
      </c>
      <c r="AD34" t="s">
        <v>166</v>
      </c>
      <c r="AE34" t="s">
        <v>167</v>
      </c>
      <c r="AF34">
        <v>174</v>
      </c>
      <c r="AG34">
        <v>73</v>
      </c>
      <c r="AH34">
        <f>IF([2]!Table1[[#This Row],[الوزن]]&lt;&gt;"",[2]!Table1[[#This Row],[الوزن]]-([2]!Table1[[#This Row],[الطول]]-100),"")</f>
        <v>193</v>
      </c>
      <c r="AJ34" t="s">
        <v>298</v>
      </c>
      <c r="AN34" t="s">
        <v>145</v>
      </c>
    </row>
    <row r="35" spans="1:40" ht="18.75" customHeight="1" x14ac:dyDescent="0.3">
      <c r="A35" s="1">
        <v>2018131803798</v>
      </c>
      <c r="B35" t="s">
        <v>106</v>
      </c>
      <c r="C35" t="s">
        <v>305</v>
      </c>
      <c r="D35" t="s">
        <v>306</v>
      </c>
      <c r="E35" t="s">
        <v>43</v>
      </c>
      <c r="F35">
        <v>158</v>
      </c>
      <c r="G35">
        <v>43279</v>
      </c>
      <c r="H35">
        <v>44117</v>
      </c>
      <c r="I35">
        <v>46023</v>
      </c>
      <c r="J35">
        <v>44156</v>
      </c>
      <c r="K35">
        <v>44156</v>
      </c>
      <c r="L35" t="s">
        <v>135</v>
      </c>
      <c r="M35" t="s">
        <v>160</v>
      </c>
      <c r="N35" t="s">
        <v>307</v>
      </c>
      <c r="O35" t="s">
        <v>308</v>
      </c>
      <c r="Q35" t="s">
        <v>138</v>
      </c>
      <c r="R35">
        <v>5</v>
      </c>
      <c r="S35">
        <v>0</v>
      </c>
      <c r="T35">
        <v>0</v>
      </c>
      <c r="U35" t="s">
        <v>309</v>
      </c>
      <c r="V35">
        <v>1020484907</v>
      </c>
      <c r="W35" t="s">
        <v>310</v>
      </c>
      <c r="X35" t="s">
        <v>311</v>
      </c>
      <c r="Y35" t="s">
        <v>153</v>
      </c>
      <c r="Z35">
        <v>0</v>
      </c>
      <c r="AA35">
        <v>0</v>
      </c>
      <c r="AB35">
        <v>0</v>
      </c>
      <c r="AC35" t="s">
        <v>312</v>
      </c>
      <c r="AD35" t="s">
        <v>313</v>
      </c>
      <c r="AE35" t="s">
        <v>314</v>
      </c>
      <c r="AF35">
        <v>169</v>
      </c>
      <c r="AG35">
        <v>76</v>
      </c>
      <c r="AH35">
        <f>IF([2]!Table1[[#This Row],[الوزن]]&lt;&gt;"",[2]!Table1[[#This Row],[الوزن]]-([2]!Table1[[#This Row],[الطول]]-100),"")</f>
        <v>212</v>
      </c>
      <c r="AJ35" t="s">
        <v>298</v>
      </c>
      <c r="AN35" t="s">
        <v>145</v>
      </c>
    </row>
    <row r="36" spans="1:40" ht="18.75" customHeight="1" x14ac:dyDescent="0.3">
      <c r="A36" s="1">
        <v>2019138312386</v>
      </c>
      <c r="B36" t="s">
        <v>125</v>
      </c>
      <c r="C36" t="s">
        <v>315</v>
      </c>
      <c r="D36" t="s">
        <v>203</v>
      </c>
      <c r="E36" t="s">
        <v>43</v>
      </c>
      <c r="F36">
        <v>159</v>
      </c>
      <c r="G36">
        <v>43692</v>
      </c>
      <c r="H36">
        <v>44482</v>
      </c>
      <c r="I36">
        <v>44481</v>
      </c>
      <c r="J36">
        <v>44508</v>
      </c>
      <c r="K36">
        <v>44508</v>
      </c>
      <c r="L36" t="s">
        <v>135</v>
      </c>
      <c r="M36" t="s">
        <v>46</v>
      </c>
      <c r="N36" t="s">
        <v>127</v>
      </c>
      <c r="O36" t="s">
        <v>316</v>
      </c>
      <c r="Q36" t="s">
        <v>138</v>
      </c>
      <c r="R36">
        <v>0</v>
      </c>
      <c r="S36">
        <v>0</v>
      </c>
      <c r="T36">
        <v>0</v>
      </c>
      <c r="U36" t="s">
        <v>317</v>
      </c>
      <c r="V36">
        <v>1282260894</v>
      </c>
      <c r="W36" t="s">
        <v>318</v>
      </c>
      <c r="X36" t="s">
        <v>319</v>
      </c>
      <c r="Y36" t="s">
        <v>51</v>
      </c>
      <c r="Z36">
        <v>0</v>
      </c>
      <c r="AA36">
        <v>0</v>
      </c>
      <c r="AB36">
        <v>0</v>
      </c>
      <c r="AC36" t="s">
        <v>320</v>
      </c>
      <c r="AD36" t="s">
        <v>321</v>
      </c>
      <c r="AE36" t="s">
        <v>167</v>
      </c>
      <c r="AF36">
        <v>176</v>
      </c>
      <c r="AG36">
        <v>64</v>
      </c>
      <c r="AH36">
        <f>IF([2]!Table1[[#This Row],[الوزن]]&lt;&gt;"",[2]!Table1[[#This Row],[الوزن]]-([2]!Table1[[#This Row],[الطول]]-100),"")</f>
        <v>195</v>
      </c>
      <c r="AJ36" t="s">
        <v>298</v>
      </c>
      <c r="AN36" t="s">
        <v>145</v>
      </c>
    </row>
    <row r="37" spans="1:40" ht="18.75" customHeight="1" x14ac:dyDescent="0.3">
      <c r="A37" s="1">
        <v>2021131814532</v>
      </c>
      <c r="B37" t="s">
        <v>125</v>
      </c>
      <c r="C37" t="s">
        <v>322</v>
      </c>
      <c r="D37" t="s">
        <v>203</v>
      </c>
      <c r="E37" t="s">
        <v>43</v>
      </c>
      <c r="F37">
        <v>161</v>
      </c>
      <c r="G37">
        <v>44546</v>
      </c>
      <c r="H37">
        <v>45581</v>
      </c>
      <c r="I37">
        <v>45581</v>
      </c>
      <c r="J37">
        <v>45582</v>
      </c>
      <c r="K37">
        <v>45582</v>
      </c>
      <c r="L37" t="s">
        <v>135</v>
      </c>
      <c r="M37" t="s">
        <v>46</v>
      </c>
      <c r="N37" t="s">
        <v>127</v>
      </c>
      <c r="O37" t="s">
        <v>308</v>
      </c>
      <c r="Q37" t="s">
        <v>138</v>
      </c>
      <c r="R37">
        <v>0</v>
      </c>
      <c r="S37">
        <v>0</v>
      </c>
      <c r="T37">
        <v>0</v>
      </c>
      <c r="U37" t="s">
        <v>323</v>
      </c>
      <c r="V37">
        <v>1143727046</v>
      </c>
      <c r="W37" t="s">
        <v>324</v>
      </c>
      <c r="X37" t="s">
        <v>325</v>
      </c>
      <c r="Y37" t="s">
        <v>153</v>
      </c>
      <c r="Z37">
        <v>0</v>
      </c>
      <c r="AA37">
        <v>0</v>
      </c>
      <c r="AB37">
        <v>0</v>
      </c>
      <c r="AC37" t="s">
        <v>326</v>
      </c>
      <c r="AD37" t="s">
        <v>209</v>
      </c>
      <c r="AE37" t="s">
        <v>200</v>
      </c>
      <c r="AF37">
        <v>170</v>
      </c>
      <c r="AG37">
        <v>75</v>
      </c>
      <c r="AH37">
        <f>IF([2]!Table1[[#This Row],[الوزن]]&lt;&gt;"",[2]!Table1[[#This Row],[الوزن]]-([2]!Table1[[#This Row],[الطول]]-100),"")</f>
        <v>192</v>
      </c>
      <c r="AJ37" t="s">
        <v>298</v>
      </c>
      <c r="AN37" t="s">
        <v>145</v>
      </c>
    </row>
    <row r="38" spans="1:40" ht="18.75" customHeight="1" x14ac:dyDescent="0.3">
      <c r="A38" s="1">
        <v>2021138303653</v>
      </c>
      <c r="B38" t="s">
        <v>125</v>
      </c>
      <c r="C38" t="s">
        <v>327</v>
      </c>
      <c r="D38" t="s">
        <v>203</v>
      </c>
      <c r="E38" t="s">
        <v>43</v>
      </c>
      <c r="F38">
        <v>160</v>
      </c>
      <c r="G38">
        <v>44205</v>
      </c>
      <c r="H38">
        <v>45197</v>
      </c>
      <c r="I38">
        <v>45212</v>
      </c>
      <c r="J38">
        <v>45212</v>
      </c>
      <c r="K38">
        <v>45212</v>
      </c>
      <c r="L38" t="s">
        <v>135</v>
      </c>
      <c r="M38" t="s">
        <v>160</v>
      </c>
      <c r="N38" t="s">
        <v>127</v>
      </c>
      <c r="O38" t="s">
        <v>328</v>
      </c>
      <c r="Q38" t="s">
        <v>138</v>
      </c>
      <c r="R38">
        <v>0</v>
      </c>
      <c r="S38">
        <v>0</v>
      </c>
      <c r="T38">
        <v>0</v>
      </c>
      <c r="U38" t="s">
        <v>329</v>
      </c>
      <c r="V38">
        <v>1156090493</v>
      </c>
      <c r="W38" t="s">
        <v>330</v>
      </c>
      <c r="X38" t="s">
        <v>331</v>
      </c>
      <c r="Y38" t="s">
        <v>51</v>
      </c>
      <c r="Z38">
        <v>0</v>
      </c>
      <c r="AA38">
        <v>0</v>
      </c>
      <c r="AB38">
        <v>0</v>
      </c>
      <c r="AC38" t="s">
        <v>332</v>
      </c>
      <c r="AD38" t="s">
        <v>252</v>
      </c>
      <c r="AE38" t="s">
        <v>73</v>
      </c>
      <c r="AF38">
        <v>172</v>
      </c>
      <c r="AG38">
        <v>80</v>
      </c>
      <c r="AH38">
        <f>IF([2]!Table1[[#This Row],[الوزن]]&lt;&gt;"",[2]!Table1[[#This Row],[الوزن]]-([2]!Table1[[#This Row],[الطول]]-100),"")</f>
        <v>4</v>
      </c>
      <c r="AJ38" t="s">
        <v>298</v>
      </c>
      <c r="AN38" t="s">
        <v>145</v>
      </c>
    </row>
    <row r="39" spans="1:40" ht="18.75" customHeight="1" x14ac:dyDescent="0.3">
      <c r="A39" s="1">
        <v>1997135200382</v>
      </c>
      <c r="B39" t="s">
        <v>210</v>
      </c>
      <c r="C39" t="s">
        <v>333</v>
      </c>
      <c r="D39" t="s">
        <v>334</v>
      </c>
      <c r="E39" t="s">
        <v>335</v>
      </c>
      <c r="F39">
        <v>118</v>
      </c>
      <c r="G39">
        <v>35490</v>
      </c>
      <c r="H39">
        <v>35962</v>
      </c>
      <c r="I39">
        <v>44197</v>
      </c>
      <c r="L39" t="s">
        <v>45</v>
      </c>
      <c r="M39" t="s">
        <v>335</v>
      </c>
      <c r="N39" t="s">
        <v>127</v>
      </c>
      <c r="O39" t="s">
        <v>336</v>
      </c>
      <c r="P39" t="s">
        <v>49</v>
      </c>
      <c r="R39">
        <v>14</v>
      </c>
      <c r="S39">
        <v>14</v>
      </c>
      <c r="U39" t="s">
        <v>337</v>
      </c>
      <c r="W39">
        <v>28105161801251</v>
      </c>
      <c r="X39">
        <v>29722</v>
      </c>
      <c r="Y39" t="s">
        <v>338</v>
      </c>
      <c r="AB39">
        <v>2</v>
      </c>
      <c r="AF39">
        <v>76</v>
      </c>
      <c r="AG39">
        <v>172</v>
      </c>
      <c r="AH39">
        <v>4</v>
      </c>
      <c r="AJ39" t="s">
        <v>339</v>
      </c>
    </row>
    <row r="40" spans="1:40" ht="18.75" customHeight="1" x14ac:dyDescent="0.3">
      <c r="A40" s="1">
        <v>2007134791159</v>
      </c>
      <c r="B40" t="s">
        <v>40</v>
      </c>
      <c r="C40" t="s">
        <v>340</v>
      </c>
      <c r="D40" t="s">
        <v>341</v>
      </c>
      <c r="E40" t="s">
        <v>43</v>
      </c>
      <c r="G40">
        <v>39327</v>
      </c>
      <c r="H40">
        <v>39327</v>
      </c>
      <c r="I40">
        <v>45839</v>
      </c>
      <c r="J40">
        <v>45979</v>
      </c>
      <c r="K40">
        <v>45979</v>
      </c>
      <c r="L40" t="s">
        <v>135</v>
      </c>
      <c r="M40" t="s">
        <v>342</v>
      </c>
      <c r="N40" t="s">
        <v>47</v>
      </c>
      <c r="O40" t="s">
        <v>343</v>
      </c>
      <c r="Q40" t="s">
        <v>49</v>
      </c>
      <c r="R40">
        <v>15</v>
      </c>
      <c r="S40">
        <v>2</v>
      </c>
      <c r="T40">
        <v>0</v>
      </c>
      <c r="U40" t="s">
        <v>344</v>
      </c>
      <c r="V40" t="s">
        <v>345</v>
      </c>
      <c r="W40">
        <v>29109291700315</v>
      </c>
      <c r="X40">
        <v>33510</v>
      </c>
      <c r="Y40" t="s">
        <v>103</v>
      </c>
      <c r="Z40">
        <v>3</v>
      </c>
      <c r="AA40">
        <v>1</v>
      </c>
      <c r="AB40">
        <v>2</v>
      </c>
      <c r="AC40" t="s">
        <v>346</v>
      </c>
      <c r="AD40" t="s">
        <v>347</v>
      </c>
      <c r="AE40" t="s">
        <v>167</v>
      </c>
      <c r="AF40">
        <v>89</v>
      </c>
      <c r="AG40">
        <v>185</v>
      </c>
      <c r="AH40">
        <f>IF([2]!Table1[[#This Row],[الوزن]]&lt;&gt;"",[2]!Table1[[#This Row],[الوزن]]-([2]!Table1[[#This Row],[الطول]]-100),"")</f>
        <v>2</v>
      </c>
      <c r="AJ40" t="s">
        <v>348</v>
      </c>
      <c r="AN40" t="s">
        <v>145</v>
      </c>
    </row>
    <row r="41" spans="1:40" ht="18.75" customHeight="1" x14ac:dyDescent="0.3">
      <c r="A41" s="1">
        <v>2008134703053</v>
      </c>
      <c r="B41" t="s">
        <v>210</v>
      </c>
      <c r="C41" t="s">
        <v>349</v>
      </c>
      <c r="D41" t="s">
        <v>341</v>
      </c>
      <c r="E41" t="s">
        <v>43</v>
      </c>
      <c r="F41">
        <v>140</v>
      </c>
      <c r="G41">
        <v>39655</v>
      </c>
      <c r="H41">
        <v>39854</v>
      </c>
      <c r="I41">
        <v>45108</v>
      </c>
      <c r="J41">
        <v>45970</v>
      </c>
      <c r="K41">
        <v>45970</v>
      </c>
      <c r="L41" t="s">
        <v>135</v>
      </c>
      <c r="M41" t="s">
        <v>342</v>
      </c>
      <c r="N41" t="s">
        <v>47</v>
      </c>
      <c r="O41" t="s">
        <v>350</v>
      </c>
      <c r="P41" t="s">
        <v>49</v>
      </c>
      <c r="R41">
        <v>11</v>
      </c>
      <c r="S41">
        <v>1</v>
      </c>
      <c r="T41">
        <v>0</v>
      </c>
      <c r="U41" t="s">
        <v>351</v>
      </c>
      <c r="V41" t="s">
        <v>352</v>
      </c>
      <c r="W41">
        <v>39001011314274</v>
      </c>
      <c r="X41">
        <v>32874</v>
      </c>
      <c r="Y41" t="s">
        <v>103</v>
      </c>
      <c r="Z41">
        <v>3</v>
      </c>
      <c r="AA41">
        <v>3</v>
      </c>
      <c r="AB41">
        <v>0</v>
      </c>
      <c r="AC41" t="s">
        <v>353</v>
      </c>
      <c r="AD41" t="s">
        <v>297</v>
      </c>
      <c r="AE41" t="s">
        <v>64</v>
      </c>
      <c r="AF41">
        <v>80</v>
      </c>
      <c r="AG41">
        <v>178</v>
      </c>
      <c r="AH41">
        <f>IF([2]!Table1[[#This Row],[الوزن]]&lt;&gt;"",[2]!Table1[[#This Row],[الوزن]]-([2]!Table1[[#This Row],[الطول]]-100),"")</f>
        <v>5</v>
      </c>
      <c r="AJ41" t="s">
        <v>354</v>
      </c>
      <c r="AN41" t="s">
        <v>145</v>
      </c>
    </row>
    <row r="42" spans="1:40" ht="18.75" customHeight="1" x14ac:dyDescent="0.3">
      <c r="A42" s="1">
        <v>2004135200478</v>
      </c>
      <c r="B42" t="s">
        <v>57</v>
      </c>
      <c r="C42" t="s">
        <v>355</v>
      </c>
      <c r="D42" t="s">
        <v>334</v>
      </c>
      <c r="E42" t="s">
        <v>335</v>
      </c>
      <c r="F42">
        <v>132</v>
      </c>
      <c r="G42">
        <v>38185</v>
      </c>
      <c r="H42">
        <v>38658</v>
      </c>
      <c r="I42">
        <v>44743</v>
      </c>
      <c r="L42" t="s">
        <v>45</v>
      </c>
      <c r="M42" t="s">
        <v>335</v>
      </c>
      <c r="N42" t="s">
        <v>127</v>
      </c>
      <c r="O42" t="s">
        <v>336</v>
      </c>
      <c r="P42" t="s">
        <v>49</v>
      </c>
      <c r="R42">
        <v>6</v>
      </c>
      <c r="S42">
        <v>1</v>
      </c>
      <c r="U42" t="s">
        <v>356</v>
      </c>
      <c r="W42">
        <v>28604191801216</v>
      </c>
      <c r="X42">
        <v>31521</v>
      </c>
      <c r="Y42" t="s">
        <v>338</v>
      </c>
      <c r="AB42">
        <v>1</v>
      </c>
      <c r="AF42">
        <v>79</v>
      </c>
      <c r="AG42">
        <v>174</v>
      </c>
      <c r="AH42">
        <v>5</v>
      </c>
      <c r="AJ42" t="s">
        <v>357</v>
      </c>
    </row>
    <row r="43" spans="1:40" ht="18.75" customHeight="1" x14ac:dyDescent="0.3">
      <c r="A43" s="1">
        <v>2012134704490</v>
      </c>
      <c r="B43" t="s">
        <v>57</v>
      </c>
      <c r="C43" t="s">
        <v>358</v>
      </c>
      <c r="D43" t="s">
        <v>341</v>
      </c>
      <c r="E43" t="s">
        <v>43</v>
      </c>
      <c r="F43">
        <v>148</v>
      </c>
      <c r="G43">
        <v>41111</v>
      </c>
      <c r="H43">
        <v>41310</v>
      </c>
      <c r="I43">
        <v>45108</v>
      </c>
      <c r="J43">
        <v>45236</v>
      </c>
      <c r="K43">
        <v>45602</v>
      </c>
      <c r="L43" t="s">
        <v>359</v>
      </c>
      <c r="M43" t="s">
        <v>342</v>
      </c>
      <c r="N43" t="s">
        <v>47</v>
      </c>
      <c r="O43" t="s">
        <v>360</v>
      </c>
      <c r="P43" t="s">
        <v>49</v>
      </c>
      <c r="R43">
        <v>3</v>
      </c>
      <c r="S43">
        <v>0</v>
      </c>
      <c r="T43">
        <v>0</v>
      </c>
      <c r="U43" t="s">
        <v>361</v>
      </c>
      <c r="V43" t="s">
        <v>362</v>
      </c>
      <c r="W43">
        <v>28804251802995</v>
      </c>
      <c r="X43">
        <v>32258</v>
      </c>
      <c r="Y43" t="s">
        <v>103</v>
      </c>
      <c r="Z43">
        <v>2</v>
      </c>
      <c r="AA43">
        <v>1</v>
      </c>
      <c r="AB43">
        <v>1</v>
      </c>
      <c r="AC43" t="s">
        <v>363</v>
      </c>
      <c r="AD43" t="s">
        <v>364</v>
      </c>
      <c r="AE43" t="s">
        <v>54</v>
      </c>
      <c r="AF43">
        <v>83</v>
      </c>
      <c r="AG43">
        <v>177</v>
      </c>
      <c r="AH43">
        <f>IF([2]!Table1[[#This Row],[الوزن]]&lt;&gt;"",[2]!Table1[[#This Row],[الوزن]]-([2]!Table1[[#This Row],[الطول]]-100),"")</f>
        <v>-4</v>
      </c>
      <c r="AJ43" t="s">
        <v>365</v>
      </c>
      <c r="AN43" t="s">
        <v>145</v>
      </c>
    </row>
    <row r="44" spans="1:40" ht="18.75" customHeight="1" x14ac:dyDescent="0.3">
      <c r="A44" s="1">
        <v>2012134704911</v>
      </c>
      <c r="B44" t="s">
        <v>57</v>
      </c>
      <c r="C44" t="s">
        <v>366</v>
      </c>
      <c r="D44" t="s">
        <v>341</v>
      </c>
      <c r="E44" t="s">
        <v>43</v>
      </c>
      <c r="F44">
        <v>148</v>
      </c>
      <c r="G44">
        <v>41111</v>
      </c>
      <c r="H44">
        <v>41310</v>
      </c>
      <c r="I44">
        <v>45108</v>
      </c>
      <c r="J44">
        <v>45587</v>
      </c>
      <c r="K44">
        <v>45587</v>
      </c>
      <c r="L44" t="s">
        <v>88</v>
      </c>
      <c r="M44" t="s">
        <v>342</v>
      </c>
      <c r="N44" t="s">
        <v>47</v>
      </c>
      <c r="O44" t="s">
        <v>367</v>
      </c>
      <c r="P44" t="s">
        <v>49</v>
      </c>
      <c r="R44">
        <v>1</v>
      </c>
      <c r="S44">
        <v>0</v>
      </c>
      <c r="T44">
        <v>0</v>
      </c>
      <c r="U44" t="s">
        <v>368</v>
      </c>
      <c r="W44">
        <v>29001011315033</v>
      </c>
      <c r="X44">
        <v>32874</v>
      </c>
      <c r="Y44" t="s">
        <v>103</v>
      </c>
      <c r="Z44">
        <v>2</v>
      </c>
      <c r="AA44">
        <v>1</v>
      </c>
      <c r="AB44">
        <v>1</v>
      </c>
      <c r="AC44" t="s">
        <v>369</v>
      </c>
      <c r="AD44" t="s">
        <v>297</v>
      </c>
      <c r="AE44" t="s">
        <v>64</v>
      </c>
      <c r="AF44">
        <v>75</v>
      </c>
      <c r="AG44">
        <v>179</v>
      </c>
      <c r="AH44">
        <f>IF([2]!Table1[[#This Row],[الوزن]]&lt;&gt;"",[2]!Table1[[#This Row],[الوزن]]-([2]!Table1[[#This Row],[الطول]]-100),"")</f>
        <v>1</v>
      </c>
      <c r="AJ44" t="s">
        <v>370</v>
      </c>
      <c r="AN44" t="s">
        <v>145</v>
      </c>
    </row>
    <row r="45" spans="1:40" ht="18.75" customHeight="1" x14ac:dyDescent="0.3">
      <c r="A45" s="1">
        <v>2012134706602</v>
      </c>
      <c r="B45" t="s">
        <v>57</v>
      </c>
      <c r="C45" t="s">
        <v>371</v>
      </c>
      <c r="D45" t="s">
        <v>341</v>
      </c>
      <c r="E45" t="s">
        <v>43</v>
      </c>
      <c r="F45">
        <v>148</v>
      </c>
      <c r="G45">
        <v>41111</v>
      </c>
      <c r="H45">
        <v>41311</v>
      </c>
      <c r="I45">
        <v>45108</v>
      </c>
      <c r="J45">
        <v>41490</v>
      </c>
      <c r="K45">
        <v>45974</v>
      </c>
      <c r="L45" t="s">
        <v>88</v>
      </c>
      <c r="M45" t="s">
        <v>342</v>
      </c>
      <c r="N45" t="s">
        <v>47</v>
      </c>
      <c r="O45" t="s">
        <v>372</v>
      </c>
      <c r="Q45" t="s">
        <v>49</v>
      </c>
      <c r="R45">
        <v>1</v>
      </c>
      <c r="S45">
        <v>0</v>
      </c>
      <c r="T45">
        <v>0</v>
      </c>
      <c r="U45" t="s">
        <v>373</v>
      </c>
      <c r="W45">
        <v>29212152400612</v>
      </c>
      <c r="X45">
        <v>33953</v>
      </c>
      <c r="Y45" t="s">
        <v>103</v>
      </c>
      <c r="Z45">
        <v>3</v>
      </c>
      <c r="AA45">
        <v>2</v>
      </c>
      <c r="AB45">
        <v>1</v>
      </c>
      <c r="AC45" t="s">
        <v>374</v>
      </c>
      <c r="AD45" t="s">
        <v>375</v>
      </c>
      <c r="AE45" t="s">
        <v>376</v>
      </c>
      <c r="AF45">
        <v>81</v>
      </c>
      <c r="AG45">
        <v>180</v>
      </c>
      <c r="AH45">
        <f>IF([2]!Table1[[#This Row],[الوزن]]&lt;&gt;"",[2]!Table1[[#This Row],[الوزن]]-([2]!Table1[[#This Row],[الطول]]-100),"")</f>
        <v>-2</v>
      </c>
      <c r="AJ45" t="s">
        <v>377</v>
      </c>
      <c r="AN45" t="s">
        <v>145</v>
      </c>
    </row>
    <row r="46" spans="1:40" ht="18.75" customHeight="1" x14ac:dyDescent="0.3">
      <c r="A46" s="1">
        <v>2014130401004</v>
      </c>
      <c r="B46" t="s">
        <v>75</v>
      </c>
      <c r="C46" t="s">
        <v>378</v>
      </c>
      <c r="D46" t="s">
        <v>341</v>
      </c>
      <c r="E46" t="s">
        <v>43</v>
      </c>
      <c r="F46">
        <v>151</v>
      </c>
      <c r="G46">
        <v>41665</v>
      </c>
      <c r="H46">
        <v>42134</v>
      </c>
      <c r="I46">
        <v>45839</v>
      </c>
      <c r="J46">
        <v>45977</v>
      </c>
      <c r="K46">
        <v>45977</v>
      </c>
      <c r="L46" t="s">
        <v>135</v>
      </c>
      <c r="M46" t="s">
        <v>342</v>
      </c>
      <c r="N46" t="s">
        <v>78</v>
      </c>
      <c r="O46" t="s">
        <v>379</v>
      </c>
      <c r="Q46" t="s">
        <v>49</v>
      </c>
      <c r="R46">
        <v>0</v>
      </c>
      <c r="S46">
        <v>0</v>
      </c>
      <c r="T46">
        <v>0</v>
      </c>
      <c r="U46">
        <v>1099325370</v>
      </c>
      <c r="W46">
        <v>29403052403193</v>
      </c>
      <c r="X46">
        <v>34398</v>
      </c>
      <c r="Y46" t="s">
        <v>103</v>
      </c>
      <c r="Z46">
        <v>1</v>
      </c>
      <c r="AA46">
        <v>1</v>
      </c>
      <c r="AB46">
        <v>0</v>
      </c>
      <c r="AC46" t="s">
        <v>380</v>
      </c>
      <c r="AD46" t="s">
        <v>381</v>
      </c>
      <c r="AE46" t="s">
        <v>376</v>
      </c>
      <c r="AF46">
        <v>68</v>
      </c>
      <c r="AG46">
        <v>170</v>
      </c>
      <c r="AH46">
        <f>IF([2]!Table1[[#This Row],[الوزن]]&lt;&gt;"",[2]!Table1[[#This Row],[الوزن]]-([2]!Table1[[#This Row],[الطول]]-100),"")</f>
        <v>-6</v>
      </c>
      <c r="AJ46" t="s">
        <v>382</v>
      </c>
      <c r="AN46" t="s">
        <v>145</v>
      </c>
    </row>
    <row r="47" spans="1:40" ht="18.75" customHeight="1" x14ac:dyDescent="0.3">
      <c r="A47" s="1">
        <v>2014134702838</v>
      </c>
      <c r="B47" t="s">
        <v>57</v>
      </c>
      <c r="C47" t="s">
        <v>383</v>
      </c>
      <c r="D47" t="s">
        <v>341</v>
      </c>
      <c r="E47" t="s">
        <v>43</v>
      </c>
      <c r="F47">
        <v>152</v>
      </c>
      <c r="G47">
        <v>41853</v>
      </c>
      <c r="H47">
        <v>42053</v>
      </c>
      <c r="I47">
        <v>45839</v>
      </c>
      <c r="J47">
        <v>44504</v>
      </c>
      <c r="K47">
        <v>44504</v>
      </c>
      <c r="L47" t="s">
        <v>88</v>
      </c>
      <c r="M47" t="s">
        <v>342</v>
      </c>
      <c r="N47" t="s">
        <v>47</v>
      </c>
      <c r="O47" t="s">
        <v>384</v>
      </c>
      <c r="Q47" t="s">
        <v>49</v>
      </c>
      <c r="R47">
        <v>0</v>
      </c>
      <c r="S47">
        <v>0</v>
      </c>
      <c r="T47">
        <v>0</v>
      </c>
      <c r="U47" t="s">
        <v>385</v>
      </c>
      <c r="W47">
        <v>29111211801196</v>
      </c>
      <c r="X47">
        <v>33563</v>
      </c>
      <c r="Y47" t="s">
        <v>103</v>
      </c>
      <c r="Z47">
        <v>2</v>
      </c>
      <c r="AA47">
        <v>1</v>
      </c>
      <c r="AB47">
        <v>1</v>
      </c>
      <c r="AC47" t="s">
        <v>386</v>
      </c>
      <c r="AD47" t="s">
        <v>364</v>
      </c>
      <c r="AE47" t="s">
        <v>54</v>
      </c>
      <c r="AF47">
        <v>80</v>
      </c>
      <c r="AG47">
        <v>186</v>
      </c>
      <c r="AH47">
        <f>IF([2]!Table1[[#This Row],[الوزن]]&lt;&gt;"",[2]!Table1[[#This Row],[الوزن]]-([2]!Table1[[#This Row],[الطول]]-100),"")</f>
        <v>4</v>
      </c>
      <c r="AJ47" t="s">
        <v>387</v>
      </c>
      <c r="AN47" t="s">
        <v>145</v>
      </c>
    </row>
    <row r="48" spans="1:40" ht="18.75" customHeight="1" x14ac:dyDescent="0.3">
      <c r="A48" s="1">
        <v>2014134703513</v>
      </c>
      <c r="B48" t="s">
        <v>57</v>
      </c>
      <c r="C48" t="s">
        <v>388</v>
      </c>
      <c r="D48" t="s">
        <v>341</v>
      </c>
      <c r="E48" t="s">
        <v>43</v>
      </c>
      <c r="F48">
        <v>153</v>
      </c>
      <c r="G48">
        <v>41853</v>
      </c>
      <c r="H48">
        <v>42053</v>
      </c>
      <c r="I48">
        <v>45839</v>
      </c>
      <c r="J48">
        <v>45971</v>
      </c>
      <c r="K48">
        <v>45971</v>
      </c>
      <c r="L48" t="s">
        <v>88</v>
      </c>
      <c r="M48" t="s">
        <v>342</v>
      </c>
      <c r="N48" t="s">
        <v>47</v>
      </c>
      <c r="O48" t="s">
        <v>389</v>
      </c>
      <c r="P48" t="s">
        <v>49</v>
      </c>
      <c r="R48">
        <v>0</v>
      </c>
      <c r="S48">
        <v>2</v>
      </c>
      <c r="T48">
        <v>0</v>
      </c>
      <c r="U48">
        <v>1033987076</v>
      </c>
      <c r="W48">
        <v>29409272702637</v>
      </c>
      <c r="X48">
        <v>34604</v>
      </c>
      <c r="Y48" t="s">
        <v>103</v>
      </c>
      <c r="Z48">
        <v>3</v>
      </c>
      <c r="AC48" t="s">
        <v>390</v>
      </c>
      <c r="AD48" t="s">
        <v>391</v>
      </c>
      <c r="AE48" t="s">
        <v>234</v>
      </c>
      <c r="AF48">
        <v>78</v>
      </c>
      <c r="AG48">
        <v>174</v>
      </c>
      <c r="AH48">
        <f>IF([2]!Table1[[#This Row],[الوزن]]&lt;&gt;"",[2]!Table1[[#This Row],[الوزن]]-([2]!Table1[[#This Row],[الطول]]-100),"")</f>
        <v>0</v>
      </c>
      <c r="AJ48" t="s">
        <v>392</v>
      </c>
      <c r="AN48" t="s">
        <v>145</v>
      </c>
    </row>
    <row r="49" spans="1:40" ht="18.75" customHeight="1" x14ac:dyDescent="0.3">
      <c r="A49" s="1">
        <v>2014134792160</v>
      </c>
      <c r="B49" t="s">
        <v>66</v>
      </c>
      <c r="C49" t="s">
        <v>393</v>
      </c>
      <c r="D49" t="s">
        <v>341</v>
      </c>
      <c r="E49" t="s">
        <v>43</v>
      </c>
      <c r="F49">
        <v>17</v>
      </c>
      <c r="G49">
        <v>41883</v>
      </c>
      <c r="H49">
        <v>41883</v>
      </c>
      <c r="I49">
        <v>45658</v>
      </c>
      <c r="J49">
        <v>45593</v>
      </c>
      <c r="K49">
        <v>45593</v>
      </c>
      <c r="L49" t="s">
        <v>135</v>
      </c>
      <c r="M49" t="s">
        <v>342</v>
      </c>
      <c r="N49" t="s">
        <v>47</v>
      </c>
      <c r="O49" t="s">
        <v>394</v>
      </c>
      <c r="P49" t="s">
        <v>49</v>
      </c>
      <c r="R49">
        <v>3</v>
      </c>
      <c r="S49">
        <v>0</v>
      </c>
      <c r="T49">
        <v>0</v>
      </c>
      <c r="U49" t="s">
        <v>395</v>
      </c>
      <c r="W49">
        <v>29901011713854</v>
      </c>
      <c r="X49">
        <v>36161</v>
      </c>
      <c r="Y49" t="s">
        <v>103</v>
      </c>
      <c r="Z49">
        <v>1</v>
      </c>
      <c r="AA49">
        <v>1</v>
      </c>
      <c r="AB49">
        <v>0</v>
      </c>
      <c r="AC49" t="s">
        <v>396</v>
      </c>
      <c r="AD49" t="s">
        <v>397</v>
      </c>
      <c r="AE49" t="s">
        <v>167</v>
      </c>
      <c r="AF49">
        <v>70</v>
      </c>
      <c r="AG49">
        <v>170</v>
      </c>
      <c r="AH49">
        <f>IF([2]!Table1[[#This Row],[الوزن]]&lt;&gt;"",[2]!Table1[[#This Row],[الوزن]]-([2]!Table1[[#This Row],[الطول]]-100),"")</f>
        <v>0</v>
      </c>
      <c r="AJ49" t="s">
        <v>398</v>
      </c>
      <c r="AN49" t="s">
        <v>145</v>
      </c>
    </row>
    <row r="50" spans="1:40" ht="18.75" customHeight="1" x14ac:dyDescent="0.3">
      <c r="A50" s="1">
        <v>2014138307353</v>
      </c>
      <c r="B50" t="s">
        <v>75</v>
      </c>
      <c r="C50" t="s">
        <v>399</v>
      </c>
      <c r="D50" t="s">
        <v>341</v>
      </c>
      <c r="E50" t="s">
        <v>43</v>
      </c>
      <c r="F50">
        <v>151</v>
      </c>
      <c r="G50">
        <v>41665</v>
      </c>
      <c r="H50">
        <v>42135</v>
      </c>
      <c r="I50">
        <v>45839</v>
      </c>
      <c r="J50">
        <v>44156</v>
      </c>
      <c r="K50">
        <v>44858</v>
      </c>
      <c r="L50" t="s">
        <v>135</v>
      </c>
      <c r="M50" t="s">
        <v>342</v>
      </c>
      <c r="N50" t="s">
        <v>127</v>
      </c>
      <c r="O50" t="s">
        <v>127</v>
      </c>
      <c r="Q50" t="s">
        <v>49</v>
      </c>
      <c r="R50">
        <v>7</v>
      </c>
      <c r="S50">
        <v>0</v>
      </c>
      <c r="T50">
        <v>0</v>
      </c>
      <c r="U50" t="s">
        <v>400</v>
      </c>
      <c r="W50">
        <v>29702071600959</v>
      </c>
      <c r="X50">
        <v>35468</v>
      </c>
      <c r="Y50" t="s">
        <v>103</v>
      </c>
      <c r="Z50">
        <v>1</v>
      </c>
      <c r="AA50">
        <v>1</v>
      </c>
      <c r="AB50">
        <v>0</v>
      </c>
      <c r="AC50" t="s">
        <v>401</v>
      </c>
      <c r="AD50" t="s">
        <v>402</v>
      </c>
      <c r="AE50" t="s">
        <v>73</v>
      </c>
      <c r="AF50">
        <v>70</v>
      </c>
      <c r="AG50">
        <v>170</v>
      </c>
      <c r="AH50">
        <f>IF([2]!Table1[[#This Row],[الوزن]]&lt;&gt;"",[2]!Table1[[#This Row],[الوزن]]-([2]!Table1[[#This Row],[الطول]]-100),"")</f>
        <v>3</v>
      </c>
      <c r="AJ50" t="s">
        <v>403</v>
      </c>
      <c r="AN50" t="s">
        <v>145</v>
      </c>
    </row>
    <row r="51" spans="1:40" ht="18.75" customHeight="1" x14ac:dyDescent="0.3">
      <c r="A51" s="1">
        <v>2015134707399</v>
      </c>
      <c r="B51" t="s">
        <v>75</v>
      </c>
      <c r="C51" t="s">
        <v>404</v>
      </c>
      <c r="D51" t="s">
        <v>341</v>
      </c>
      <c r="E51" t="s">
        <v>43</v>
      </c>
      <c r="F51">
        <v>154</v>
      </c>
      <c r="G51">
        <v>42224</v>
      </c>
      <c r="H51">
        <v>42790</v>
      </c>
      <c r="I51">
        <v>44743</v>
      </c>
      <c r="J51">
        <v>45593</v>
      </c>
      <c r="K51">
        <v>45593</v>
      </c>
      <c r="L51" t="s">
        <v>88</v>
      </c>
      <c r="M51" t="s">
        <v>342</v>
      </c>
      <c r="N51" t="s">
        <v>47</v>
      </c>
      <c r="O51" t="s">
        <v>343</v>
      </c>
      <c r="P51" t="s">
        <v>49</v>
      </c>
      <c r="R51">
        <v>3</v>
      </c>
      <c r="S51">
        <v>0</v>
      </c>
      <c r="T51">
        <v>0</v>
      </c>
      <c r="U51" t="s">
        <v>405</v>
      </c>
      <c r="W51">
        <v>29304011324116</v>
      </c>
      <c r="X51">
        <v>34060</v>
      </c>
      <c r="Y51" t="s">
        <v>406</v>
      </c>
      <c r="Z51">
        <v>1</v>
      </c>
      <c r="AA51">
        <v>1</v>
      </c>
      <c r="AB51">
        <v>0</v>
      </c>
      <c r="AC51" t="s">
        <v>407</v>
      </c>
      <c r="AD51" t="s">
        <v>408</v>
      </c>
      <c r="AE51" t="s">
        <v>64</v>
      </c>
      <c r="AF51">
        <v>78</v>
      </c>
      <c r="AG51">
        <v>175</v>
      </c>
      <c r="AH51">
        <f>IF([2]!Table1[[#This Row],[الوزن]]&lt;&gt;"",[2]!Table1[[#This Row],[الوزن]]-([2]!Table1[[#This Row],[الطول]]-100),"")</f>
        <v>6</v>
      </c>
      <c r="AJ51" t="s">
        <v>409</v>
      </c>
      <c r="AN51" t="s">
        <v>145</v>
      </c>
    </row>
    <row r="52" spans="1:40" ht="18.75" customHeight="1" x14ac:dyDescent="0.3">
      <c r="A52" s="1">
        <v>2015134707662</v>
      </c>
      <c r="B52" t="s">
        <v>75</v>
      </c>
      <c r="C52" t="s">
        <v>410</v>
      </c>
      <c r="D52" t="s">
        <v>341</v>
      </c>
      <c r="E52" t="s">
        <v>43</v>
      </c>
      <c r="F52">
        <v>154</v>
      </c>
      <c r="G52">
        <v>42227</v>
      </c>
      <c r="H52">
        <v>42790</v>
      </c>
      <c r="I52">
        <v>44743</v>
      </c>
      <c r="J52">
        <v>44140</v>
      </c>
      <c r="K52">
        <v>45982</v>
      </c>
      <c r="L52" t="s">
        <v>88</v>
      </c>
      <c r="M52" t="s">
        <v>342</v>
      </c>
      <c r="N52" t="s">
        <v>47</v>
      </c>
      <c r="O52" t="s">
        <v>411</v>
      </c>
      <c r="Q52" t="s">
        <v>49</v>
      </c>
      <c r="R52">
        <v>2</v>
      </c>
      <c r="S52">
        <v>0</v>
      </c>
      <c r="T52">
        <v>0</v>
      </c>
      <c r="U52" t="s">
        <v>412</v>
      </c>
      <c r="V52" t="s">
        <v>413</v>
      </c>
      <c r="W52">
        <v>29606232501493</v>
      </c>
      <c r="X52">
        <v>35239</v>
      </c>
      <c r="Y52" t="s">
        <v>103</v>
      </c>
      <c r="Z52">
        <v>2</v>
      </c>
      <c r="AA52">
        <v>2</v>
      </c>
      <c r="AB52">
        <v>0</v>
      </c>
      <c r="AC52" t="s">
        <v>414</v>
      </c>
      <c r="AD52" t="s">
        <v>415</v>
      </c>
      <c r="AE52" t="s">
        <v>43</v>
      </c>
      <c r="AF52">
        <v>79</v>
      </c>
      <c r="AG52">
        <v>173</v>
      </c>
      <c r="AH52">
        <f>IF([2]!Table1[[#This Row],[الوزن]]&lt;&gt;"",[2]!Table1[[#This Row],[الوزن]]-([2]!Table1[[#This Row],[الطول]]-100),"")</f>
        <v>-5</v>
      </c>
      <c r="AJ52" t="s">
        <v>416</v>
      </c>
      <c r="AN52" t="s">
        <v>145</v>
      </c>
    </row>
    <row r="53" spans="1:40" ht="18.75" customHeight="1" x14ac:dyDescent="0.3">
      <c r="A53" s="1">
        <v>2015134709155</v>
      </c>
      <c r="B53" t="s">
        <v>106</v>
      </c>
      <c r="C53" t="s">
        <v>417</v>
      </c>
      <c r="D53" t="s">
        <v>341</v>
      </c>
      <c r="E53" t="s">
        <v>43</v>
      </c>
      <c r="F53">
        <v>154</v>
      </c>
      <c r="G53">
        <v>42224</v>
      </c>
      <c r="H53">
        <v>42939</v>
      </c>
      <c r="I53">
        <v>44743</v>
      </c>
      <c r="J53">
        <v>44861</v>
      </c>
      <c r="K53">
        <v>44861</v>
      </c>
      <c r="L53" t="s">
        <v>135</v>
      </c>
      <c r="M53" t="s">
        <v>342</v>
      </c>
      <c r="N53" t="s">
        <v>47</v>
      </c>
      <c r="O53" t="s">
        <v>418</v>
      </c>
      <c r="P53" t="s">
        <v>49</v>
      </c>
      <c r="R53">
        <v>0</v>
      </c>
      <c r="S53">
        <v>0</v>
      </c>
      <c r="T53">
        <v>0</v>
      </c>
      <c r="U53" t="s">
        <v>419</v>
      </c>
      <c r="V53" t="s">
        <v>420</v>
      </c>
      <c r="W53">
        <v>29711170201712</v>
      </c>
      <c r="X53">
        <v>33559</v>
      </c>
      <c r="Y53" t="s">
        <v>103</v>
      </c>
      <c r="Z53">
        <v>1</v>
      </c>
      <c r="AA53">
        <v>0</v>
      </c>
      <c r="AB53">
        <v>1</v>
      </c>
      <c r="AC53" t="s">
        <v>421</v>
      </c>
      <c r="AD53" t="s">
        <v>422</v>
      </c>
      <c r="AE53" t="s">
        <v>423</v>
      </c>
      <c r="AF53">
        <v>74</v>
      </c>
      <c r="AG53">
        <v>179</v>
      </c>
      <c r="AH53">
        <f>IF([2]!Table1[[#This Row],[الوزن]]&lt;&gt;"",[2]!Table1[[#This Row],[الوزن]]-([2]!Table1[[#This Row],[الطول]]-100),"")</f>
        <v>-6</v>
      </c>
      <c r="AJ53" t="s">
        <v>424</v>
      </c>
      <c r="AN53" t="s">
        <v>145</v>
      </c>
    </row>
    <row r="54" spans="1:40" ht="18.75" customHeight="1" x14ac:dyDescent="0.3">
      <c r="A54" s="1">
        <v>2016130401547</v>
      </c>
      <c r="B54" t="s">
        <v>106</v>
      </c>
      <c r="C54" t="s">
        <v>425</v>
      </c>
      <c r="D54" t="s">
        <v>341</v>
      </c>
      <c r="E54" t="s">
        <v>43</v>
      </c>
      <c r="F54">
        <v>156</v>
      </c>
      <c r="G54">
        <v>42575</v>
      </c>
      <c r="H54">
        <v>43321</v>
      </c>
      <c r="I54">
        <v>45292</v>
      </c>
      <c r="J54">
        <v>45224</v>
      </c>
      <c r="K54">
        <v>45224</v>
      </c>
      <c r="L54" t="s">
        <v>135</v>
      </c>
      <c r="M54" t="s">
        <v>342</v>
      </c>
      <c r="N54" t="s">
        <v>78</v>
      </c>
      <c r="O54" t="s">
        <v>148</v>
      </c>
      <c r="P54" t="s">
        <v>49</v>
      </c>
      <c r="R54">
        <v>0</v>
      </c>
      <c r="S54">
        <v>0</v>
      </c>
      <c r="T54">
        <v>0</v>
      </c>
      <c r="U54" t="s">
        <v>426</v>
      </c>
      <c r="V54" t="s">
        <v>427</v>
      </c>
      <c r="W54">
        <v>29901011605253</v>
      </c>
      <c r="X54">
        <v>36161</v>
      </c>
      <c r="Y54" t="s">
        <v>103</v>
      </c>
      <c r="Z54">
        <v>2</v>
      </c>
      <c r="AA54">
        <v>2</v>
      </c>
      <c r="AB54">
        <v>0</v>
      </c>
      <c r="AC54" t="s">
        <v>428</v>
      </c>
      <c r="AD54" t="s">
        <v>429</v>
      </c>
      <c r="AE54" t="s">
        <v>73</v>
      </c>
      <c r="AF54">
        <v>64</v>
      </c>
      <c r="AG54">
        <v>170</v>
      </c>
      <c r="AH54">
        <f>IF([2]!Table1[[#This Row],[الوزن]]&lt;&gt;"",[2]!Table1[[#This Row],[الوزن]]-([2]!Table1[[#This Row],[الطول]]-100),"")</f>
        <v>-2</v>
      </c>
      <c r="AJ54" t="s">
        <v>430</v>
      </c>
      <c r="AN54" t="s">
        <v>145</v>
      </c>
    </row>
    <row r="55" spans="1:40" ht="18.75" customHeight="1" x14ac:dyDescent="0.3">
      <c r="A55" s="1">
        <v>2017134705232</v>
      </c>
      <c r="B55" t="s">
        <v>75</v>
      </c>
      <c r="C55" t="s">
        <v>431</v>
      </c>
      <c r="D55" t="s">
        <v>341</v>
      </c>
      <c r="E55" t="s">
        <v>43</v>
      </c>
      <c r="F55">
        <v>157</v>
      </c>
      <c r="G55">
        <v>42920</v>
      </c>
      <c r="H55">
        <v>43663</v>
      </c>
      <c r="I55">
        <v>45658</v>
      </c>
      <c r="J55">
        <v>44760</v>
      </c>
      <c r="K55">
        <v>44760</v>
      </c>
      <c r="L55" t="s">
        <v>135</v>
      </c>
      <c r="M55" t="s">
        <v>342</v>
      </c>
      <c r="N55" t="s">
        <v>47</v>
      </c>
      <c r="O55" t="s">
        <v>432</v>
      </c>
      <c r="P55" t="s">
        <v>49</v>
      </c>
      <c r="R55">
        <v>1</v>
      </c>
      <c r="S55">
        <v>0</v>
      </c>
      <c r="T55">
        <v>0</v>
      </c>
      <c r="U55" t="s">
        <v>433</v>
      </c>
      <c r="V55" t="s">
        <v>434</v>
      </c>
      <c r="W55">
        <v>29808121701959</v>
      </c>
      <c r="X55">
        <v>36019</v>
      </c>
      <c r="Y55" t="s">
        <v>103</v>
      </c>
      <c r="Z55">
        <v>1</v>
      </c>
      <c r="AA55">
        <v>1</v>
      </c>
      <c r="AB55">
        <v>0</v>
      </c>
      <c r="AC55" t="s">
        <v>435</v>
      </c>
      <c r="AD55" t="s">
        <v>397</v>
      </c>
      <c r="AE55" t="s">
        <v>167</v>
      </c>
      <c r="AF55">
        <v>74</v>
      </c>
      <c r="AG55">
        <v>176</v>
      </c>
      <c r="AH55">
        <f>IF([2]!Table1[[#This Row],[الوزن]]&lt;&gt;"",[2]!Table1[[#This Row],[الوزن]]-([2]!Table1[[#This Row],[الطول]]-100),"")</f>
        <v>1</v>
      </c>
      <c r="AJ55" t="s">
        <v>436</v>
      </c>
      <c r="AN55" t="s">
        <v>145</v>
      </c>
    </row>
    <row r="56" spans="1:40" ht="18.75" customHeight="1" x14ac:dyDescent="0.3">
      <c r="A56" s="1">
        <v>2017134705373</v>
      </c>
      <c r="B56" t="s">
        <v>75</v>
      </c>
      <c r="C56" t="s">
        <v>437</v>
      </c>
      <c r="D56" t="s">
        <v>341</v>
      </c>
      <c r="E56" t="s">
        <v>43</v>
      </c>
      <c r="F56">
        <v>157</v>
      </c>
      <c r="G56">
        <v>42915</v>
      </c>
      <c r="H56">
        <v>43663</v>
      </c>
      <c r="I56">
        <v>45658</v>
      </c>
      <c r="J56">
        <v>44584</v>
      </c>
      <c r="K56">
        <v>44584</v>
      </c>
      <c r="L56" t="s">
        <v>88</v>
      </c>
      <c r="M56" t="s">
        <v>342</v>
      </c>
      <c r="N56" t="s">
        <v>47</v>
      </c>
      <c r="O56" t="s">
        <v>438</v>
      </c>
      <c r="P56" t="s">
        <v>49</v>
      </c>
      <c r="R56" t="s">
        <v>439</v>
      </c>
      <c r="S56" t="s">
        <v>439</v>
      </c>
      <c r="T56" t="s">
        <v>439</v>
      </c>
      <c r="U56" t="s">
        <v>440</v>
      </c>
      <c r="V56" t="s">
        <v>441</v>
      </c>
      <c r="W56">
        <v>29710051701018</v>
      </c>
      <c r="X56">
        <v>35708</v>
      </c>
      <c r="Y56" t="s">
        <v>103</v>
      </c>
      <c r="Z56">
        <v>2</v>
      </c>
      <c r="AA56">
        <v>0</v>
      </c>
      <c r="AB56">
        <v>2</v>
      </c>
      <c r="AC56" t="s">
        <v>442</v>
      </c>
      <c r="AD56" t="s">
        <v>443</v>
      </c>
      <c r="AE56" t="s">
        <v>167</v>
      </c>
      <c r="AF56">
        <v>80</v>
      </c>
      <c r="AG56">
        <v>179</v>
      </c>
      <c r="AH56">
        <f>IF([2]!Table1[[#This Row],[الوزن]]&lt;&gt;"",[2]!Table1[[#This Row],[الوزن]]-([2]!Table1[[#This Row],[الطول]]-100),"")</f>
        <v>-2</v>
      </c>
      <c r="AJ56" t="s">
        <v>444</v>
      </c>
      <c r="AN56" t="s">
        <v>145</v>
      </c>
    </row>
    <row r="57" spans="1:40" ht="18.75" customHeight="1" x14ac:dyDescent="0.3">
      <c r="A57" s="1">
        <v>2011131101104</v>
      </c>
      <c r="B57" t="s">
        <v>75</v>
      </c>
      <c r="C57" t="s">
        <v>445</v>
      </c>
      <c r="D57" t="s">
        <v>446</v>
      </c>
      <c r="E57" t="s">
        <v>447</v>
      </c>
      <c r="F57">
        <v>146</v>
      </c>
      <c r="G57">
        <v>40748</v>
      </c>
      <c r="H57">
        <v>41222</v>
      </c>
      <c r="I57">
        <v>44927</v>
      </c>
      <c r="L57" t="s">
        <v>45</v>
      </c>
      <c r="M57" t="s">
        <v>136</v>
      </c>
      <c r="N57" t="s">
        <v>448</v>
      </c>
      <c r="O57" t="s">
        <v>449</v>
      </c>
      <c r="P57" t="s">
        <v>49</v>
      </c>
      <c r="T57">
        <v>2</v>
      </c>
      <c r="U57" t="s">
        <v>450</v>
      </c>
      <c r="X57">
        <v>33860</v>
      </c>
      <c r="Y57" t="s">
        <v>103</v>
      </c>
      <c r="AA57">
        <v>3</v>
      </c>
      <c r="AF57">
        <v>70</v>
      </c>
      <c r="AG57">
        <v>172</v>
      </c>
      <c r="AH57">
        <f>IF([2]!Table1[[#This Row],[الوزن]]&lt;&gt;"",[2]!Table1[[#This Row],[الوزن]]-([2]!Table1[[#This Row],[الطول]]-100),"")</f>
        <v>2</v>
      </c>
      <c r="AN57" t="s">
        <v>145</v>
      </c>
    </row>
    <row r="58" spans="1:40" ht="18.75" customHeight="1" x14ac:dyDescent="0.3">
      <c r="A58" s="1">
        <v>2018134702913</v>
      </c>
      <c r="B58" t="s">
        <v>75</v>
      </c>
      <c r="C58" t="s">
        <v>451</v>
      </c>
      <c r="D58" t="s">
        <v>341</v>
      </c>
      <c r="E58" t="s">
        <v>43</v>
      </c>
      <c r="F58">
        <v>158</v>
      </c>
      <c r="G58">
        <v>43279</v>
      </c>
      <c r="H58">
        <v>44117</v>
      </c>
      <c r="I58">
        <v>46023</v>
      </c>
      <c r="J58">
        <v>44105</v>
      </c>
      <c r="K58">
        <v>44105</v>
      </c>
      <c r="L58" t="s">
        <v>88</v>
      </c>
      <c r="M58" t="s">
        <v>342</v>
      </c>
      <c r="N58" t="s">
        <v>47</v>
      </c>
      <c r="O58" t="s">
        <v>438</v>
      </c>
      <c r="Q58" t="s">
        <v>49</v>
      </c>
      <c r="R58">
        <v>0</v>
      </c>
      <c r="S58">
        <v>0</v>
      </c>
      <c r="T58">
        <v>0</v>
      </c>
      <c r="U58" t="s">
        <v>452</v>
      </c>
      <c r="V58" t="s">
        <v>453</v>
      </c>
      <c r="W58">
        <v>29808121701959</v>
      </c>
      <c r="X58">
        <v>35812</v>
      </c>
      <c r="Y58" t="s">
        <v>51</v>
      </c>
      <c r="Z58">
        <v>0</v>
      </c>
      <c r="AA58">
        <v>0</v>
      </c>
      <c r="AB58">
        <v>0</v>
      </c>
      <c r="AC58" t="s">
        <v>454</v>
      </c>
      <c r="AD58" t="s">
        <v>455</v>
      </c>
      <c r="AE58" t="s">
        <v>54</v>
      </c>
      <c r="AF58">
        <v>80</v>
      </c>
      <c r="AG58">
        <v>178</v>
      </c>
      <c r="AH58">
        <f>IF([2]!Table1[[#This Row],[الوزن]]&lt;&gt;"",[2]!Table1[[#This Row],[الوزن]]-([2]!Table1[[#This Row],[الطول]]-100),"")</f>
        <v>1</v>
      </c>
      <c r="AJ58" t="s">
        <v>456</v>
      </c>
      <c r="AN58" t="s">
        <v>145</v>
      </c>
    </row>
    <row r="59" spans="1:40" ht="18.75" customHeight="1" x14ac:dyDescent="0.3">
      <c r="A59" s="1">
        <v>2014131101174</v>
      </c>
      <c r="B59" t="s">
        <v>75</v>
      </c>
      <c r="C59" t="s">
        <v>457</v>
      </c>
      <c r="D59" t="s">
        <v>446</v>
      </c>
      <c r="E59" t="s">
        <v>447</v>
      </c>
      <c r="F59">
        <v>152</v>
      </c>
      <c r="G59">
        <v>41853</v>
      </c>
      <c r="H59">
        <v>42326</v>
      </c>
      <c r="I59">
        <v>44197</v>
      </c>
      <c r="L59" t="s">
        <v>45</v>
      </c>
      <c r="M59" t="s">
        <v>136</v>
      </c>
      <c r="N59" t="s">
        <v>448</v>
      </c>
      <c r="O59" t="s">
        <v>449</v>
      </c>
      <c r="Q59" t="s">
        <v>49</v>
      </c>
      <c r="R59">
        <v>2</v>
      </c>
      <c r="S59">
        <v>0</v>
      </c>
      <c r="T59">
        <v>0</v>
      </c>
      <c r="U59" t="s">
        <v>458</v>
      </c>
      <c r="V59" t="s">
        <v>459</v>
      </c>
      <c r="W59">
        <v>29603201800736</v>
      </c>
      <c r="X59">
        <v>35144</v>
      </c>
      <c r="Y59" t="s">
        <v>103</v>
      </c>
      <c r="Z59">
        <v>2</v>
      </c>
      <c r="AA59">
        <v>1</v>
      </c>
      <c r="AC59" t="s">
        <v>460</v>
      </c>
      <c r="AD59" t="s">
        <v>184</v>
      </c>
      <c r="AE59" t="s">
        <v>54</v>
      </c>
      <c r="AF59">
        <v>74</v>
      </c>
      <c r="AG59">
        <v>173</v>
      </c>
      <c r="AH59">
        <f>IF([2]!Table1[[#This Row],[الوزن]]&lt;&gt;"",[2]!Table1[[#This Row],[الوزن]]-([2]!Table1[[#This Row],[الطول]]-100),"")</f>
        <v>-6</v>
      </c>
      <c r="AJ59" t="s">
        <v>461</v>
      </c>
      <c r="AN59" t="s">
        <v>145</v>
      </c>
    </row>
    <row r="60" spans="1:40" ht="18.75" customHeight="1" x14ac:dyDescent="0.3">
      <c r="A60" s="1">
        <v>2016131100354</v>
      </c>
      <c r="B60" t="s">
        <v>106</v>
      </c>
      <c r="C60" t="s">
        <v>462</v>
      </c>
      <c r="D60" t="s">
        <v>446</v>
      </c>
      <c r="E60" t="s">
        <v>447</v>
      </c>
      <c r="F60">
        <v>156</v>
      </c>
      <c r="G60">
        <v>42575</v>
      </c>
      <c r="H60">
        <v>43321</v>
      </c>
      <c r="I60">
        <v>45292</v>
      </c>
      <c r="L60" t="s">
        <v>45</v>
      </c>
      <c r="M60" t="s">
        <v>136</v>
      </c>
      <c r="N60" t="s">
        <v>448</v>
      </c>
      <c r="O60" t="s">
        <v>449</v>
      </c>
      <c r="Q60" t="s">
        <v>49</v>
      </c>
      <c r="R60">
        <v>1</v>
      </c>
      <c r="S60">
        <v>0</v>
      </c>
      <c r="T60">
        <v>0</v>
      </c>
      <c r="U60">
        <v>1007629296</v>
      </c>
      <c r="V60" t="s">
        <v>463</v>
      </c>
      <c r="W60">
        <v>29912251802112</v>
      </c>
      <c r="Y60" t="s">
        <v>103</v>
      </c>
      <c r="Z60">
        <v>1</v>
      </c>
      <c r="AA60">
        <v>0</v>
      </c>
      <c r="AF60">
        <v>70</v>
      </c>
      <c r="AG60">
        <v>176</v>
      </c>
      <c r="AH60">
        <f>IF([2]!Table1[[#This Row],[الوزن]]&lt;&gt;"",[2]!Table1[[#This Row],[الوزن]]-([2]!Table1[[#This Row],[الطول]]-100),"")</f>
        <v>-4</v>
      </c>
      <c r="AJ60" t="s">
        <v>464</v>
      </c>
      <c r="AN60" t="s">
        <v>145</v>
      </c>
    </row>
    <row r="61" spans="1:40" ht="18.75" customHeight="1" x14ac:dyDescent="0.3">
      <c r="A61" s="1">
        <v>2021134702122</v>
      </c>
      <c r="B61" t="s">
        <v>125</v>
      </c>
      <c r="C61" t="s">
        <v>465</v>
      </c>
      <c r="D61" t="s">
        <v>341</v>
      </c>
      <c r="E61" t="s">
        <v>43</v>
      </c>
      <c r="F61">
        <v>160</v>
      </c>
      <c r="G61">
        <v>44205</v>
      </c>
      <c r="H61">
        <v>45197</v>
      </c>
      <c r="I61">
        <v>45197</v>
      </c>
      <c r="J61">
        <v>45215</v>
      </c>
      <c r="K61">
        <v>45215</v>
      </c>
      <c r="L61" t="s">
        <v>135</v>
      </c>
      <c r="M61" t="s">
        <v>342</v>
      </c>
      <c r="N61" t="s">
        <v>47</v>
      </c>
      <c r="O61" t="s">
        <v>466</v>
      </c>
      <c r="P61" t="s">
        <v>49</v>
      </c>
      <c r="R61">
        <v>0</v>
      </c>
      <c r="S61">
        <v>0</v>
      </c>
      <c r="T61">
        <v>0</v>
      </c>
      <c r="U61" t="s">
        <v>467</v>
      </c>
      <c r="V61" t="s">
        <v>468</v>
      </c>
      <c r="W61">
        <v>30101251801938</v>
      </c>
      <c r="X61">
        <v>36550</v>
      </c>
      <c r="Y61" t="s">
        <v>153</v>
      </c>
      <c r="Z61">
        <v>0</v>
      </c>
      <c r="AA61">
        <v>0</v>
      </c>
      <c r="AB61">
        <v>0</v>
      </c>
      <c r="AC61" t="s">
        <v>469</v>
      </c>
      <c r="AD61" t="s">
        <v>470</v>
      </c>
      <c r="AE61" t="s">
        <v>54</v>
      </c>
      <c r="AF61">
        <v>73</v>
      </c>
      <c r="AG61">
        <v>177</v>
      </c>
      <c r="AH61">
        <f>IF([2]!Table1[[#This Row],[الوزن]]&lt;&gt;"",[2]!Table1[[#This Row],[الوزن]]-([2]!Table1[[#This Row],[الطول]]-100),"")</f>
        <v>-14</v>
      </c>
      <c r="AJ61" t="s">
        <v>298</v>
      </c>
      <c r="AN61" t="s">
        <v>145</v>
      </c>
    </row>
    <row r="62" spans="1:40" ht="18.75" customHeight="1" x14ac:dyDescent="0.3">
      <c r="A62" s="1">
        <v>2021134713773</v>
      </c>
      <c r="B62" t="s">
        <v>125</v>
      </c>
      <c r="C62" t="s">
        <v>471</v>
      </c>
      <c r="D62" t="s">
        <v>341</v>
      </c>
      <c r="E62" t="s">
        <v>43</v>
      </c>
      <c r="F62">
        <v>161</v>
      </c>
      <c r="G62">
        <v>44546</v>
      </c>
      <c r="H62">
        <v>45581</v>
      </c>
      <c r="I62">
        <v>45581</v>
      </c>
      <c r="J62">
        <v>45582</v>
      </c>
      <c r="K62">
        <v>45582</v>
      </c>
      <c r="L62" t="s">
        <v>135</v>
      </c>
      <c r="M62" t="s">
        <v>342</v>
      </c>
      <c r="N62" t="s">
        <v>47</v>
      </c>
      <c r="O62" t="s">
        <v>472</v>
      </c>
      <c r="P62" t="s">
        <v>49</v>
      </c>
      <c r="R62">
        <v>0</v>
      </c>
      <c r="S62">
        <v>0</v>
      </c>
      <c r="T62">
        <v>0</v>
      </c>
      <c r="U62" t="s">
        <v>473</v>
      </c>
      <c r="V62" t="s">
        <v>474</v>
      </c>
      <c r="W62">
        <v>30507191802499</v>
      </c>
      <c r="X62">
        <v>38552</v>
      </c>
      <c r="Y62" t="s">
        <v>153</v>
      </c>
      <c r="Z62">
        <v>0</v>
      </c>
      <c r="AA62">
        <v>0</v>
      </c>
      <c r="AB62">
        <v>0</v>
      </c>
      <c r="AC62" t="s">
        <v>475</v>
      </c>
      <c r="AD62" t="s">
        <v>364</v>
      </c>
      <c r="AE62" t="s">
        <v>54</v>
      </c>
      <c r="AF62">
        <v>65</v>
      </c>
      <c r="AG62">
        <v>179</v>
      </c>
      <c r="AH62">
        <f>IF([2]!Table1[[#This Row],[الوزن]]&lt;&gt;"",[2]!Table1[[#This Row],[الوزن]]-([2]!Table1[[#This Row],[الطول]]-100),"")</f>
        <v>-2</v>
      </c>
      <c r="AJ62" t="s">
        <v>298</v>
      </c>
      <c r="AN62" t="s">
        <v>145</v>
      </c>
    </row>
    <row r="63" spans="1:40" ht="18.75" customHeight="1" x14ac:dyDescent="0.3">
      <c r="A63" s="1">
        <v>2021134714010</v>
      </c>
      <c r="B63" t="s">
        <v>125</v>
      </c>
      <c r="C63" t="s">
        <v>476</v>
      </c>
      <c r="D63" t="s">
        <v>341</v>
      </c>
      <c r="E63" t="s">
        <v>43</v>
      </c>
      <c r="F63">
        <v>161</v>
      </c>
      <c r="G63">
        <v>44546</v>
      </c>
      <c r="H63">
        <v>45581</v>
      </c>
      <c r="I63">
        <v>45581</v>
      </c>
      <c r="J63">
        <v>45582</v>
      </c>
      <c r="K63">
        <v>45582</v>
      </c>
      <c r="L63" t="s">
        <v>135</v>
      </c>
      <c r="M63" t="s">
        <v>342</v>
      </c>
      <c r="N63" t="s">
        <v>47</v>
      </c>
      <c r="O63" t="s">
        <v>477</v>
      </c>
      <c r="P63" t="s">
        <v>49</v>
      </c>
      <c r="R63">
        <v>0</v>
      </c>
      <c r="S63">
        <v>0</v>
      </c>
      <c r="T63">
        <v>0</v>
      </c>
      <c r="U63" t="s">
        <v>478</v>
      </c>
      <c r="V63" t="s">
        <v>479</v>
      </c>
      <c r="W63">
        <v>30211111605039</v>
      </c>
      <c r="X63">
        <v>37571</v>
      </c>
      <c r="Y63" t="s">
        <v>153</v>
      </c>
      <c r="Z63">
        <v>0</v>
      </c>
      <c r="AA63">
        <v>0</v>
      </c>
      <c r="AB63">
        <v>0</v>
      </c>
      <c r="AC63" t="s">
        <v>480</v>
      </c>
      <c r="AD63" t="s">
        <v>364</v>
      </c>
      <c r="AE63" t="s">
        <v>54</v>
      </c>
      <c r="AF63">
        <v>73</v>
      </c>
      <c r="AG63">
        <v>175</v>
      </c>
      <c r="AH63">
        <f>IF([2]!Table1[[#This Row],[الوزن]]&lt;&gt;"",[2]!Table1[[#This Row],[الوزن]]-([2]!Table1[[#This Row],[الطول]]-100),"")</f>
        <v>-8</v>
      </c>
      <c r="AJ63" t="s">
        <v>298</v>
      </c>
      <c r="AN63" t="s">
        <v>145</v>
      </c>
    </row>
    <row r="64" spans="1:40" ht="18.75" customHeight="1" x14ac:dyDescent="0.3">
      <c r="A64" s="1">
        <v>2021134714086</v>
      </c>
      <c r="B64" t="s">
        <v>125</v>
      </c>
      <c r="C64" t="s">
        <v>481</v>
      </c>
      <c r="D64" t="s">
        <v>341</v>
      </c>
      <c r="E64" t="s">
        <v>43</v>
      </c>
      <c r="F64">
        <v>161</v>
      </c>
      <c r="G64">
        <v>44546</v>
      </c>
      <c r="H64">
        <v>45581</v>
      </c>
      <c r="I64">
        <v>45581</v>
      </c>
      <c r="J64">
        <v>45582</v>
      </c>
      <c r="K64">
        <v>45582</v>
      </c>
      <c r="L64" t="s">
        <v>135</v>
      </c>
      <c r="M64" t="s">
        <v>342</v>
      </c>
      <c r="N64" t="s">
        <v>47</v>
      </c>
      <c r="O64" t="s">
        <v>472</v>
      </c>
      <c r="P64" t="s">
        <v>49</v>
      </c>
      <c r="R64">
        <v>0</v>
      </c>
      <c r="S64">
        <v>0</v>
      </c>
      <c r="T64">
        <v>0</v>
      </c>
      <c r="U64" t="s">
        <v>482</v>
      </c>
      <c r="W64">
        <v>30502011803032</v>
      </c>
      <c r="X64">
        <v>38384</v>
      </c>
      <c r="Y64" t="s">
        <v>153</v>
      </c>
      <c r="Z64">
        <v>0</v>
      </c>
      <c r="AA64">
        <v>0</v>
      </c>
      <c r="AB64">
        <v>0</v>
      </c>
      <c r="AC64" t="s">
        <v>483</v>
      </c>
      <c r="AD64" t="s">
        <v>470</v>
      </c>
      <c r="AE64" t="s">
        <v>54</v>
      </c>
      <c r="AF64">
        <v>71</v>
      </c>
      <c r="AG64">
        <v>179</v>
      </c>
      <c r="AH64">
        <f>IF([2]!Table1[[#This Row],[الوزن]]&lt;&gt;"",[2]!Table1[[#This Row],[الوزن]]-([2]!Table1[[#This Row],[الطول]]-100),"")</f>
        <v>-7</v>
      </c>
      <c r="AJ64" t="s">
        <v>298</v>
      </c>
      <c r="AN64" t="s">
        <v>145</v>
      </c>
    </row>
    <row r="65" spans="1:40" ht="18.75" customHeight="1" x14ac:dyDescent="0.3">
      <c r="A65" s="1">
        <v>2021134714797</v>
      </c>
      <c r="B65" t="s">
        <v>125</v>
      </c>
      <c r="C65" t="s">
        <v>484</v>
      </c>
      <c r="D65" t="s">
        <v>341</v>
      </c>
      <c r="E65" t="s">
        <v>43</v>
      </c>
      <c r="F65">
        <v>161</v>
      </c>
      <c r="G65">
        <v>44546</v>
      </c>
      <c r="H65">
        <v>45581</v>
      </c>
      <c r="I65">
        <v>45581</v>
      </c>
      <c r="J65">
        <v>45582</v>
      </c>
      <c r="K65">
        <v>45582</v>
      </c>
      <c r="L65" t="s">
        <v>135</v>
      </c>
      <c r="M65" t="s">
        <v>342</v>
      </c>
      <c r="N65" t="s">
        <v>127</v>
      </c>
      <c r="O65" t="s">
        <v>485</v>
      </c>
      <c r="P65" t="s">
        <v>49</v>
      </c>
      <c r="R65">
        <v>1</v>
      </c>
      <c r="S65">
        <v>0</v>
      </c>
      <c r="T65">
        <v>0</v>
      </c>
      <c r="U65" t="s">
        <v>486</v>
      </c>
      <c r="V65" t="s">
        <v>487</v>
      </c>
      <c r="W65">
        <v>30101081802039</v>
      </c>
      <c r="X65">
        <v>36899</v>
      </c>
      <c r="Y65" t="s">
        <v>103</v>
      </c>
      <c r="Z65">
        <v>1</v>
      </c>
      <c r="AA65">
        <v>0</v>
      </c>
      <c r="AB65">
        <v>1</v>
      </c>
      <c r="AC65" t="s">
        <v>488</v>
      </c>
      <c r="AD65" t="s">
        <v>489</v>
      </c>
      <c r="AE65" t="s">
        <v>54</v>
      </c>
      <c r="AF65">
        <v>68</v>
      </c>
      <c r="AG65">
        <v>175</v>
      </c>
      <c r="AH65">
        <f>IF([2]!Table1[[#This Row],[الوزن]]&lt;&gt;"",[2]!Table1[[#This Row],[الوزن]]-([2]!Table1[[#This Row],[الطول]]-100),"")</f>
        <v>-5</v>
      </c>
      <c r="AJ65" t="s">
        <v>298</v>
      </c>
      <c r="AN65" t="s">
        <v>145</v>
      </c>
    </row>
    <row r="66" spans="1:40" ht="18.75" customHeight="1" x14ac:dyDescent="0.3">
      <c r="A66" s="1">
        <v>2021134715993</v>
      </c>
      <c r="B66" t="s">
        <v>125</v>
      </c>
      <c r="C66" t="s">
        <v>490</v>
      </c>
      <c r="D66" t="s">
        <v>341</v>
      </c>
      <c r="E66" t="s">
        <v>43</v>
      </c>
      <c r="F66">
        <v>161</v>
      </c>
      <c r="G66">
        <v>44546</v>
      </c>
      <c r="H66">
        <v>45581</v>
      </c>
      <c r="I66">
        <v>45581</v>
      </c>
      <c r="J66">
        <v>45581</v>
      </c>
      <c r="K66">
        <v>45581</v>
      </c>
      <c r="L66" t="s">
        <v>135</v>
      </c>
      <c r="M66" t="s">
        <v>342</v>
      </c>
      <c r="N66" t="s">
        <v>47</v>
      </c>
      <c r="O66" t="s">
        <v>491</v>
      </c>
      <c r="P66" t="s">
        <v>49</v>
      </c>
      <c r="R66">
        <v>0</v>
      </c>
      <c r="S66">
        <v>0</v>
      </c>
      <c r="T66">
        <v>0</v>
      </c>
      <c r="U66" t="s">
        <v>492</v>
      </c>
      <c r="V66" t="s">
        <v>493</v>
      </c>
      <c r="W66">
        <v>30210251303494</v>
      </c>
      <c r="X66">
        <v>37554</v>
      </c>
      <c r="Y66" t="s">
        <v>153</v>
      </c>
      <c r="Z66">
        <v>0</v>
      </c>
      <c r="AA66">
        <v>0</v>
      </c>
      <c r="AB66">
        <v>0</v>
      </c>
      <c r="AC66" t="s">
        <v>494</v>
      </c>
      <c r="AD66" t="s">
        <v>297</v>
      </c>
      <c r="AE66" t="s">
        <v>64</v>
      </c>
      <c r="AF66">
        <v>70</v>
      </c>
      <c r="AG66">
        <v>175</v>
      </c>
      <c r="AH66">
        <f>IF([2]!Table1[[#This Row],[الوزن]]&lt;&gt;"",[2]!Table1[[#This Row],[الوزن]]-([2]!Table1[[#This Row],[الطول]]-100),"")</f>
        <v>2</v>
      </c>
      <c r="AJ66" t="s">
        <v>298</v>
      </c>
      <c r="AN66" t="s">
        <v>145</v>
      </c>
    </row>
    <row r="67" spans="1:40" ht="18.75" customHeight="1" x14ac:dyDescent="0.3">
      <c r="A67" s="1">
        <v>2003134790555</v>
      </c>
      <c r="B67" t="s">
        <v>495</v>
      </c>
      <c r="C67" t="s">
        <v>496</v>
      </c>
      <c r="D67" t="s">
        <v>497</v>
      </c>
      <c r="E67" t="s">
        <v>43</v>
      </c>
      <c r="F67" t="s">
        <v>498</v>
      </c>
      <c r="G67">
        <v>37866</v>
      </c>
      <c r="H67">
        <v>37867</v>
      </c>
      <c r="I67">
        <v>45292</v>
      </c>
      <c r="J67">
        <v>45580</v>
      </c>
      <c r="K67">
        <v>45580</v>
      </c>
      <c r="L67" t="s">
        <v>135</v>
      </c>
      <c r="M67" t="s">
        <v>136</v>
      </c>
      <c r="N67" t="s">
        <v>127</v>
      </c>
      <c r="O67" t="s">
        <v>499</v>
      </c>
      <c r="P67" t="s">
        <v>49</v>
      </c>
      <c r="R67">
        <v>11</v>
      </c>
      <c r="S67">
        <v>0</v>
      </c>
      <c r="T67">
        <v>0</v>
      </c>
      <c r="U67" t="s">
        <v>500</v>
      </c>
      <c r="V67" t="s">
        <v>501</v>
      </c>
      <c r="W67">
        <v>28810011611696</v>
      </c>
      <c r="X67">
        <v>32417</v>
      </c>
      <c r="Y67" t="s">
        <v>103</v>
      </c>
      <c r="Z67">
        <v>3</v>
      </c>
      <c r="AA67">
        <v>1</v>
      </c>
      <c r="AD67" t="s">
        <v>502</v>
      </c>
      <c r="AF67">
        <v>74</v>
      </c>
      <c r="AG67">
        <v>172</v>
      </c>
      <c r="AH67">
        <f>IF([2]!Table1[[#This Row],[الوزن]]&lt;&gt;"",[2]!Table1[[#This Row],[الوزن]]-([2]!Table1[[#This Row],[الطول]]-100),"")</f>
        <v>2</v>
      </c>
      <c r="AJ67" t="s">
        <v>503</v>
      </c>
      <c r="AL67" t="s">
        <v>504</v>
      </c>
      <c r="AN67" t="s">
        <v>145</v>
      </c>
    </row>
    <row r="68" spans="1:40" ht="18.75" customHeight="1" x14ac:dyDescent="0.3">
      <c r="A68" s="1">
        <v>2007134790995</v>
      </c>
      <c r="B68" t="s">
        <v>40</v>
      </c>
      <c r="C68" t="s">
        <v>505</v>
      </c>
      <c r="D68" t="s">
        <v>497</v>
      </c>
      <c r="E68" t="s">
        <v>43</v>
      </c>
      <c r="F68" t="s">
        <v>506</v>
      </c>
      <c r="G68">
        <v>39327</v>
      </c>
      <c r="H68">
        <v>39327</v>
      </c>
      <c r="I68">
        <v>44927</v>
      </c>
      <c r="J68">
        <v>41964</v>
      </c>
      <c r="K68">
        <v>44154</v>
      </c>
      <c r="L68" t="s">
        <v>135</v>
      </c>
      <c r="M68" t="s">
        <v>136</v>
      </c>
      <c r="N68" t="s">
        <v>127</v>
      </c>
      <c r="O68" t="s">
        <v>499</v>
      </c>
      <c r="P68" t="s">
        <v>49</v>
      </c>
      <c r="R68">
        <v>40</v>
      </c>
      <c r="S68">
        <v>5</v>
      </c>
      <c r="T68">
        <v>0</v>
      </c>
      <c r="U68" t="s">
        <v>507</v>
      </c>
      <c r="V68" t="s">
        <v>508</v>
      </c>
      <c r="W68">
        <v>29105011606631</v>
      </c>
      <c r="X68">
        <v>33359</v>
      </c>
      <c r="Y68" t="s">
        <v>103</v>
      </c>
      <c r="Z68">
        <v>3</v>
      </c>
      <c r="AA68">
        <v>1</v>
      </c>
      <c r="AD68" t="s">
        <v>509</v>
      </c>
      <c r="AF68">
        <v>77</v>
      </c>
      <c r="AG68">
        <v>175</v>
      </c>
      <c r="AH68">
        <f>IF([2]!Table1[[#This Row],[الوزن]]&lt;&gt;"",[2]!Table1[[#This Row],[الوزن]]-([2]!Table1[[#This Row],[الطول]]-100),"")</f>
        <v>4</v>
      </c>
      <c r="AJ68" t="s">
        <v>510</v>
      </c>
      <c r="AN68" t="s">
        <v>145</v>
      </c>
    </row>
    <row r="69" spans="1:40" ht="18.75" customHeight="1" x14ac:dyDescent="0.3">
      <c r="A69" s="1">
        <v>2002131100486</v>
      </c>
      <c r="B69" t="s">
        <v>210</v>
      </c>
      <c r="C69" t="s">
        <v>511</v>
      </c>
      <c r="D69" t="s">
        <v>497</v>
      </c>
      <c r="E69" t="s">
        <v>43</v>
      </c>
      <c r="F69">
        <v>128</v>
      </c>
      <c r="G69">
        <v>37440</v>
      </c>
      <c r="H69">
        <v>37912</v>
      </c>
      <c r="I69">
        <v>45292</v>
      </c>
      <c r="J69">
        <v>44501</v>
      </c>
      <c r="K69">
        <v>45006</v>
      </c>
      <c r="L69" t="s">
        <v>135</v>
      </c>
      <c r="M69" t="s">
        <v>136</v>
      </c>
      <c r="N69" t="s">
        <v>127</v>
      </c>
      <c r="O69" t="s">
        <v>512</v>
      </c>
      <c r="P69" t="s">
        <v>49</v>
      </c>
      <c r="R69">
        <v>4</v>
      </c>
      <c r="S69">
        <v>0</v>
      </c>
      <c r="T69">
        <v>0</v>
      </c>
      <c r="U69" t="s">
        <v>513</v>
      </c>
      <c r="V69" t="s">
        <v>514</v>
      </c>
      <c r="W69">
        <v>28309222702298</v>
      </c>
      <c r="X69">
        <v>30581</v>
      </c>
      <c r="Y69" t="s">
        <v>103</v>
      </c>
      <c r="Z69">
        <v>4</v>
      </c>
      <c r="AA69">
        <v>3</v>
      </c>
      <c r="AD69" t="s">
        <v>515</v>
      </c>
      <c r="AF69">
        <v>74</v>
      </c>
      <c r="AG69">
        <v>170</v>
      </c>
      <c r="AH69">
        <f>IF([2]!Table1[[#This Row],[الوزن]]&lt;&gt;"",[2]!Table1[[#This Row],[الوزن]]-([2]!Table1[[#This Row],[الطول]]-100),"")</f>
        <v>5</v>
      </c>
      <c r="AI69" t="s">
        <v>516</v>
      </c>
      <c r="AJ69" t="s">
        <v>517</v>
      </c>
      <c r="AK69" t="s">
        <v>518</v>
      </c>
      <c r="AN69" t="s">
        <v>145</v>
      </c>
    </row>
    <row r="70" spans="1:40" ht="18.75" customHeight="1" x14ac:dyDescent="0.3">
      <c r="A70" s="1">
        <v>2003138307249</v>
      </c>
      <c r="B70" t="s">
        <v>210</v>
      </c>
      <c r="C70" t="s">
        <v>519</v>
      </c>
      <c r="D70" t="s">
        <v>497</v>
      </c>
      <c r="E70" t="s">
        <v>43</v>
      </c>
      <c r="F70">
        <v>130</v>
      </c>
      <c r="G70">
        <v>37821</v>
      </c>
      <c r="H70">
        <v>38296</v>
      </c>
      <c r="I70">
        <v>45658</v>
      </c>
      <c r="J70">
        <v>44593</v>
      </c>
      <c r="K70">
        <v>44593</v>
      </c>
      <c r="L70" t="s">
        <v>135</v>
      </c>
      <c r="M70" t="s">
        <v>136</v>
      </c>
      <c r="N70" t="s">
        <v>127</v>
      </c>
      <c r="O70" t="s">
        <v>520</v>
      </c>
      <c r="P70" t="s">
        <v>49</v>
      </c>
      <c r="R70">
        <v>14</v>
      </c>
      <c r="S70">
        <v>0</v>
      </c>
      <c r="T70">
        <v>0</v>
      </c>
      <c r="U70" t="s">
        <v>521</v>
      </c>
      <c r="V70" t="s">
        <v>522</v>
      </c>
      <c r="W70">
        <v>28410311801316</v>
      </c>
      <c r="X70">
        <v>30986</v>
      </c>
      <c r="Y70" t="s">
        <v>103</v>
      </c>
      <c r="Z70">
        <v>2</v>
      </c>
      <c r="AA70">
        <v>1</v>
      </c>
      <c r="AD70" t="s">
        <v>523</v>
      </c>
      <c r="AF70">
        <v>85</v>
      </c>
      <c r="AG70">
        <v>180</v>
      </c>
      <c r="AH70">
        <f>IF([2]!Table1[[#This Row],[الوزن]]&lt;&gt;"",[2]!Table1[[#This Row],[الوزن]]-([2]!Table1[[#This Row],[الطول]]-100),"")</f>
        <v>-4</v>
      </c>
      <c r="AJ70" t="s">
        <v>524</v>
      </c>
      <c r="AN70" t="s">
        <v>145</v>
      </c>
    </row>
    <row r="71" spans="1:40" ht="18.75" customHeight="1" x14ac:dyDescent="0.3">
      <c r="A71" s="1">
        <v>2007134701166</v>
      </c>
      <c r="B71" t="s">
        <v>57</v>
      </c>
      <c r="C71" t="s">
        <v>525</v>
      </c>
      <c r="D71" t="s">
        <v>497</v>
      </c>
      <c r="E71" t="s">
        <v>43</v>
      </c>
      <c r="F71">
        <v>140</v>
      </c>
      <c r="G71">
        <v>39095</v>
      </c>
      <c r="H71">
        <v>39566</v>
      </c>
      <c r="I71">
        <v>45108</v>
      </c>
      <c r="J71">
        <v>45974</v>
      </c>
      <c r="K71">
        <v>45974</v>
      </c>
      <c r="L71" t="s">
        <v>135</v>
      </c>
      <c r="M71" t="s">
        <v>136</v>
      </c>
      <c r="N71" t="s">
        <v>127</v>
      </c>
      <c r="O71" t="s">
        <v>526</v>
      </c>
      <c r="P71" t="s">
        <v>49</v>
      </c>
      <c r="R71">
        <v>9</v>
      </c>
      <c r="S71">
        <v>0</v>
      </c>
      <c r="T71">
        <v>0</v>
      </c>
      <c r="U71" t="s">
        <v>527</v>
      </c>
      <c r="V71" t="s">
        <v>528</v>
      </c>
      <c r="W71">
        <v>28808081801854</v>
      </c>
      <c r="X71">
        <v>32363</v>
      </c>
      <c r="Y71" t="s">
        <v>103</v>
      </c>
      <c r="Z71">
        <v>3</v>
      </c>
      <c r="AA71">
        <v>1</v>
      </c>
      <c r="AD71" t="s">
        <v>529</v>
      </c>
      <c r="AF71">
        <v>74</v>
      </c>
      <c r="AG71">
        <v>178</v>
      </c>
      <c r="AH71">
        <f>IF([2]!Table1[[#This Row],[الوزن]]&lt;&gt;"",[2]!Table1[[#This Row],[الوزن]]-([2]!Table1[[#This Row],[الطول]]-100),"")</f>
        <v>10</v>
      </c>
      <c r="AJ71" t="s">
        <v>530</v>
      </c>
      <c r="AL71" t="s">
        <v>531</v>
      </c>
      <c r="AN71" t="s">
        <v>145</v>
      </c>
    </row>
    <row r="72" spans="1:40" ht="18.75" customHeight="1" x14ac:dyDescent="0.3">
      <c r="A72" s="1">
        <v>2008134700257</v>
      </c>
      <c r="B72" t="s">
        <v>210</v>
      </c>
      <c r="C72" t="s">
        <v>532</v>
      </c>
      <c r="D72" t="s">
        <v>497</v>
      </c>
      <c r="E72" t="s">
        <v>43</v>
      </c>
      <c r="F72">
        <v>134</v>
      </c>
      <c r="G72">
        <v>39473</v>
      </c>
      <c r="H72">
        <v>39670</v>
      </c>
      <c r="I72">
        <v>38296</v>
      </c>
      <c r="J72">
        <v>44142</v>
      </c>
      <c r="K72">
        <v>44142</v>
      </c>
      <c r="L72" t="s">
        <v>135</v>
      </c>
      <c r="M72" t="s">
        <v>136</v>
      </c>
      <c r="N72" t="s">
        <v>127</v>
      </c>
      <c r="P72" t="s">
        <v>49</v>
      </c>
      <c r="R72">
        <v>3</v>
      </c>
      <c r="S72">
        <v>0</v>
      </c>
      <c r="T72">
        <v>0</v>
      </c>
      <c r="U72" t="s">
        <v>533</v>
      </c>
      <c r="V72" t="s">
        <v>534</v>
      </c>
      <c r="W72">
        <v>28801011519812</v>
      </c>
      <c r="X72">
        <v>32143</v>
      </c>
      <c r="Y72" t="s">
        <v>103</v>
      </c>
      <c r="Z72">
        <v>1</v>
      </c>
      <c r="AA72">
        <v>1</v>
      </c>
      <c r="AD72" t="s">
        <v>535</v>
      </c>
      <c r="AF72">
        <v>90</v>
      </c>
      <c r="AG72">
        <v>180</v>
      </c>
      <c r="AH72">
        <f>IF([2]!Table1[[#This Row],[الوزن]]&lt;&gt;"",[2]!Table1[[#This Row],[الوزن]]-([2]!Table1[[#This Row],[الطول]]-100),"")</f>
        <v>-1</v>
      </c>
      <c r="AJ72" t="s">
        <v>536</v>
      </c>
      <c r="AN72" t="s">
        <v>145</v>
      </c>
    </row>
    <row r="73" spans="1:40" ht="18.75" customHeight="1" x14ac:dyDescent="0.3">
      <c r="A73" s="1">
        <v>2015131102691</v>
      </c>
      <c r="B73" t="s">
        <v>106</v>
      </c>
      <c r="C73" t="s">
        <v>537</v>
      </c>
      <c r="D73" t="s">
        <v>497</v>
      </c>
      <c r="E73" t="s">
        <v>43</v>
      </c>
      <c r="F73">
        <v>155</v>
      </c>
      <c r="G73">
        <v>42369</v>
      </c>
      <c r="H73">
        <v>42932</v>
      </c>
      <c r="I73">
        <v>44927</v>
      </c>
      <c r="J73">
        <v>44873</v>
      </c>
      <c r="K73">
        <v>44873</v>
      </c>
      <c r="L73" t="s">
        <v>135</v>
      </c>
      <c r="M73" t="s">
        <v>136</v>
      </c>
      <c r="N73" t="s">
        <v>127</v>
      </c>
      <c r="O73" t="s">
        <v>538</v>
      </c>
      <c r="P73" t="s">
        <v>49</v>
      </c>
      <c r="R73">
        <v>1</v>
      </c>
      <c r="S73">
        <v>0</v>
      </c>
      <c r="T73">
        <v>0</v>
      </c>
      <c r="U73" t="s">
        <v>539</v>
      </c>
      <c r="W73">
        <v>29905151602632</v>
      </c>
      <c r="X73">
        <v>36295</v>
      </c>
      <c r="Y73" t="s">
        <v>103</v>
      </c>
      <c r="Z73">
        <v>1</v>
      </c>
      <c r="AA73">
        <v>0</v>
      </c>
      <c r="AD73" t="s">
        <v>540</v>
      </c>
      <c r="AF73">
        <v>74</v>
      </c>
      <c r="AG73">
        <v>175</v>
      </c>
      <c r="AH73">
        <f>IF([2]!Table1[[#This Row],[الوزن]]&lt;&gt;"",[2]!Table1[[#This Row],[الوزن]]-([2]!Table1[[#This Row],[الطول]]-100),"")</f>
        <v>-4</v>
      </c>
      <c r="AJ73" t="s">
        <v>541</v>
      </c>
      <c r="AN73" t="s">
        <v>145</v>
      </c>
    </row>
    <row r="74" spans="1:40" ht="18.75" customHeight="1" x14ac:dyDescent="0.3">
      <c r="A74" s="1">
        <v>2017138305096</v>
      </c>
      <c r="B74" t="s">
        <v>106</v>
      </c>
      <c r="C74" t="s">
        <v>542</v>
      </c>
      <c r="D74" t="s">
        <v>497</v>
      </c>
      <c r="E74" t="s">
        <v>43</v>
      </c>
      <c r="F74">
        <v>157</v>
      </c>
      <c r="G74">
        <v>42915</v>
      </c>
      <c r="H74">
        <v>43663</v>
      </c>
      <c r="I74">
        <v>45658</v>
      </c>
      <c r="J74">
        <v>43706</v>
      </c>
      <c r="K74">
        <v>45580</v>
      </c>
      <c r="L74" t="s">
        <v>135</v>
      </c>
      <c r="M74" t="s">
        <v>136</v>
      </c>
      <c r="N74" t="s">
        <v>127</v>
      </c>
      <c r="P74" t="s">
        <v>49</v>
      </c>
      <c r="R74">
        <v>0</v>
      </c>
      <c r="S74">
        <v>0</v>
      </c>
      <c r="T74">
        <v>0</v>
      </c>
      <c r="U74" t="s">
        <v>543</v>
      </c>
      <c r="V74" t="s">
        <v>544</v>
      </c>
      <c r="W74">
        <v>29810252402056</v>
      </c>
      <c r="X74">
        <v>36093</v>
      </c>
      <c r="Y74" t="s">
        <v>103</v>
      </c>
      <c r="Z74">
        <v>1</v>
      </c>
      <c r="AA74">
        <v>1</v>
      </c>
      <c r="AD74" t="s">
        <v>545</v>
      </c>
      <c r="AF74">
        <v>68</v>
      </c>
      <c r="AG74">
        <v>172</v>
      </c>
      <c r="AH74">
        <f>IF([2]!Table1[[#This Row],[الوزن]]&lt;&gt;"",[2]!Table1[[#This Row],[الوزن]]-([2]!Table1[[#This Row],[الطول]]-100),"")</f>
        <v>-9</v>
      </c>
      <c r="AJ74" t="s">
        <v>446</v>
      </c>
      <c r="AN74" t="s">
        <v>145</v>
      </c>
    </row>
    <row r="75" spans="1:40" ht="18.75" customHeight="1" x14ac:dyDescent="0.3">
      <c r="A75" s="1">
        <v>2021134723425</v>
      </c>
      <c r="B75" t="s">
        <v>125</v>
      </c>
      <c r="C75" t="s">
        <v>546</v>
      </c>
      <c r="D75" t="s">
        <v>497</v>
      </c>
      <c r="E75" t="s">
        <v>43</v>
      </c>
      <c r="F75">
        <v>161</v>
      </c>
      <c r="G75">
        <v>44546</v>
      </c>
      <c r="H75">
        <v>45581</v>
      </c>
      <c r="I75">
        <v>45581</v>
      </c>
      <c r="J75">
        <v>45588</v>
      </c>
      <c r="K75">
        <v>45588</v>
      </c>
      <c r="L75" t="s">
        <v>135</v>
      </c>
      <c r="M75" t="s">
        <v>136</v>
      </c>
      <c r="N75" t="s">
        <v>127</v>
      </c>
      <c r="O75" t="s">
        <v>547</v>
      </c>
      <c r="P75" t="s">
        <v>49</v>
      </c>
      <c r="R75">
        <v>0</v>
      </c>
      <c r="S75">
        <v>0</v>
      </c>
      <c r="T75">
        <v>0</v>
      </c>
      <c r="U75" t="s">
        <v>548</v>
      </c>
      <c r="V75" t="s">
        <v>549</v>
      </c>
      <c r="W75">
        <v>30202121201379</v>
      </c>
      <c r="X75">
        <v>37299</v>
      </c>
      <c r="Y75" t="s">
        <v>550</v>
      </c>
      <c r="Z75">
        <v>0</v>
      </c>
      <c r="AA75">
        <v>0</v>
      </c>
      <c r="AD75" t="s">
        <v>551</v>
      </c>
      <c r="AF75">
        <v>70</v>
      </c>
      <c r="AG75">
        <v>179</v>
      </c>
      <c r="AH75">
        <f>IF([2]!Table1[[#This Row],[الوزن]]&lt;&gt;"",[2]!Table1[[#This Row],[الوزن]]-([2]!Table1[[#This Row],[الطول]]-100),"")</f>
        <v>-1</v>
      </c>
      <c r="AJ75" t="s">
        <v>298</v>
      </c>
      <c r="AN75" t="s">
        <v>145</v>
      </c>
    </row>
    <row r="76" spans="1:40" ht="18.75" customHeight="1" x14ac:dyDescent="0.3">
      <c r="A76" s="1">
        <v>2004138302958</v>
      </c>
      <c r="B76" t="s">
        <v>210</v>
      </c>
      <c r="C76" t="s">
        <v>552</v>
      </c>
      <c r="D76" t="s">
        <v>553</v>
      </c>
      <c r="E76" t="s">
        <v>43</v>
      </c>
      <c r="F76">
        <v>132</v>
      </c>
      <c r="G76">
        <v>38185</v>
      </c>
      <c r="H76">
        <v>38659</v>
      </c>
      <c r="I76">
        <v>44562</v>
      </c>
      <c r="J76">
        <v>45980</v>
      </c>
      <c r="K76">
        <v>45977</v>
      </c>
      <c r="L76" t="s">
        <v>135</v>
      </c>
      <c r="M76" t="s">
        <v>554</v>
      </c>
      <c r="N76" t="s">
        <v>127</v>
      </c>
      <c r="O76" t="s">
        <v>555</v>
      </c>
      <c r="P76" t="s">
        <v>49</v>
      </c>
      <c r="R76">
        <v>2</v>
      </c>
      <c r="S76">
        <v>0</v>
      </c>
      <c r="T76">
        <v>0</v>
      </c>
      <c r="U76" t="s">
        <v>556</v>
      </c>
      <c r="W76">
        <v>28506281700274</v>
      </c>
      <c r="X76">
        <v>31226</v>
      </c>
      <c r="Y76" t="s">
        <v>103</v>
      </c>
      <c r="Z76">
        <v>4</v>
      </c>
      <c r="AA76">
        <v>2</v>
      </c>
      <c r="AD76" t="s">
        <v>557</v>
      </c>
      <c r="AF76">
        <v>75</v>
      </c>
      <c r="AG76">
        <v>176</v>
      </c>
      <c r="AH76">
        <f>IF([2]!Table1[[#This Row],[الوزن]]&lt;&gt;"",[2]!Table1[[#This Row],[الوزن]]-([2]!Table1[[#This Row],[الطول]]-100),"")</f>
        <v>-1</v>
      </c>
      <c r="AJ76" t="s">
        <v>558</v>
      </c>
      <c r="AL76" t="s">
        <v>559</v>
      </c>
      <c r="AN76" t="s">
        <v>145</v>
      </c>
    </row>
    <row r="77" spans="1:40" ht="18.75" customHeight="1" x14ac:dyDescent="0.3">
      <c r="A77" s="1">
        <v>2012138307753</v>
      </c>
      <c r="B77" t="s">
        <v>75</v>
      </c>
      <c r="C77" t="s">
        <v>560</v>
      </c>
      <c r="D77" t="s">
        <v>553</v>
      </c>
      <c r="E77" t="s">
        <v>43</v>
      </c>
      <c r="F77">
        <v>147</v>
      </c>
      <c r="G77">
        <v>40936</v>
      </c>
      <c r="H77">
        <v>41407</v>
      </c>
      <c r="I77">
        <v>45108</v>
      </c>
      <c r="J77">
        <v>45233</v>
      </c>
      <c r="K77">
        <v>45225</v>
      </c>
      <c r="L77" t="s">
        <v>135</v>
      </c>
      <c r="M77" t="s">
        <v>554</v>
      </c>
      <c r="N77" t="s">
        <v>127</v>
      </c>
      <c r="O77" t="s">
        <v>561</v>
      </c>
      <c r="P77" t="s">
        <v>49</v>
      </c>
      <c r="R77">
        <v>3</v>
      </c>
      <c r="S77">
        <v>0</v>
      </c>
      <c r="T77">
        <v>0</v>
      </c>
      <c r="U77" t="s">
        <v>562</v>
      </c>
      <c r="V77" t="s">
        <v>563</v>
      </c>
      <c r="W77">
        <v>29004032201878</v>
      </c>
      <c r="X77">
        <v>32966</v>
      </c>
      <c r="Y77" t="s">
        <v>103</v>
      </c>
      <c r="Z77">
        <v>3</v>
      </c>
      <c r="AA77">
        <v>2</v>
      </c>
      <c r="AD77" t="s">
        <v>564</v>
      </c>
      <c r="AF77">
        <v>76</v>
      </c>
      <c r="AG77">
        <v>177</v>
      </c>
      <c r="AH77">
        <f>IF([2]!Table1[[#This Row],[الوزن]]&lt;&gt;"",[2]!Table1[[#This Row],[الوزن]]-([2]!Table1[[#This Row],[الطول]]-100),"")</f>
        <v>-5</v>
      </c>
      <c r="AJ77" t="s">
        <v>565</v>
      </c>
      <c r="AL77" t="s">
        <v>566</v>
      </c>
      <c r="AN77" t="s">
        <v>145</v>
      </c>
    </row>
    <row r="78" spans="1:40" ht="18.75" customHeight="1" x14ac:dyDescent="0.3">
      <c r="A78" s="1">
        <v>2013138305747</v>
      </c>
      <c r="B78" t="s">
        <v>75</v>
      </c>
      <c r="C78" t="s">
        <v>567</v>
      </c>
      <c r="D78" t="s">
        <v>553</v>
      </c>
      <c r="E78" t="s">
        <v>43</v>
      </c>
      <c r="F78">
        <v>150</v>
      </c>
      <c r="G78">
        <v>41510</v>
      </c>
      <c r="H78">
        <v>41982</v>
      </c>
      <c r="I78">
        <v>45658</v>
      </c>
      <c r="J78">
        <v>45972</v>
      </c>
      <c r="K78">
        <v>45971</v>
      </c>
      <c r="L78" t="s">
        <v>135</v>
      </c>
      <c r="M78" t="s">
        <v>554</v>
      </c>
      <c r="N78" t="s">
        <v>127</v>
      </c>
      <c r="O78" t="s">
        <v>561</v>
      </c>
      <c r="P78" t="s">
        <v>49</v>
      </c>
      <c r="R78">
        <v>0</v>
      </c>
      <c r="S78">
        <v>0</v>
      </c>
      <c r="T78">
        <v>0</v>
      </c>
      <c r="U78" t="s">
        <v>568</v>
      </c>
      <c r="V78" t="s">
        <v>569</v>
      </c>
      <c r="W78">
        <v>29511081800859</v>
      </c>
      <c r="X78">
        <v>35011</v>
      </c>
      <c r="Y78" t="s">
        <v>103</v>
      </c>
      <c r="Z78">
        <v>2</v>
      </c>
      <c r="AA78">
        <v>1</v>
      </c>
      <c r="AD78" t="s">
        <v>570</v>
      </c>
      <c r="AF78">
        <v>70</v>
      </c>
      <c r="AG78">
        <v>175</v>
      </c>
      <c r="AH78">
        <f>IF([2]!Table1[[#This Row],[الوزن]]&lt;&gt;"",[2]!Table1[[#This Row],[الوزن]]-([2]!Table1[[#This Row],[الطول]]-100),"")</f>
        <v>-10</v>
      </c>
      <c r="AJ78" t="s">
        <v>571</v>
      </c>
      <c r="AK78" t="s">
        <v>572</v>
      </c>
      <c r="AN78" t="s">
        <v>145</v>
      </c>
    </row>
    <row r="79" spans="1:40" ht="18.75" customHeight="1" x14ac:dyDescent="0.3">
      <c r="A79" s="1">
        <v>2014138300125</v>
      </c>
      <c r="B79" t="s">
        <v>75</v>
      </c>
      <c r="C79" t="s">
        <v>573</v>
      </c>
      <c r="D79" t="s">
        <v>553</v>
      </c>
      <c r="E79" t="s">
        <v>43</v>
      </c>
      <c r="F79">
        <v>151</v>
      </c>
      <c r="G79">
        <v>41665</v>
      </c>
      <c r="H79">
        <v>42135</v>
      </c>
      <c r="I79">
        <v>45839</v>
      </c>
      <c r="J79">
        <v>45938</v>
      </c>
      <c r="K79">
        <v>45936</v>
      </c>
      <c r="L79" t="s">
        <v>135</v>
      </c>
      <c r="M79" t="s">
        <v>554</v>
      </c>
      <c r="N79" t="s">
        <v>127</v>
      </c>
      <c r="O79" t="s">
        <v>561</v>
      </c>
      <c r="P79" t="s">
        <v>49</v>
      </c>
      <c r="R79">
        <v>0</v>
      </c>
      <c r="S79">
        <v>0</v>
      </c>
      <c r="T79">
        <v>0</v>
      </c>
      <c r="U79" t="s">
        <v>574</v>
      </c>
      <c r="V79" t="s">
        <v>575</v>
      </c>
      <c r="W79">
        <v>29510151401071</v>
      </c>
      <c r="X79">
        <v>34987</v>
      </c>
      <c r="Y79" t="s">
        <v>103</v>
      </c>
      <c r="Z79">
        <v>1</v>
      </c>
      <c r="AA79">
        <v>1</v>
      </c>
      <c r="AD79" t="s">
        <v>576</v>
      </c>
      <c r="AF79">
        <v>68</v>
      </c>
      <c r="AG79">
        <v>178</v>
      </c>
      <c r="AH79">
        <f>IF([2]!Table1[[#This Row],[الوزن]]&lt;&gt;"",[2]!Table1[[#This Row],[الوزن]]-([2]!Table1[[#This Row],[الطول]]-100),"")</f>
        <v>-7</v>
      </c>
      <c r="AJ79" t="s">
        <v>577</v>
      </c>
      <c r="AN79" t="s">
        <v>145</v>
      </c>
    </row>
    <row r="80" spans="1:40" ht="18.75" customHeight="1" x14ac:dyDescent="0.3">
      <c r="A80" s="1">
        <v>2014138303111</v>
      </c>
      <c r="B80" t="s">
        <v>75</v>
      </c>
      <c r="C80" t="s">
        <v>578</v>
      </c>
      <c r="D80" t="s">
        <v>553</v>
      </c>
      <c r="E80" t="s">
        <v>43</v>
      </c>
      <c r="F80">
        <v>151</v>
      </c>
      <c r="G80">
        <v>41665</v>
      </c>
      <c r="H80">
        <v>42135</v>
      </c>
      <c r="I80">
        <v>45839</v>
      </c>
      <c r="J80">
        <v>45972</v>
      </c>
      <c r="K80">
        <v>45971</v>
      </c>
      <c r="L80" t="s">
        <v>135</v>
      </c>
      <c r="M80" t="s">
        <v>554</v>
      </c>
      <c r="N80" t="s">
        <v>127</v>
      </c>
      <c r="O80" t="s">
        <v>579</v>
      </c>
      <c r="P80" t="s">
        <v>49</v>
      </c>
      <c r="R80">
        <v>0</v>
      </c>
      <c r="S80">
        <v>0</v>
      </c>
      <c r="T80">
        <v>0</v>
      </c>
      <c r="U80" t="s">
        <v>580</v>
      </c>
      <c r="V80" t="s">
        <v>581</v>
      </c>
      <c r="W80">
        <v>29605051602836</v>
      </c>
      <c r="X80">
        <v>35190</v>
      </c>
      <c r="Y80" t="s">
        <v>103</v>
      </c>
      <c r="Z80">
        <v>2</v>
      </c>
      <c r="AA80">
        <v>2</v>
      </c>
      <c r="AD80" t="s">
        <v>582</v>
      </c>
      <c r="AF80">
        <v>71</v>
      </c>
      <c r="AG80">
        <v>178</v>
      </c>
      <c r="AH80">
        <f>IF([2]!Table1[[#This Row],[الوزن]]&lt;&gt;"",[2]!Table1[[#This Row],[الوزن]]-([2]!Table1[[#This Row],[الطول]]-100),"")</f>
        <v>-10</v>
      </c>
      <c r="AJ80" t="s">
        <v>583</v>
      </c>
      <c r="AN80" t="s">
        <v>145</v>
      </c>
    </row>
    <row r="81" spans="1:40" ht="18.75" customHeight="1" x14ac:dyDescent="0.3">
      <c r="A81" s="1">
        <v>2014138326288</v>
      </c>
      <c r="B81" t="s">
        <v>75</v>
      </c>
      <c r="C81" t="s">
        <v>584</v>
      </c>
      <c r="D81" t="s">
        <v>553</v>
      </c>
      <c r="E81" t="s">
        <v>43</v>
      </c>
      <c r="F81">
        <v>152</v>
      </c>
      <c r="G81">
        <v>41853</v>
      </c>
      <c r="H81">
        <v>42326</v>
      </c>
      <c r="I81">
        <v>44197</v>
      </c>
      <c r="J81">
        <v>44522</v>
      </c>
      <c r="K81">
        <v>44501</v>
      </c>
      <c r="L81" t="s">
        <v>135</v>
      </c>
      <c r="M81" t="s">
        <v>554</v>
      </c>
      <c r="N81" t="s">
        <v>127</v>
      </c>
      <c r="O81" t="s">
        <v>579</v>
      </c>
      <c r="P81" t="s">
        <v>49</v>
      </c>
      <c r="R81">
        <v>1</v>
      </c>
      <c r="S81">
        <v>0</v>
      </c>
      <c r="T81">
        <v>0</v>
      </c>
      <c r="U81" t="s">
        <v>585</v>
      </c>
      <c r="V81" t="s">
        <v>586</v>
      </c>
      <c r="W81">
        <v>29406282200711</v>
      </c>
      <c r="X81">
        <v>34513</v>
      </c>
      <c r="Y81" t="s">
        <v>103</v>
      </c>
      <c r="Z81">
        <v>3</v>
      </c>
      <c r="AA81">
        <v>3</v>
      </c>
      <c r="AD81" t="s">
        <v>587</v>
      </c>
      <c r="AF81">
        <v>69</v>
      </c>
      <c r="AG81">
        <v>179</v>
      </c>
      <c r="AH81">
        <f>IF([2]!Table1[[#This Row],[الوزن]]&lt;&gt;"",[2]!Table1[[#This Row],[الوزن]]-([2]!Table1[[#This Row],[الطول]]-100),"")</f>
        <v>0</v>
      </c>
      <c r="AJ81" t="s">
        <v>588</v>
      </c>
      <c r="AN81" t="s">
        <v>145</v>
      </c>
    </row>
    <row r="82" spans="1:40" ht="18.75" customHeight="1" x14ac:dyDescent="0.3">
      <c r="A82" s="1">
        <v>2015138311675</v>
      </c>
      <c r="B82" t="s">
        <v>106</v>
      </c>
      <c r="C82" t="s">
        <v>589</v>
      </c>
      <c r="D82" t="s">
        <v>553</v>
      </c>
      <c r="E82" t="s">
        <v>43</v>
      </c>
      <c r="F82">
        <v>154</v>
      </c>
      <c r="G82">
        <v>42224</v>
      </c>
      <c r="H82">
        <v>42789</v>
      </c>
      <c r="I82">
        <v>44562</v>
      </c>
      <c r="J82">
        <v>44522</v>
      </c>
      <c r="K82">
        <v>44504</v>
      </c>
      <c r="L82" t="s">
        <v>135</v>
      </c>
      <c r="M82" t="s">
        <v>554</v>
      </c>
      <c r="N82" t="s">
        <v>127</v>
      </c>
      <c r="O82" t="s">
        <v>579</v>
      </c>
      <c r="P82" t="s">
        <v>49</v>
      </c>
      <c r="R82">
        <v>1</v>
      </c>
      <c r="S82">
        <v>0</v>
      </c>
      <c r="T82">
        <v>0</v>
      </c>
      <c r="U82" t="s">
        <v>590</v>
      </c>
      <c r="W82">
        <v>29603021303939</v>
      </c>
      <c r="X82">
        <v>35126</v>
      </c>
      <c r="Y82" t="s">
        <v>103</v>
      </c>
      <c r="Z82">
        <v>2</v>
      </c>
      <c r="AA82">
        <v>1</v>
      </c>
      <c r="AD82" t="s">
        <v>591</v>
      </c>
      <c r="AF82">
        <v>89</v>
      </c>
      <c r="AG82">
        <v>189</v>
      </c>
      <c r="AH82">
        <f>IF([2]!Table1[[#This Row],[الوزن]]&lt;&gt;"",[2]!Table1[[#This Row],[الوزن]]-([2]!Table1[[#This Row],[الطول]]-100),"")</f>
        <v>4</v>
      </c>
      <c r="AJ82" t="s">
        <v>592</v>
      </c>
      <c r="AN82" t="s">
        <v>145</v>
      </c>
    </row>
    <row r="83" spans="1:40" ht="18.75" customHeight="1" x14ac:dyDescent="0.3">
      <c r="A83" s="1">
        <v>2015138312102</v>
      </c>
      <c r="B83" t="s">
        <v>106</v>
      </c>
      <c r="C83" t="s">
        <v>593</v>
      </c>
      <c r="D83" t="s">
        <v>553</v>
      </c>
      <c r="E83" t="s">
        <v>43</v>
      </c>
      <c r="F83">
        <v>154</v>
      </c>
      <c r="G83">
        <v>42224</v>
      </c>
      <c r="H83">
        <v>42790</v>
      </c>
      <c r="I83">
        <v>44743</v>
      </c>
      <c r="J83">
        <v>44498</v>
      </c>
      <c r="K83">
        <v>44499</v>
      </c>
      <c r="L83" t="s">
        <v>135</v>
      </c>
      <c r="M83" t="s">
        <v>554</v>
      </c>
      <c r="N83" t="s">
        <v>127</v>
      </c>
      <c r="O83" t="s">
        <v>579</v>
      </c>
      <c r="P83" t="s">
        <v>49</v>
      </c>
      <c r="R83">
        <v>0</v>
      </c>
      <c r="S83">
        <v>0</v>
      </c>
      <c r="T83">
        <v>0</v>
      </c>
      <c r="U83" t="s">
        <v>594</v>
      </c>
      <c r="W83">
        <v>29301022501576</v>
      </c>
      <c r="X83">
        <v>33971</v>
      </c>
      <c r="Y83" t="s">
        <v>103</v>
      </c>
      <c r="Z83">
        <v>2</v>
      </c>
      <c r="AA83">
        <v>1</v>
      </c>
      <c r="AD83" t="s">
        <v>595</v>
      </c>
      <c r="AF83">
        <v>75</v>
      </c>
      <c r="AG83">
        <v>171</v>
      </c>
      <c r="AH83">
        <f>IF([2]!Table1[[#This Row],[الوزن]]&lt;&gt;"",[2]!Table1[[#This Row],[الوزن]]-([2]!Table1[[#This Row],[الطول]]-100),"")</f>
        <v>-15</v>
      </c>
      <c r="AJ83" t="s">
        <v>596</v>
      </c>
      <c r="AL83" t="s">
        <v>597</v>
      </c>
      <c r="AN83" t="s">
        <v>145</v>
      </c>
    </row>
    <row r="84" spans="1:40" ht="18.75" customHeight="1" x14ac:dyDescent="0.3">
      <c r="A84" s="1">
        <v>2015138315263</v>
      </c>
      <c r="B84" t="s">
        <v>106</v>
      </c>
      <c r="C84" t="s">
        <v>598</v>
      </c>
      <c r="D84" t="s">
        <v>553</v>
      </c>
      <c r="E84" t="s">
        <v>43</v>
      </c>
      <c r="F84">
        <v>154</v>
      </c>
      <c r="G84">
        <v>42224</v>
      </c>
      <c r="H84">
        <v>42790</v>
      </c>
      <c r="I84">
        <v>44743</v>
      </c>
      <c r="J84">
        <v>45233</v>
      </c>
      <c r="K84">
        <v>45228</v>
      </c>
      <c r="L84" t="s">
        <v>135</v>
      </c>
      <c r="M84" t="s">
        <v>554</v>
      </c>
      <c r="N84" t="s">
        <v>127</v>
      </c>
      <c r="O84" t="s">
        <v>579</v>
      </c>
      <c r="P84" t="s">
        <v>49</v>
      </c>
      <c r="R84">
        <v>6</v>
      </c>
      <c r="S84">
        <v>0</v>
      </c>
      <c r="T84">
        <v>0</v>
      </c>
      <c r="U84" t="s">
        <v>599</v>
      </c>
      <c r="W84">
        <v>29803051200734</v>
      </c>
      <c r="X84">
        <v>35859</v>
      </c>
      <c r="Y84" t="s">
        <v>153</v>
      </c>
      <c r="Z84">
        <v>0</v>
      </c>
      <c r="AA84">
        <v>0</v>
      </c>
      <c r="AD84" t="s">
        <v>600</v>
      </c>
      <c r="AF84">
        <v>71</v>
      </c>
      <c r="AG84">
        <v>186</v>
      </c>
      <c r="AH84">
        <f>IF([2]!Table1[[#This Row],[الوزن]]&lt;&gt;"",[2]!Table1[[#This Row],[الوزن]]-([2]!Table1[[#This Row],[الطول]]-100),"")</f>
        <v>-7</v>
      </c>
      <c r="AJ84" t="s">
        <v>601</v>
      </c>
      <c r="AN84" t="s">
        <v>145</v>
      </c>
    </row>
    <row r="85" spans="1:40" ht="18.75" customHeight="1" x14ac:dyDescent="0.3">
      <c r="A85" s="1">
        <v>2015138326286</v>
      </c>
      <c r="B85" t="s">
        <v>106</v>
      </c>
      <c r="C85" t="s">
        <v>602</v>
      </c>
      <c r="D85" t="s">
        <v>553</v>
      </c>
      <c r="E85" t="s">
        <v>43</v>
      </c>
      <c r="F85">
        <v>155</v>
      </c>
      <c r="G85">
        <v>42369</v>
      </c>
      <c r="H85">
        <v>42932</v>
      </c>
      <c r="I85">
        <v>44927</v>
      </c>
      <c r="J85">
        <v>45237</v>
      </c>
      <c r="K85">
        <v>45218</v>
      </c>
      <c r="L85" t="s">
        <v>135</v>
      </c>
      <c r="M85" t="s">
        <v>554</v>
      </c>
      <c r="N85" t="s">
        <v>127</v>
      </c>
      <c r="O85" t="s">
        <v>579</v>
      </c>
      <c r="P85" t="s">
        <v>49</v>
      </c>
      <c r="R85">
        <v>1</v>
      </c>
      <c r="S85">
        <v>0</v>
      </c>
      <c r="T85">
        <v>0</v>
      </c>
      <c r="U85" t="s">
        <v>603</v>
      </c>
      <c r="W85">
        <v>29209092501618</v>
      </c>
      <c r="X85" t="s">
        <v>604</v>
      </c>
      <c r="Y85" t="s">
        <v>103</v>
      </c>
      <c r="Z85">
        <v>1</v>
      </c>
      <c r="AA85">
        <v>0</v>
      </c>
      <c r="AD85" t="s">
        <v>605</v>
      </c>
      <c r="AF85">
        <v>76</v>
      </c>
      <c r="AG85">
        <v>183</v>
      </c>
      <c r="AH85">
        <f>IF([2]!Table1[[#This Row],[الوزن]]&lt;&gt;"",[2]!Table1[[#This Row],[الوزن]]-([2]!Table1[[#This Row],[الطول]]-100),"")</f>
        <v>-12</v>
      </c>
      <c r="AJ85" t="s">
        <v>606</v>
      </c>
      <c r="AN85" t="s">
        <v>145</v>
      </c>
    </row>
    <row r="86" spans="1:40" ht="18.75" customHeight="1" x14ac:dyDescent="0.3">
      <c r="A86" s="1">
        <v>2017131810084</v>
      </c>
      <c r="B86" t="s">
        <v>106</v>
      </c>
      <c r="C86" t="s">
        <v>607</v>
      </c>
      <c r="D86" t="s">
        <v>553</v>
      </c>
      <c r="E86" t="s">
        <v>43</v>
      </c>
      <c r="F86">
        <v>157</v>
      </c>
      <c r="G86">
        <v>42915</v>
      </c>
      <c r="H86">
        <v>42950</v>
      </c>
      <c r="I86">
        <v>45658</v>
      </c>
      <c r="J86">
        <v>45929</v>
      </c>
      <c r="K86">
        <v>45929</v>
      </c>
      <c r="L86" t="s">
        <v>135</v>
      </c>
      <c r="M86" t="s">
        <v>554</v>
      </c>
      <c r="N86" t="s">
        <v>127</v>
      </c>
      <c r="O86" t="s">
        <v>608</v>
      </c>
      <c r="P86" t="s">
        <v>49</v>
      </c>
      <c r="R86">
        <v>1</v>
      </c>
      <c r="S86">
        <v>0</v>
      </c>
      <c r="T86">
        <v>0</v>
      </c>
      <c r="U86" t="s">
        <v>609</v>
      </c>
      <c r="W86">
        <v>29812142200779</v>
      </c>
      <c r="X86">
        <v>36143</v>
      </c>
      <c r="Y86" t="s">
        <v>103</v>
      </c>
      <c r="Z86">
        <v>1</v>
      </c>
      <c r="AA86">
        <v>1</v>
      </c>
      <c r="AD86" t="s">
        <v>92</v>
      </c>
      <c r="AF86">
        <v>66</v>
      </c>
      <c r="AG86">
        <v>178</v>
      </c>
      <c r="AH86">
        <f>IF([2]!Table1[[#This Row],[الوزن]]&lt;&gt;"",[2]!Table1[[#This Row],[الوزن]]-([2]!Table1[[#This Row],[الطول]]-100),"")</f>
        <v>-5</v>
      </c>
      <c r="AJ86" t="s">
        <v>610</v>
      </c>
      <c r="AK86" t="s">
        <v>611</v>
      </c>
      <c r="AN86" t="s">
        <v>145</v>
      </c>
    </row>
    <row r="87" spans="1:40" ht="18.75" customHeight="1" x14ac:dyDescent="0.3">
      <c r="A87" s="1">
        <v>2017138308389</v>
      </c>
      <c r="B87" t="s">
        <v>106</v>
      </c>
      <c r="C87" t="s">
        <v>612</v>
      </c>
      <c r="D87" t="s">
        <v>553</v>
      </c>
      <c r="E87" t="s">
        <v>43</v>
      </c>
      <c r="F87">
        <v>157</v>
      </c>
      <c r="G87">
        <v>42915</v>
      </c>
      <c r="H87">
        <v>42930</v>
      </c>
      <c r="I87">
        <v>45658</v>
      </c>
      <c r="J87">
        <v>45593</v>
      </c>
      <c r="K87">
        <v>45593</v>
      </c>
      <c r="L87" t="s">
        <v>135</v>
      </c>
      <c r="M87" t="s">
        <v>554</v>
      </c>
      <c r="N87" t="s">
        <v>127</v>
      </c>
      <c r="O87" t="s">
        <v>579</v>
      </c>
      <c r="P87" t="s">
        <v>49</v>
      </c>
      <c r="R87">
        <v>0</v>
      </c>
      <c r="S87">
        <v>0</v>
      </c>
      <c r="T87">
        <v>0</v>
      </c>
      <c r="U87" t="s">
        <v>609</v>
      </c>
      <c r="W87">
        <v>29704210202478</v>
      </c>
      <c r="X87">
        <v>35541</v>
      </c>
      <c r="Y87" t="s">
        <v>51</v>
      </c>
      <c r="Z87">
        <v>0</v>
      </c>
      <c r="AA87">
        <v>0</v>
      </c>
      <c r="AD87" t="s">
        <v>613</v>
      </c>
      <c r="AF87">
        <v>72</v>
      </c>
      <c r="AG87">
        <v>177</v>
      </c>
      <c r="AH87">
        <f>IF([2]!Table1[[#This Row],[الوزن]]&lt;&gt;"",[2]!Table1[[#This Row],[الوزن]]-([2]!Table1[[#This Row],[الطول]]-100),"")</f>
        <v>0</v>
      </c>
      <c r="AJ87" t="s">
        <v>614</v>
      </c>
      <c r="AN87" t="s">
        <v>145</v>
      </c>
    </row>
    <row r="88" spans="1:40" ht="18.75" customHeight="1" x14ac:dyDescent="0.3">
      <c r="A88" s="1">
        <v>2019132200800</v>
      </c>
      <c r="B88" t="s">
        <v>125</v>
      </c>
      <c r="C88" t="s">
        <v>615</v>
      </c>
      <c r="D88" t="s">
        <v>553</v>
      </c>
      <c r="E88" t="s">
        <v>43</v>
      </c>
      <c r="F88">
        <v>159</v>
      </c>
      <c r="G88">
        <v>43692</v>
      </c>
      <c r="H88">
        <v>44482</v>
      </c>
      <c r="I88">
        <v>44515</v>
      </c>
      <c r="J88">
        <v>44526</v>
      </c>
      <c r="K88">
        <v>44527</v>
      </c>
      <c r="L88" t="s">
        <v>135</v>
      </c>
      <c r="M88" t="s">
        <v>554</v>
      </c>
      <c r="N88" t="s">
        <v>127</v>
      </c>
      <c r="O88" t="s">
        <v>579</v>
      </c>
      <c r="P88" t="s">
        <v>49</v>
      </c>
      <c r="R88">
        <v>0</v>
      </c>
      <c r="S88">
        <v>0</v>
      </c>
      <c r="T88">
        <v>0</v>
      </c>
      <c r="U88" t="s">
        <v>616</v>
      </c>
      <c r="W88">
        <v>29910272502612</v>
      </c>
      <c r="X88">
        <v>36460</v>
      </c>
      <c r="Y88" t="s">
        <v>51</v>
      </c>
      <c r="Z88">
        <v>0</v>
      </c>
      <c r="AA88">
        <v>0</v>
      </c>
      <c r="AD88" t="s">
        <v>617</v>
      </c>
      <c r="AF88">
        <v>78</v>
      </c>
      <c r="AG88">
        <v>178</v>
      </c>
      <c r="AH88">
        <f>IF([2]!Table1[[#This Row],[الوزن]]&lt;&gt;"",[2]!Table1[[#This Row],[الوزن]]-([2]!Table1[[#This Row],[الطول]]-100),"")</f>
        <v>3</v>
      </c>
      <c r="AJ88" t="s">
        <v>280</v>
      </c>
      <c r="AN88" t="s">
        <v>145</v>
      </c>
    </row>
    <row r="89" spans="1:40" ht="18.75" customHeight="1" x14ac:dyDescent="0.3">
      <c r="A89" s="1">
        <v>2010130401416</v>
      </c>
      <c r="B89" t="s">
        <v>75</v>
      </c>
      <c r="C89" t="s">
        <v>618</v>
      </c>
      <c r="D89" t="s">
        <v>619</v>
      </c>
      <c r="E89" t="s">
        <v>43</v>
      </c>
      <c r="F89">
        <v>144</v>
      </c>
      <c r="G89">
        <v>40376</v>
      </c>
      <c r="H89">
        <v>40308</v>
      </c>
      <c r="I89">
        <v>44562</v>
      </c>
      <c r="J89">
        <v>45585</v>
      </c>
      <c r="K89">
        <v>45585</v>
      </c>
      <c r="L89" t="s">
        <v>135</v>
      </c>
      <c r="M89" t="s">
        <v>554</v>
      </c>
      <c r="N89" t="s">
        <v>78</v>
      </c>
      <c r="O89" t="s">
        <v>620</v>
      </c>
      <c r="P89" t="s">
        <v>49</v>
      </c>
      <c r="R89">
        <v>1</v>
      </c>
      <c r="S89">
        <v>0</v>
      </c>
      <c r="T89">
        <v>0</v>
      </c>
      <c r="U89" t="s">
        <v>621</v>
      </c>
      <c r="V89" t="s">
        <v>622</v>
      </c>
      <c r="W89">
        <v>29212151701236</v>
      </c>
      <c r="X89">
        <v>33953</v>
      </c>
      <c r="Y89" t="s">
        <v>103</v>
      </c>
      <c r="Z89">
        <v>2</v>
      </c>
      <c r="AA89">
        <v>1</v>
      </c>
      <c r="AD89" t="s">
        <v>623</v>
      </c>
      <c r="AF89">
        <v>83</v>
      </c>
      <c r="AG89">
        <v>180</v>
      </c>
      <c r="AH89">
        <f>IF([2]!Table1[[#This Row],[الوزن]]&lt;&gt;"",[2]!Table1[[#This Row],[الوزن]]-([2]!Table1[[#This Row],[الطول]]-100),"")</f>
        <v>0</v>
      </c>
      <c r="AJ89" t="s">
        <v>624</v>
      </c>
      <c r="AK89" t="s">
        <v>84</v>
      </c>
      <c r="AL89" t="s">
        <v>85</v>
      </c>
      <c r="AN89" t="s">
        <v>625</v>
      </c>
    </row>
    <row r="90" spans="1:40" ht="18.75" customHeight="1" x14ac:dyDescent="0.3">
      <c r="A90" s="1">
        <v>2014138303260</v>
      </c>
      <c r="B90" t="s">
        <v>75</v>
      </c>
      <c r="C90" t="s">
        <v>626</v>
      </c>
      <c r="D90" t="s">
        <v>619</v>
      </c>
      <c r="E90" t="s">
        <v>43</v>
      </c>
      <c r="F90">
        <v>151</v>
      </c>
      <c r="G90">
        <v>41665</v>
      </c>
      <c r="H90">
        <v>42135</v>
      </c>
      <c r="I90">
        <v>45839</v>
      </c>
      <c r="J90">
        <v>45228</v>
      </c>
      <c r="K90">
        <v>45228</v>
      </c>
      <c r="L90" t="s">
        <v>135</v>
      </c>
      <c r="M90" t="s">
        <v>554</v>
      </c>
      <c r="N90" t="s">
        <v>127</v>
      </c>
      <c r="O90" t="s">
        <v>579</v>
      </c>
      <c r="Q90" t="s">
        <v>49</v>
      </c>
      <c r="R90">
        <v>8</v>
      </c>
      <c r="S90">
        <v>0</v>
      </c>
      <c r="T90">
        <v>0</v>
      </c>
      <c r="U90" t="s">
        <v>621</v>
      </c>
      <c r="V90" t="s">
        <v>622</v>
      </c>
      <c r="W90">
        <v>29509051602497</v>
      </c>
      <c r="X90">
        <v>34947</v>
      </c>
      <c r="Y90" t="s">
        <v>103</v>
      </c>
      <c r="Z90">
        <v>3</v>
      </c>
      <c r="AA90">
        <v>2</v>
      </c>
      <c r="AD90" t="s">
        <v>627</v>
      </c>
      <c r="AF90">
        <v>80</v>
      </c>
      <c r="AG90">
        <v>180</v>
      </c>
      <c r="AH90">
        <f>IF([2]!Table1[[#This Row],[الوزن]]&lt;&gt;"",[2]!Table1[[#This Row],[الوزن]]-([2]!Table1[[#This Row],[الطول]]-100),"")</f>
        <v>4</v>
      </c>
      <c r="AJ90" t="s">
        <v>628</v>
      </c>
      <c r="AN90" t="s">
        <v>625</v>
      </c>
    </row>
    <row r="91" spans="1:40" ht="18.75" customHeight="1" x14ac:dyDescent="0.3">
      <c r="A91" s="1">
        <v>2014138306040</v>
      </c>
      <c r="B91" t="s">
        <v>75</v>
      </c>
      <c r="C91" t="s">
        <v>629</v>
      </c>
      <c r="D91" t="s">
        <v>619</v>
      </c>
      <c r="E91" t="s">
        <v>43</v>
      </c>
      <c r="F91">
        <v>151</v>
      </c>
      <c r="G91">
        <v>41665</v>
      </c>
      <c r="H91">
        <v>42135</v>
      </c>
      <c r="I91">
        <v>45839</v>
      </c>
      <c r="J91">
        <v>45229</v>
      </c>
      <c r="K91">
        <v>45229</v>
      </c>
      <c r="L91" t="s">
        <v>135</v>
      </c>
      <c r="M91" t="s">
        <v>554</v>
      </c>
      <c r="N91" t="s">
        <v>127</v>
      </c>
      <c r="O91" t="s">
        <v>630</v>
      </c>
      <c r="Q91" t="s">
        <v>49</v>
      </c>
      <c r="R91">
        <v>5</v>
      </c>
      <c r="S91">
        <v>0</v>
      </c>
      <c r="T91">
        <v>0</v>
      </c>
      <c r="U91" t="s">
        <v>631</v>
      </c>
      <c r="V91" t="s">
        <v>632</v>
      </c>
      <c r="W91">
        <v>29411262200891</v>
      </c>
      <c r="X91">
        <v>34664</v>
      </c>
      <c r="Y91" t="s">
        <v>103</v>
      </c>
      <c r="Z91">
        <v>2</v>
      </c>
      <c r="AA91">
        <v>2</v>
      </c>
      <c r="AD91" t="s">
        <v>633</v>
      </c>
      <c r="AF91">
        <v>85</v>
      </c>
      <c r="AG91">
        <v>181</v>
      </c>
      <c r="AH91">
        <f>IF([2]!Table1[[#This Row],[الوزن]]&lt;&gt;"",[2]!Table1[[#This Row],[الوزن]]-([2]!Table1[[#This Row],[الطول]]-100),"")</f>
        <v>3</v>
      </c>
      <c r="AJ91" t="s">
        <v>634</v>
      </c>
      <c r="AN91" t="s">
        <v>625</v>
      </c>
    </row>
    <row r="92" spans="1:40" ht="18.75" customHeight="1" x14ac:dyDescent="0.3">
      <c r="A92" s="1">
        <v>2014138308616</v>
      </c>
      <c r="B92" t="s">
        <v>75</v>
      </c>
      <c r="C92" t="s">
        <v>635</v>
      </c>
      <c r="D92" t="s">
        <v>619</v>
      </c>
      <c r="E92" t="s">
        <v>43</v>
      </c>
      <c r="F92">
        <v>152</v>
      </c>
      <c r="G92">
        <v>41730</v>
      </c>
      <c r="H92">
        <v>42326</v>
      </c>
      <c r="I92">
        <v>44197</v>
      </c>
      <c r="J92">
        <v>45594</v>
      </c>
      <c r="K92">
        <v>45594</v>
      </c>
      <c r="L92" t="s">
        <v>135</v>
      </c>
      <c r="M92" t="s">
        <v>554</v>
      </c>
      <c r="N92" t="s">
        <v>127</v>
      </c>
      <c r="O92" t="s">
        <v>579</v>
      </c>
      <c r="P92" t="s">
        <v>49</v>
      </c>
      <c r="R92">
        <v>0</v>
      </c>
      <c r="S92">
        <v>0</v>
      </c>
      <c r="T92">
        <v>0</v>
      </c>
      <c r="U92" t="s">
        <v>636</v>
      </c>
      <c r="V92" t="s">
        <v>637</v>
      </c>
      <c r="W92">
        <v>29102011408113</v>
      </c>
      <c r="X92">
        <v>33270</v>
      </c>
      <c r="Y92" t="s">
        <v>103</v>
      </c>
      <c r="Z92">
        <v>3</v>
      </c>
      <c r="AA92">
        <v>2</v>
      </c>
      <c r="AD92" t="s">
        <v>638</v>
      </c>
      <c r="AF92">
        <v>85</v>
      </c>
      <c r="AG92">
        <v>182</v>
      </c>
      <c r="AH92">
        <f>IF([2]!Table1[[#This Row],[الوزن]]&lt;&gt;"",[2]!Table1[[#This Row],[الوزن]]-([2]!Table1[[#This Row],[الطول]]-100),"")</f>
        <v>3</v>
      </c>
      <c r="AJ92" t="s">
        <v>639</v>
      </c>
      <c r="AN92" t="s">
        <v>625</v>
      </c>
    </row>
    <row r="93" spans="1:40" ht="18.75" customHeight="1" x14ac:dyDescent="0.3">
      <c r="A93" s="1">
        <v>2015131802150</v>
      </c>
      <c r="B93" t="s">
        <v>106</v>
      </c>
      <c r="C93" t="s">
        <v>640</v>
      </c>
      <c r="D93" t="s">
        <v>619</v>
      </c>
      <c r="E93" t="s">
        <v>43</v>
      </c>
      <c r="F93">
        <v>153</v>
      </c>
      <c r="G93">
        <v>42030</v>
      </c>
      <c r="H93">
        <v>42501</v>
      </c>
      <c r="I93">
        <v>44378</v>
      </c>
      <c r="J93">
        <v>45224</v>
      </c>
      <c r="K93">
        <v>45224</v>
      </c>
      <c r="L93" t="s">
        <v>135</v>
      </c>
      <c r="M93" t="s">
        <v>554</v>
      </c>
      <c r="N93" t="s">
        <v>307</v>
      </c>
      <c r="O93" t="s">
        <v>608</v>
      </c>
      <c r="P93" t="s">
        <v>49</v>
      </c>
      <c r="R93">
        <v>4</v>
      </c>
      <c r="S93">
        <v>0</v>
      </c>
      <c r="T93">
        <v>0</v>
      </c>
      <c r="U93" t="s">
        <v>641</v>
      </c>
      <c r="V93" t="s">
        <v>642</v>
      </c>
      <c r="W93">
        <v>29806231301279</v>
      </c>
      <c r="X93">
        <v>35969</v>
      </c>
      <c r="Y93" t="s">
        <v>51</v>
      </c>
      <c r="Z93">
        <v>0</v>
      </c>
      <c r="AA93">
        <v>0</v>
      </c>
      <c r="AD93" t="s">
        <v>643</v>
      </c>
      <c r="AF93">
        <v>82</v>
      </c>
      <c r="AG93">
        <v>179</v>
      </c>
      <c r="AH93">
        <f>IF([2]!Table1[[#This Row],[الوزن]]&lt;&gt;"",[2]!Table1[[#This Row],[الوزن]]-([2]!Table1[[#This Row],[الطول]]-100),"")</f>
        <v>3</v>
      </c>
      <c r="AJ93" t="s">
        <v>644</v>
      </c>
      <c r="AN93" t="s">
        <v>625</v>
      </c>
    </row>
    <row r="94" spans="1:40" ht="18.75" customHeight="1" x14ac:dyDescent="0.3">
      <c r="A94" s="1">
        <v>2015138304349</v>
      </c>
      <c r="B94" t="s">
        <v>106</v>
      </c>
      <c r="C94" t="s">
        <v>645</v>
      </c>
      <c r="D94" t="s">
        <v>619</v>
      </c>
      <c r="E94" t="s">
        <v>43</v>
      </c>
      <c r="F94">
        <v>153</v>
      </c>
      <c r="G94">
        <v>42030</v>
      </c>
      <c r="H94">
        <v>42501</v>
      </c>
      <c r="I94">
        <v>44378</v>
      </c>
      <c r="J94">
        <v>45971</v>
      </c>
      <c r="K94">
        <v>45971</v>
      </c>
      <c r="L94" t="s">
        <v>135</v>
      </c>
      <c r="M94" t="s">
        <v>554</v>
      </c>
      <c r="N94" t="s">
        <v>127</v>
      </c>
      <c r="O94" t="s">
        <v>630</v>
      </c>
      <c r="P94" t="s">
        <v>49</v>
      </c>
      <c r="R94">
        <v>1</v>
      </c>
      <c r="S94">
        <v>0</v>
      </c>
      <c r="T94">
        <v>0</v>
      </c>
      <c r="U94" t="s">
        <v>646</v>
      </c>
      <c r="V94" t="s">
        <v>647</v>
      </c>
      <c r="W94">
        <v>29203011608113</v>
      </c>
      <c r="X94">
        <v>33664</v>
      </c>
      <c r="Y94" t="s">
        <v>103</v>
      </c>
      <c r="Z94">
        <v>2</v>
      </c>
      <c r="AA94">
        <v>2</v>
      </c>
      <c r="AD94" t="s">
        <v>648</v>
      </c>
      <c r="AF94">
        <v>83</v>
      </c>
      <c r="AG94">
        <v>180</v>
      </c>
      <c r="AH94">
        <f>IF([2]!Table1[[#This Row],[الوزن]]&lt;&gt;"",[2]!Table1[[#This Row],[الوزن]]-([2]!Table1[[#This Row],[الطول]]-100),"")</f>
        <v>3</v>
      </c>
      <c r="AJ94" t="s">
        <v>649</v>
      </c>
      <c r="AN94" t="s">
        <v>625</v>
      </c>
    </row>
    <row r="95" spans="1:40" ht="18.75" customHeight="1" x14ac:dyDescent="0.3">
      <c r="A95" s="1">
        <v>2015138309307</v>
      </c>
      <c r="B95" t="s">
        <v>106</v>
      </c>
      <c r="C95" t="s">
        <v>650</v>
      </c>
      <c r="D95" t="s">
        <v>619</v>
      </c>
      <c r="E95" t="s">
        <v>43</v>
      </c>
      <c r="F95">
        <v>154</v>
      </c>
      <c r="G95">
        <v>42224</v>
      </c>
      <c r="H95">
        <v>42940</v>
      </c>
      <c r="I95">
        <v>44562</v>
      </c>
      <c r="J95">
        <v>43695</v>
      </c>
      <c r="K95">
        <v>45219</v>
      </c>
      <c r="L95" t="s">
        <v>135</v>
      </c>
      <c r="M95" t="s">
        <v>554</v>
      </c>
      <c r="N95" t="s">
        <v>127</v>
      </c>
      <c r="O95" t="s">
        <v>579</v>
      </c>
      <c r="P95" t="s">
        <v>49</v>
      </c>
      <c r="R95">
        <v>8</v>
      </c>
      <c r="S95">
        <v>0</v>
      </c>
      <c r="T95">
        <v>0</v>
      </c>
      <c r="U95" t="s">
        <v>651</v>
      </c>
      <c r="V95" t="s">
        <v>652</v>
      </c>
      <c r="W95">
        <v>29206071800934</v>
      </c>
      <c r="X95">
        <v>33762</v>
      </c>
      <c r="Y95" t="s">
        <v>153</v>
      </c>
      <c r="Z95">
        <v>0</v>
      </c>
      <c r="AA95">
        <v>0</v>
      </c>
      <c r="AD95" t="s">
        <v>653</v>
      </c>
      <c r="AF95">
        <v>85</v>
      </c>
      <c r="AG95">
        <v>182</v>
      </c>
      <c r="AH95">
        <f>IF([2]!Table1[[#This Row],[الوزن]]&lt;&gt;"",[2]!Table1[[#This Row],[الوزن]]-([2]!Table1[[#This Row],[الطول]]-100),"")</f>
        <v>2</v>
      </c>
      <c r="AJ95" t="s">
        <v>654</v>
      </c>
      <c r="AN95" t="s">
        <v>625</v>
      </c>
    </row>
    <row r="96" spans="1:40" ht="18.75" customHeight="1" x14ac:dyDescent="0.3">
      <c r="A96" s="1">
        <v>2016138306450</v>
      </c>
      <c r="B96" t="s">
        <v>106</v>
      </c>
      <c r="C96" t="s">
        <v>655</v>
      </c>
      <c r="D96" t="s">
        <v>619</v>
      </c>
      <c r="E96" t="s">
        <v>43</v>
      </c>
      <c r="F96">
        <v>156</v>
      </c>
      <c r="G96">
        <v>42575</v>
      </c>
      <c r="H96">
        <v>43321</v>
      </c>
      <c r="I96">
        <v>45292</v>
      </c>
      <c r="J96">
        <v>44809</v>
      </c>
      <c r="K96">
        <v>44809</v>
      </c>
      <c r="L96" t="s">
        <v>135</v>
      </c>
      <c r="M96" t="s">
        <v>554</v>
      </c>
      <c r="N96" t="s">
        <v>127</v>
      </c>
      <c r="O96" t="s">
        <v>630</v>
      </c>
      <c r="Q96" t="s">
        <v>49</v>
      </c>
      <c r="R96">
        <v>1</v>
      </c>
      <c r="S96">
        <v>0</v>
      </c>
      <c r="T96">
        <v>0</v>
      </c>
      <c r="U96" t="s">
        <v>656</v>
      </c>
      <c r="V96" t="s">
        <v>657</v>
      </c>
      <c r="W96">
        <v>29701011615331</v>
      </c>
      <c r="X96">
        <v>35431</v>
      </c>
      <c r="Y96" t="s">
        <v>103</v>
      </c>
      <c r="Z96">
        <v>1</v>
      </c>
      <c r="AA96">
        <v>0</v>
      </c>
      <c r="AD96" t="s">
        <v>658</v>
      </c>
      <c r="AF96">
        <v>84</v>
      </c>
      <c r="AG96">
        <v>182</v>
      </c>
      <c r="AH96">
        <f>IF([2]!Table1[[#This Row],[الوزن]]&lt;&gt;"",[2]!Table1[[#This Row],[الوزن]]-([2]!Table1[[#This Row],[الطول]]-100),"")</f>
        <v>3</v>
      </c>
      <c r="AJ96" t="s">
        <v>659</v>
      </c>
      <c r="AN96" t="s">
        <v>625</v>
      </c>
    </row>
    <row r="97" spans="1:40" ht="18.75" customHeight="1" x14ac:dyDescent="0.3">
      <c r="A97" s="1">
        <v>2016138306484</v>
      </c>
      <c r="B97" t="s">
        <v>106</v>
      </c>
      <c r="C97" t="s">
        <v>660</v>
      </c>
      <c r="D97" t="s">
        <v>619</v>
      </c>
      <c r="E97" t="s">
        <v>43</v>
      </c>
      <c r="F97">
        <v>156</v>
      </c>
      <c r="G97">
        <v>42575</v>
      </c>
      <c r="H97">
        <v>43321</v>
      </c>
      <c r="I97">
        <v>45292</v>
      </c>
      <c r="J97">
        <v>45971</v>
      </c>
      <c r="K97">
        <v>45971</v>
      </c>
      <c r="L97" t="s">
        <v>135</v>
      </c>
      <c r="M97" t="s">
        <v>554</v>
      </c>
      <c r="N97" t="s">
        <v>127</v>
      </c>
      <c r="O97" t="s">
        <v>579</v>
      </c>
      <c r="Q97" t="s">
        <v>49</v>
      </c>
      <c r="R97">
        <v>2</v>
      </c>
      <c r="S97">
        <v>0</v>
      </c>
      <c r="T97">
        <v>0</v>
      </c>
      <c r="U97" t="s">
        <v>661</v>
      </c>
      <c r="V97" t="s">
        <v>662</v>
      </c>
      <c r="W97">
        <v>29701011631433</v>
      </c>
      <c r="X97">
        <v>35431</v>
      </c>
      <c r="Y97" t="s">
        <v>51</v>
      </c>
      <c r="Z97">
        <v>0</v>
      </c>
      <c r="AA97">
        <v>0</v>
      </c>
      <c r="AD97" t="s">
        <v>663</v>
      </c>
      <c r="AF97">
        <v>85</v>
      </c>
      <c r="AG97">
        <v>182</v>
      </c>
      <c r="AH97">
        <f>IF([2]!Table1[[#This Row],[الوزن]]&lt;&gt;"",[2]!Table1[[#This Row],[الوزن]]-([2]!Table1[[#This Row],[الطول]]-100),"")</f>
        <v>3</v>
      </c>
      <c r="AJ97" t="s">
        <v>664</v>
      </c>
      <c r="AN97" t="s">
        <v>625</v>
      </c>
    </row>
    <row r="98" spans="1:40" ht="18.75" customHeight="1" x14ac:dyDescent="0.3">
      <c r="A98" s="1">
        <v>2016138306624</v>
      </c>
      <c r="B98" t="s">
        <v>106</v>
      </c>
      <c r="C98" t="s">
        <v>665</v>
      </c>
      <c r="D98" t="s">
        <v>619</v>
      </c>
      <c r="E98" t="s">
        <v>43</v>
      </c>
      <c r="F98">
        <v>156</v>
      </c>
      <c r="G98">
        <v>42575</v>
      </c>
      <c r="H98">
        <v>43321</v>
      </c>
      <c r="I98">
        <v>45292</v>
      </c>
      <c r="J98">
        <v>43343</v>
      </c>
      <c r="K98">
        <v>44855</v>
      </c>
      <c r="L98" t="s">
        <v>135</v>
      </c>
      <c r="M98" t="s">
        <v>554</v>
      </c>
      <c r="N98" t="s">
        <v>127</v>
      </c>
      <c r="O98" t="s">
        <v>666</v>
      </c>
      <c r="Q98" t="s">
        <v>49</v>
      </c>
      <c r="R98">
        <v>0</v>
      </c>
      <c r="S98">
        <v>0</v>
      </c>
      <c r="T98">
        <v>0</v>
      </c>
      <c r="U98" t="s">
        <v>667</v>
      </c>
      <c r="V98" t="s">
        <v>668</v>
      </c>
      <c r="W98">
        <v>29507042700254</v>
      </c>
      <c r="X98">
        <v>34884</v>
      </c>
      <c r="Y98" t="s">
        <v>103</v>
      </c>
      <c r="Z98">
        <v>2</v>
      </c>
      <c r="AA98">
        <v>2</v>
      </c>
      <c r="AD98" t="s">
        <v>669</v>
      </c>
      <c r="AF98">
        <v>85</v>
      </c>
      <c r="AG98">
        <v>182</v>
      </c>
      <c r="AH98">
        <f>IF([2]!Table1[[#This Row],[الوزن]]&lt;&gt;"",[2]!Table1[[#This Row],[الوزن]]-([2]!Table1[[#This Row],[الطول]]-100),"")</f>
        <v>2</v>
      </c>
      <c r="AJ98" t="s">
        <v>670</v>
      </c>
      <c r="AN98" t="s">
        <v>625</v>
      </c>
    </row>
    <row r="99" spans="1:40" ht="18.75" customHeight="1" x14ac:dyDescent="0.3">
      <c r="A99" s="1">
        <v>2017138308446</v>
      </c>
      <c r="B99" t="s">
        <v>106</v>
      </c>
      <c r="C99" t="s">
        <v>671</v>
      </c>
      <c r="D99" t="s">
        <v>619</v>
      </c>
      <c r="E99" t="s">
        <v>43</v>
      </c>
      <c r="F99">
        <v>157</v>
      </c>
      <c r="G99">
        <v>42915</v>
      </c>
      <c r="H99">
        <v>43663</v>
      </c>
      <c r="I99">
        <v>45658</v>
      </c>
      <c r="J99">
        <v>45583</v>
      </c>
      <c r="K99">
        <v>45583</v>
      </c>
      <c r="L99" t="s">
        <v>135</v>
      </c>
      <c r="M99" t="s">
        <v>554</v>
      </c>
      <c r="N99" t="s">
        <v>127</v>
      </c>
      <c r="O99" t="s">
        <v>579</v>
      </c>
      <c r="Q99" t="s">
        <v>49</v>
      </c>
      <c r="R99">
        <v>1</v>
      </c>
      <c r="S99">
        <v>0</v>
      </c>
      <c r="T99">
        <v>0</v>
      </c>
      <c r="U99" t="s">
        <v>672</v>
      </c>
      <c r="V99" t="s">
        <v>673</v>
      </c>
      <c r="W99">
        <v>2960414300913</v>
      </c>
      <c r="X99">
        <v>35169</v>
      </c>
      <c r="Y99" t="s">
        <v>406</v>
      </c>
      <c r="Z99">
        <v>1</v>
      </c>
      <c r="AA99">
        <v>1</v>
      </c>
      <c r="AD99" t="s">
        <v>674</v>
      </c>
      <c r="AF99">
        <v>84</v>
      </c>
      <c r="AG99">
        <v>182</v>
      </c>
      <c r="AH99">
        <f>IF([2]!Table1[[#This Row],[الوزن]]&lt;&gt;"",[2]!Table1[[#This Row],[الوزن]]-([2]!Table1[[#This Row],[الطول]]-100),"")</f>
        <v>2</v>
      </c>
      <c r="AJ99" t="s">
        <v>675</v>
      </c>
      <c r="AN99" t="s">
        <v>625</v>
      </c>
    </row>
    <row r="100" spans="1:40" ht="18.75" customHeight="1" x14ac:dyDescent="0.3">
      <c r="A100" s="1">
        <v>2018138311661</v>
      </c>
      <c r="B100" t="s">
        <v>106</v>
      </c>
      <c r="C100" t="s">
        <v>676</v>
      </c>
      <c r="D100" t="s">
        <v>619</v>
      </c>
      <c r="E100" t="s">
        <v>43</v>
      </c>
      <c r="F100">
        <v>158</v>
      </c>
      <c r="G100">
        <v>43279</v>
      </c>
      <c r="H100">
        <v>44117</v>
      </c>
      <c r="I100">
        <v>44117</v>
      </c>
      <c r="J100">
        <v>45225</v>
      </c>
      <c r="K100">
        <v>45225</v>
      </c>
      <c r="L100" t="s">
        <v>135</v>
      </c>
      <c r="M100" t="s">
        <v>554</v>
      </c>
      <c r="N100" t="s">
        <v>127</v>
      </c>
      <c r="O100" t="s">
        <v>579</v>
      </c>
      <c r="P100" t="s">
        <v>49</v>
      </c>
      <c r="R100">
        <v>0</v>
      </c>
      <c r="S100">
        <v>0</v>
      </c>
      <c r="T100">
        <v>0</v>
      </c>
      <c r="U100" t="s">
        <v>677</v>
      </c>
      <c r="V100" t="s">
        <v>678</v>
      </c>
      <c r="W100">
        <v>30002011317593</v>
      </c>
      <c r="X100">
        <v>36557</v>
      </c>
      <c r="Y100" t="s">
        <v>153</v>
      </c>
      <c r="Z100">
        <v>0</v>
      </c>
      <c r="AA100">
        <v>0</v>
      </c>
      <c r="AD100" t="s">
        <v>679</v>
      </c>
      <c r="AF100">
        <v>82</v>
      </c>
      <c r="AG100">
        <v>180</v>
      </c>
      <c r="AH100">
        <f>IF([2]!Table1[[#This Row],[الوزن]]&lt;&gt;"",[2]!Table1[[#This Row],[الوزن]]-([2]!Table1[[#This Row],[الطول]]-100),"")</f>
        <v>2</v>
      </c>
      <c r="AJ100" t="s">
        <v>680</v>
      </c>
      <c r="AN100" t="s">
        <v>625</v>
      </c>
    </row>
    <row r="101" spans="1:40" ht="18.75" customHeight="1" x14ac:dyDescent="0.3">
      <c r="A101" s="1">
        <v>2019132201113</v>
      </c>
      <c r="B101" t="s">
        <v>125</v>
      </c>
      <c r="C101" t="s">
        <v>681</v>
      </c>
      <c r="D101" t="s">
        <v>619</v>
      </c>
      <c r="E101" t="s">
        <v>43</v>
      </c>
      <c r="F101">
        <v>159</v>
      </c>
      <c r="G101">
        <v>43692</v>
      </c>
      <c r="H101">
        <v>44481</v>
      </c>
      <c r="I101">
        <v>44481</v>
      </c>
      <c r="J101">
        <v>44526</v>
      </c>
      <c r="K101">
        <v>44526</v>
      </c>
      <c r="L101" t="s">
        <v>135</v>
      </c>
      <c r="M101" t="s">
        <v>554</v>
      </c>
      <c r="N101" t="s">
        <v>127</v>
      </c>
      <c r="O101" t="s">
        <v>579</v>
      </c>
      <c r="Q101" t="s">
        <v>49</v>
      </c>
      <c r="R101">
        <v>0</v>
      </c>
      <c r="S101">
        <v>0</v>
      </c>
      <c r="T101">
        <v>0</v>
      </c>
      <c r="U101" t="s">
        <v>682</v>
      </c>
      <c r="V101" t="s">
        <v>683</v>
      </c>
      <c r="W101">
        <v>29609222705537</v>
      </c>
      <c r="X101">
        <v>35330</v>
      </c>
      <c r="Y101" t="s">
        <v>153</v>
      </c>
      <c r="Z101">
        <v>0</v>
      </c>
      <c r="AA101">
        <v>0</v>
      </c>
      <c r="AD101" t="s">
        <v>684</v>
      </c>
      <c r="AF101">
        <v>82</v>
      </c>
      <c r="AG101">
        <v>180</v>
      </c>
      <c r="AH101">
        <f>IF([2]!Table1[[#This Row],[الوزن]]&lt;&gt;"",[2]!Table1[[#This Row],[الوزن]]-([2]!Table1[[#This Row],[الطول]]-100),"")</f>
        <v>-5</v>
      </c>
      <c r="AJ101" t="s">
        <v>280</v>
      </c>
      <c r="AN101" t="s">
        <v>625</v>
      </c>
    </row>
    <row r="102" spans="1:40" ht="18.75" customHeight="1" x14ac:dyDescent="0.3">
      <c r="A102" s="1">
        <v>2021132200954</v>
      </c>
      <c r="B102" t="s">
        <v>125</v>
      </c>
      <c r="C102" t="s">
        <v>685</v>
      </c>
      <c r="D102" t="s">
        <v>619</v>
      </c>
      <c r="E102" t="s">
        <v>43</v>
      </c>
      <c r="F102">
        <v>161</v>
      </c>
      <c r="G102">
        <v>44546</v>
      </c>
      <c r="H102">
        <v>45581</v>
      </c>
      <c r="I102">
        <v>45581</v>
      </c>
      <c r="J102">
        <v>45580</v>
      </c>
      <c r="K102">
        <v>44526</v>
      </c>
      <c r="L102" t="s">
        <v>135</v>
      </c>
      <c r="M102" t="s">
        <v>554</v>
      </c>
      <c r="N102" t="s">
        <v>127</v>
      </c>
      <c r="O102" t="s">
        <v>579</v>
      </c>
      <c r="Q102" t="s">
        <v>49</v>
      </c>
      <c r="R102">
        <v>0</v>
      </c>
      <c r="S102">
        <v>0</v>
      </c>
      <c r="T102">
        <v>0</v>
      </c>
      <c r="U102" t="s">
        <v>686</v>
      </c>
      <c r="V102" t="s">
        <v>687</v>
      </c>
      <c r="W102">
        <v>3051102708075</v>
      </c>
      <c r="X102">
        <v>38657</v>
      </c>
      <c r="Y102" t="s">
        <v>153</v>
      </c>
      <c r="Z102">
        <v>0</v>
      </c>
      <c r="AA102">
        <v>0</v>
      </c>
      <c r="AD102" t="s">
        <v>688</v>
      </c>
      <c r="AF102">
        <v>75</v>
      </c>
      <c r="AG102">
        <v>180</v>
      </c>
      <c r="AH102">
        <f>IF([2]!Table1[[#This Row],[الوزن]]&lt;&gt;"",[2]!Table1[[#This Row],[الوزن]]-([2]!Table1[[#This Row],[الطول]]-100),"")</f>
        <v>-5</v>
      </c>
      <c r="AJ102" t="s">
        <v>280</v>
      </c>
      <c r="AN102" t="s">
        <v>625</v>
      </c>
    </row>
    <row r="103" spans="1:40" ht="18.75" customHeight="1" x14ac:dyDescent="0.3">
      <c r="A103" s="1">
        <v>2023138308964</v>
      </c>
      <c r="B103" t="s">
        <v>125</v>
      </c>
      <c r="C103" t="s">
        <v>689</v>
      </c>
      <c r="D103" t="s">
        <v>619</v>
      </c>
      <c r="E103" t="s">
        <v>43</v>
      </c>
      <c r="F103">
        <v>162</v>
      </c>
      <c r="G103">
        <v>44941</v>
      </c>
      <c r="H103">
        <v>45976</v>
      </c>
      <c r="I103">
        <v>45976</v>
      </c>
      <c r="J103">
        <v>45969</v>
      </c>
      <c r="K103">
        <v>45969</v>
      </c>
      <c r="L103" t="s">
        <v>135</v>
      </c>
      <c r="M103" t="s">
        <v>554</v>
      </c>
      <c r="N103" t="s">
        <v>127</v>
      </c>
      <c r="O103" t="s">
        <v>579</v>
      </c>
      <c r="Q103" t="s">
        <v>49</v>
      </c>
      <c r="R103">
        <v>0</v>
      </c>
      <c r="S103">
        <v>0</v>
      </c>
      <c r="T103">
        <v>0</v>
      </c>
      <c r="U103" t="s">
        <v>690</v>
      </c>
      <c r="V103" t="s">
        <v>691</v>
      </c>
      <c r="W103">
        <v>30501152401918</v>
      </c>
      <c r="X103">
        <v>38367</v>
      </c>
      <c r="Y103" t="s">
        <v>153</v>
      </c>
      <c r="Z103">
        <v>0</v>
      </c>
      <c r="AA103">
        <v>0</v>
      </c>
      <c r="AD103" t="s">
        <v>692</v>
      </c>
      <c r="AF103">
        <v>75</v>
      </c>
      <c r="AG103">
        <v>180</v>
      </c>
      <c r="AH103">
        <f>IF([2]!Table1[[#This Row],[الوزن]]&lt;&gt;"",[2]!Table1[[#This Row],[الوزن]]-([2]!Table1[[#This Row],[الطول]]-100),"")</f>
        <v>-9</v>
      </c>
      <c r="AJ103" t="s">
        <v>280</v>
      </c>
      <c r="AN103" t="s">
        <v>625</v>
      </c>
    </row>
    <row r="104" spans="1:40" ht="18.75" customHeight="1" x14ac:dyDescent="0.3">
      <c r="A104" s="1">
        <v>2007138305427</v>
      </c>
      <c r="B104" t="s">
        <v>57</v>
      </c>
      <c r="C104" t="s">
        <v>693</v>
      </c>
      <c r="D104" t="s">
        <v>694</v>
      </c>
      <c r="E104" t="s">
        <v>43</v>
      </c>
      <c r="F104">
        <v>137</v>
      </c>
      <c r="G104">
        <v>39095</v>
      </c>
      <c r="H104">
        <v>39566</v>
      </c>
      <c r="I104">
        <v>45108</v>
      </c>
      <c r="J104">
        <v>44860</v>
      </c>
      <c r="K104">
        <v>44860</v>
      </c>
      <c r="L104" t="s">
        <v>135</v>
      </c>
      <c r="M104" t="s">
        <v>695</v>
      </c>
      <c r="N104" t="s">
        <v>127</v>
      </c>
      <c r="O104" t="s">
        <v>696</v>
      </c>
      <c r="Q104" t="s">
        <v>49</v>
      </c>
      <c r="R104">
        <v>20</v>
      </c>
      <c r="S104">
        <v>0</v>
      </c>
      <c r="T104">
        <v>0</v>
      </c>
      <c r="U104" t="s">
        <v>697</v>
      </c>
      <c r="V104" t="s">
        <v>698</v>
      </c>
      <c r="W104">
        <v>28607201802277</v>
      </c>
      <c r="X104">
        <v>31613</v>
      </c>
      <c r="Y104" t="s">
        <v>103</v>
      </c>
      <c r="Z104">
        <v>3</v>
      </c>
      <c r="AA104">
        <v>2</v>
      </c>
      <c r="AD104" t="s">
        <v>699</v>
      </c>
      <c r="AF104">
        <v>80</v>
      </c>
      <c r="AG104">
        <v>189</v>
      </c>
      <c r="AH104">
        <f>IF([2]!Table1[[#This Row],[الوزن]]&lt;&gt;"",[2]!Table1[[#This Row],[الوزن]]-([2]!Table1[[#This Row],[الطول]]-100),"")</f>
        <v>-9</v>
      </c>
      <c r="AN104" t="s">
        <v>145</v>
      </c>
    </row>
    <row r="105" spans="1:40" ht="18.75" customHeight="1" x14ac:dyDescent="0.3">
      <c r="A105" s="1">
        <v>2016131100362</v>
      </c>
      <c r="B105" t="s">
        <v>106</v>
      </c>
      <c r="C105" t="s">
        <v>700</v>
      </c>
      <c r="D105" t="s">
        <v>446</v>
      </c>
      <c r="E105" t="s">
        <v>447</v>
      </c>
      <c r="F105">
        <v>156</v>
      </c>
      <c r="G105">
        <v>42575</v>
      </c>
      <c r="H105">
        <v>43321</v>
      </c>
      <c r="I105">
        <v>45474</v>
      </c>
      <c r="L105" t="s">
        <v>45</v>
      </c>
      <c r="M105" t="s">
        <v>136</v>
      </c>
      <c r="N105" t="s">
        <v>448</v>
      </c>
      <c r="O105" t="s">
        <v>449</v>
      </c>
      <c r="P105" t="s">
        <v>49</v>
      </c>
      <c r="R105">
        <v>0</v>
      </c>
      <c r="S105">
        <v>0</v>
      </c>
      <c r="T105">
        <v>0</v>
      </c>
      <c r="U105">
        <v>1002883840</v>
      </c>
      <c r="V105" t="s">
        <v>701</v>
      </c>
      <c r="W105">
        <v>30005211801073</v>
      </c>
      <c r="Y105" t="s">
        <v>51</v>
      </c>
      <c r="Z105">
        <v>1</v>
      </c>
      <c r="AA105">
        <v>0</v>
      </c>
      <c r="AF105">
        <v>65</v>
      </c>
      <c r="AG105">
        <v>174</v>
      </c>
      <c r="AH105">
        <f>IF([2]!Table1[[#This Row],[الوزن]]&lt;&gt;"",[2]!Table1[[#This Row],[الوزن]]-([2]!Table1[[#This Row],[الطول]]-100),"")</f>
        <v>-5</v>
      </c>
      <c r="AJ105" t="s">
        <v>702</v>
      </c>
      <c r="AN105" t="s">
        <v>145</v>
      </c>
    </row>
    <row r="106" spans="1:40" ht="18.75" customHeight="1" x14ac:dyDescent="0.3">
      <c r="A106" s="1">
        <v>2016131100643</v>
      </c>
      <c r="B106" t="s">
        <v>106</v>
      </c>
      <c r="C106" t="s">
        <v>703</v>
      </c>
      <c r="D106" t="s">
        <v>446</v>
      </c>
      <c r="E106" t="s">
        <v>447</v>
      </c>
      <c r="F106">
        <v>156</v>
      </c>
      <c r="G106">
        <v>42575</v>
      </c>
      <c r="H106">
        <v>43321</v>
      </c>
      <c r="I106">
        <v>45292</v>
      </c>
      <c r="L106" t="s">
        <v>45</v>
      </c>
      <c r="M106" t="s">
        <v>136</v>
      </c>
      <c r="N106" t="s">
        <v>448</v>
      </c>
      <c r="O106" t="s">
        <v>449</v>
      </c>
      <c r="P106" t="s">
        <v>49</v>
      </c>
      <c r="R106">
        <v>0</v>
      </c>
      <c r="S106">
        <v>0</v>
      </c>
      <c r="T106">
        <v>0</v>
      </c>
      <c r="U106" t="s">
        <v>704</v>
      </c>
      <c r="V106" t="s">
        <v>705</v>
      </c>
      <c r="W106">
        <v>39501231302776</v>
      </c>
      <c r="Y106" t="s">
        <v>103</v>
      </c>
      <c r="Z106">
        <v>1</v>
      </c>
      <c r="AA106">
        <v>0</v>
      </c>
      <c r="AF106">
        <v>65</v>
      </c>
      <c r="AG106">
        <v>170</v>
      </c>
      <c r="AH106">
        <f>IF([2]!Table1[[#This Row],[الوزن]]&lt;&gt;"",[2]!Table1[[#This Row],[الوزن]]-([2]!Table1[[#This Row],[الطول]]-100),"")</f>
        <v>-2</v>
      </c>
      <c r="AJ106" t="s">
        <v>706</v>
      </c>
      <c r="AN106" t="s">
        <v>145</v>
      </c>
    </row>
    <row r="107" spans="1:40" ht="18.75" customHeight="1" x14ac:dyDescent="0.3">
      <c r="A107" s="1">
        <v>2011138305030</v>
      </c>
      <c r="B107" t="s">
        <v>75</v>
      </c>
      <c r="C107" t="s">
        <v>707</v>
      </c>
      <c r="D107" t="s">
        <v>694</v>
      </c>
      <c r="E107" t="s">
        <v>43</v>
      </c>
      <c r="F107">
        <v>145</v>
      </c>
      <c r="G107">
        <v>40558</v>
      </c>
      <c r="H107">
        <v>41030</v>
      </c>
      <c r="I107">
        <v>41091</v>
      </c>
      <c r="J107">
        <v>45584</v>
      </c>
      <c r="K107">
        <v>45584</v>
      </c>
      <c r="L107" t="s">
        <v>135</v>
      </c>
      <c r="M107" t="s">
        <v>695</v>
      </c>
      <c r="N107" t="s">
        <v>127</v>
      </c>
      <c r="O107" t="s">
        <v>708</v>
      </c>
      <c r="Q107" t="s">
        <v>49</v>
      </c>
      <c r="R107">
        <v>0</v>
      </c>
      <c r="S107">
        <v>0</v>
      </c>
      <c r="T107">
        <v>0</v>
      </c>
      <c r="U107" t="s">
        <v>709</v>
      </c>
      <c r="V107" t="s">
        <v>710</v>
      </c>
      <c r="W107">
        <v>28909091603997</v>
      </c>
      <c r="X107">
        <v>32760</v>
      </c>
      <c r="Y107" t="s">
        <v>103</v>
      </c>
      <c r="Z107">
        <v>3</v>
      </c>
      <c r="AA107">
        <v>2</v>
      </c>
      <c r="AD107" t="s">
        <v>711</v>
      </c>
      <c r="AF107">
        <v>78</v>
      </c>
      <c r="AG107">
        <v>180</v>
      </c>
      <c r="AH107">
        <f>IF([2]!Table1[[#This Row],[الوزن]]&lt;&gt;"",[2]!Table1[[#This Row],[الوزن]]-([2]!Table1[[#This Row],[الطول]]-100),"")</f>
        <v>-4</v>
      </c>
      <c r="AN107" t="s">
        <v>145</v>
      </c>
    </row>
    <row r="108" spans="1:40" ht="18.75" customHeight="1" x14ac:dyDescent="0.3">
      <c r="A108" s="1">
        <v>2011138310211</v>
      </c>
      <c r="B108" t="s">
        <v>75</v>
      </c>
      <c r="C108" t="s">
        <v>712</v>
      </c>
      <c r="D108" t="s">
        <v>694</v>
      </c>
      <c r="E108" t="s">
        <v>43</v>
      </c>
      <c r="F108">
        <v>146</v>
      </c>
      <c r="G108">
        <v>40748</v>
      </c>
      <c r="H108">
        <v>41223</v>
      </c>
      <c r="I108">
        <v>44927</v>
      </c>
      <c r="J108">
        <v>44865</v>
      </c>
      <c r="K108">
        <v>44865</v>
      </c>
      <c r="L108" t="s">
        <v>135</v>
      </c>
      <c r="M108" t="s">
        <v>695</v>
      </c>
      <c r="N108" t="s">
        <v>127</v>
      </c>
      <c r="O108" t="s">
        <v>708</v>
      </c>
      <c r="Q108" t="s">
        <v>49</v>
      </c>
      <c r="R108">
        <v>3</v>
      </c>
      <c r="S108">
        <v>0</v>
      </c>
      <c r="T108">
        <v>0</v>
      </c>
      <c r="U108" t="s">
        <v>713</v>
      </c>
      <c r="V108" t="s">
        <v>714</v>
      </c>
      <c r="W108">
        <v>19408011311171</v>
      </c>
      <c r="X108">
        <v>34547</v>
      </c>
      <c r="Y108" t="s">
        <v>103</v>
      </c>
      <c r="Z108">
        <v>2</v>
      </c>
      <c r="AA108">
        <v>2</v>
      </c>
      <c r="AD108" t="s">
        <v>715</v>
      </c>
      <c r="AF108">
        <v>72</v>
      </c>
      <c r="AG108">
        <v>176</v>
      </c>
      <c r="AH108">
        <f>IF([2]!Table1[[#This Row],[الوزن]]&lt;&gt;"",[2]!Table1[[#This Row],[الوزن]]-([2]!Table1[[#This Row],[الطول]]-100),"")</f>
        <v>0</v>
      </c>
      <c r="AN108" t="s">
        <v>145</v>
      </c>
    </row>
    <row r="109" spans="1:40" ht="18.75" customHeight="1" x14ac:dyDescent="0.3">
      <c r="A109" s="1">
        <v>2012138317611</v>
      </c>
      <c r="B109" t="s">
        <v>106</v>
      </c>
      <c r="C109" t="s">
        <v>716</v>
      </c>
      <c r="D109" t="s">
        <v>717</v>
      </c>
      <c r="E109" t="s">
        <v>718</v>
      </c>
      <c r="F109">
        <v>148</v>
      </c>
      <c r="G109">
        <v>41111</v>
      </c>
      <c r="H109">
        <v>41582</v>
      </c>
      <c r="I109">
        <v>44197</v>
      </c>
      <c r="J109">
        <v>45973</v>
      </c>
      <c r="L109" t="s">
        <v>135</v>
      </c>
      <c r="M109" t="s">
        <v>136</v>
      </c>
      <c r="N109" t="s">
        <v>448</v>
      </c>
      <c r="O109" t="s">
        <v>719</v>
      </c>
      <c r="P109" t="s">
        <v>49</v>
      </c>
      <c r="R109">
        <v>5</v>
      </c>
      <c r="S109">
        <v>10</v>
      </c>
      <c r="T109">
        <v>1</v>
      </c>
      <c r="U109" t="s">
        <v>720</v>
      </c>
      <c r="V109" t="s">
        <v>721</v>
      </c>
      <c r="W109">
        <v>29501031201231</v>
      </c>
      <c r="AC109" t="s">
        <v>722</v>
      </c>
      <c r="AF109">
        <v>75</v>
      </c>
      <c r="AG109">
        <v>175</v>
      </c>
      <c r="AH109">
        <v>0</v>
      </c>
      <c r="AJ109" t="s">
        <v>723</v>
      </c>
    </row>
    <row r="110" spans="1:40" ht="18.75" customHeight="1" x14ac:dyDescent="0.3">
      <c r="A110" s="1">
        <v>2018131809259</v>
      </c>
      <c r="B110" t="s">
        <v>106</v>
      </c>
      <c r="C110" t="s">
        <v>724</v>
      </c>
      <c r="D110" t="s">
        <v>725</v>
      </c>
      <c r="E110" t="s">
        <v>43</v>
      </c>
      <c r="F110">
        <v>158</v>
      </c>
      <c r="G110">
        <v>43279</v>
      </c>
      <c r="H110">
        <v>44117</v>
      </c>
      <c r="I110">
        <v>44117</v>
      </c>
      <c r="J110">
        <v>44500</v>
      </c>
      <c r="L110" t="s">
        <v>135</v>
      </c>
      <c r="M110" t="s">
        <v>726</v>
      </c>
      <c r="N110" t="s">
        <v>727</v>
      </c>
      <c r="O110" t="s">
        <v>728</v>
      </c>
      <c r="P110" t="s">
        <v>49</v>
      </c>
      <c r="R110">
        <v>2</v>
      </c>
      <c r="S110">
        <v>0</v>
      </c>
      <c r="T110">
        <v>0</v>
      </c>
      <c r="U110" t="s">
        <v>729</v>
      </c>
      <c r="V110" t="s">
        <v>730</v>
      </c>
      <c r="W110">
        <v>30011071802996</v>
      </c>
      <c r="X110">
        <v>36837</v>
      </c>
      <c r="Y110" t="s">
        <v>103</v>
      </c>
      <c r="Z110">
        <v>1</v>
      </c>
      <c r="AC110" t="s">
        <v>731</v>
      </c>
      <c r="AF110">
        <v>58</v>
      </c>
      <c r="AG110">
        <v>170</v>
      </c>
      <c r="AH110">
        <f>IF([2]!Table1[[#This Row],[الوزن]]&lt;&gt;"",[2]!Table1[[#This Row],[الوزن]]-([2]!Table1[[#This Row],[الطول]]-100),"")</f>
        <v>5</v>
      </c>
      <c r="AI110" t="s">
        <v>732</v>
      </c>
      <c r="AN110" t="s">
        <v>733</v>
      </c>
    </row>
    <row r="111" spans="1:40" ht="18.75" customHeight="1" x14ac:dyDescent="0.3">
      <c r="A111" s="1">
        <v>2017131805704</v>
      </c>
      <c r="B111" t="s">
        <v>106</v>
      </c>
      <c r="C111" t="s">
        <v>734</v>
      </c>
      <c r="D111" t="s">
        <v>735</v>
      </c>
      <c r="E111" t="s">
        <v>736</v>
      </c>
      <c r="F111">
        <v>157</v>
      </c>
      <c r="G111">
        <v>42915</v>
      </c>
      <c r="H111">
        <v>43663</v>
      </c>
      <c r="I111">
        <v>45658</v>
      </c>
      <c r="K111">
        <v>45589</v>
      </c>
      <c r="L111" t="s">
        <v>135</v>
      </c>
      <c r="M111" t="s">
        <v>554</v>
      </c>
      <c r="N111" t="s">
        <v>727</v>
      </c>
      <c r="O111" t="s">
        <v>561</v>
      </c>
      <c r="Q111" t="s">
        <v>49</v>
      </c>
      <c r="R111">
        <v>4</v>
      </c>
      <c r="S111">
        <v>0</v>
      </c>
      <c r="T111">
        <v>0</v>
      </c>
      <c r="U111" t="s">
        <v>737</v>
      </c>
      <c r="W111">
        <v>29507151803713</v>
      </c>
      <c r="X111">
        <v>34895</v>
      </c>
      <c r="AD111" t="s">
        <v>738</v>
      </c>
      <c r="AF111">
        <v>81</v>
      </c>
      <c r="AG111">
        <v>176</v>
      </c>
      <c r="AH111">
        <v>5</v>
      </c>
      <c r="AJ111" t="s">
        <v>739</v>
      </c>
    </row>
    <row r="112" spans="1:40" ht="18.75" customHeight="1" x14ac:dyDescent="0.3">
      <c r="A112" s="1">
        <v>2015131809891</v>
      </c>
      <c r="B112" t="s">
        <v>106</v>
      </c>
      <c r="C112" t="s">
        <v>740</v>
      </c>
      <c r="D112" t="s">
        <v>741</v>
      </c>
      <c r="E112" t="s">
        <v>742</v>
      </c>
      <c r="F112">
        <v>155</v>
      </c>
      <c r="G112">
        <v>42369</v>
      </c>
      <c r="H112">
        <v>42932</v>
      </c>
      <c r="I112">
        <v>44927</v>
      </c>
      <c r="L112" t="s">
        <v>135</v>
      </c>
      <c r="M112" t="s">
        <v>46</v>
      </c>
      <c r="N112" t="s">
        <v>727</v>
      </c>
      <c r="O112" t="s">
        <v>743</v>
      </c>
      <c r="Q112" t="s">
        <v>49</v>
      </c>
      <c r="R112">
        <v>6</v>
      </c>
      <c r="S112">
        <v>0</v>
      </c>
      <c r="T112">
        <v>0</v>
      </c>
      <c r="U112" t="s">
        <v>744</v>
      </c>
      <c r="V112" t="s">
        <v>745</v>
      </c>
      <c r="W112">
        <v>29701181302574</v>
      </c>
      <c r="X112">
        <v>35448</v>
      </c>
      <c r="Y112" t="s">
        <v>103</v>
      </c>
      <c r="Z112">
        <v>1</v>
      </c>
      <c r="AA112">
        <v>0</v>
      </c>
      <c r="AB112">
        <v>1</v>
      </c>
      <c r="AD112" t="s">
        <v>64</v>
      </c>
      <c r="AE112" t="s">
        <v>746</v>
      </c>
      <c r="AF112">
        <v>74</v>
      </c>
      <c r="AG112">
        <v>176</v>
      </c>
      <c r="AH112">
        <v>-2</v>
      </c>
      <c r="AJ112" t="s">
        <v>747</v>
      </c>
      <c r="AN112" t="s">
        <v>145</v>
      </c>
    </row>
    <row r="113" spans="1:40" ht="18.75" customHeight="1" x14ac:dyDescent="0.3">
      <c r="A113" s="1">
        <v>2012131801538</v>
      </c>
      <c r="B113" t="s">
        <v>75</v>
      </c>
      <c r="C113" t="s">
        <v>748</v>
      </c>
      <c r="D113" t="s">
        <v>749</v>
      </c>
      <c r="E113" t="s">
        <v>750</v>
      </c>
      <c r="F113">
        <v>148</v>
      </c>
      <c r="G113">
        <v>40936</v>
      </c>
      <c r="H113">
        <v>41406</v>
      </c>
      <c r="I113">
        <v>45108</v>
      </c>
      <c r="M113" t="s">
        <v>751</v>
      </c>
      <c r="N113" t="s">
        <v>727</v>
      </c>
      <c r="O113" t="s">
        <v>743</v>
      </c>
      <c r="P113" t="s">
        <v>49</v>
      </c>
      <c r="R113">
        <v>8</v>
      </c>
      <c r="S113">
        <v>0</v>
      </c>
      <c r="T113">
        <v>0</v>
      </c>
      <c r="U113" t="s">
        <v>752</v>
      </c>
      <c r="X113">
        <v>32774</v>
      </c>
      <c r="Y113" t="s">
        <v>103</v>
      </c>
      <c r="Z113">
        <v>2</v>
      </c>
      <c r="AF113">
        <v>73</v>
      </c>
      <c r="AG113">
        <v>171</v>
      </c>
      <c r="AH113">
        <v>2</v>
      </c>
      <c r="AJ113" t="s">
        <v>753</v>
      </c>
      <c r="AN113" t="s">
        <v>145</v>
      </c>
    </row>
    <row r="114" spans="1:40" ht="18.75" customHeight="1" x14ac:dyDescent="0.3">
      <c r="A114" s="1">
        <v>2013138308189</v>
      </c>
      <c r="B114" t="s">
        <v>75</v>
      </c>
      <c r="C114" t="s">
        <v>754</v>
      </c>
      <c r="D114" t="s">
        <v>749</v>
      </c>
      <c r="E114" t="s">
        <v>750</v>
      </c>
      <c r="F114">
        <v>150</v>
      </c>
      <c r="G114">
        <v>41510</v>
      </c>
      <c r="H114">
        <v>41748</v>
      </c>
      <c r="I114">
        <v>45658</v>
      </c>
      <c r="M114" t="s">
        <v>751</v>
      </c>
      <c r="N114" t="s">
        <v>727</v>
      </c>
      <c r="O114" t="s">
        <v>743</v>
      </c>
      <c r="P114" t="s">
        <v>49</v>
      </c>
      <c r="R114">
        <v>8</v>
      </c>
      <c r="S114">
        <v>0</v>
      </c>
      <c r="T114">
        <v>0</v>
      </c>
      <c r="U114" t="s">
        <v>755</v>
      </c>
      <c r="X114">
        <v>34099</v>
      </c>
      <c r="Y114" t="s">
        <v>103</v>
      </c>
      <c r="Z114">
        <v>2</v>
      </c>
      <c r="AF114">
        <v>80</v>
      </c>
      <c r="AG114">
        <v>178</v>
      </c>
      <c r="AH114">
        <v>2</v>
      </c>
      <c r="AJ114" t="s">
        <v>756</v>
      </c>
      <c r="AN114" t="s">
        <v>145</v>
      </c>
    </row>
    <row r="115" spans="1:40" ht="18.75" customHeight="1" x14ac:dyDescent="0.3">
      <c r="A115" s="1">
        <v>2018131803136</v>
      </c>
      <c r="B115" t="s">
        <v>106</v>
      </c>
      <c r="C115" t="s">
        <v>757</v>
      </c>
      <c r="D115" t="s">
        <v>334</v>
      </c>
      <c r="E115" t="s">
        <v>335</v>
      </c>
      <c r="F115">
        <v>158</v>
      </c>
      <c r="G115">
        <v>43279</v>
      </c>
      <c r="H115">
        <v>44117</v>
      </c>
      <c r="I115">
        <v>46023</v>
      </c>
      <c r="L115" t="s">
        <v>45</v>
      </c>
      <c r="M115" t="s">
        <v>46</v>
      </c>
      <c r="N115" t="s">
        <v>727</v>
      </c>
      <c r="O115" t="s">
        <v>727</v>
      </c>
      <c r="P115" t="s">
        <v>49</v>
      </c>
      <c r="R115">
        <v>3</v>
      </c>
      <c r="U115" t="s">
        <v>758</v>
      </c>
      <c r="W115">
        <v>29610301300117</v>
      </c>
      <c r="X115">
        <v>35368</v>
      </c>
      <c r="Y115" t="s">
        <v>103</v>
      </c>
      <c r="AB115">
        <v>2</v>
      </c>
      <c r="AF115">
        <v>78</v>
      </c>
      <c r="AG115">
        <v>175</v>
      </c>
      <c r="AH115">
        <v>3</v>
      </c>
      <c r="AJ115" t="s">
        <v>759</v>
      </c>
    </row>
    <row r="116" spans="1:40" ht="18.75" customHeight="1" x14ac:dyDescent="0.3">
      <c r="A116" s="1">
        <v>2014138325256</v>
      </c>
      <c r="B116" t="s">
        <v>75</v>
      </c>
      <c r="C116" t="s">
        <v>760</v>
      </c>
      <c r="D116" t="s">
        <v>694</v>
      </c>
      <c r="E116" t="s">
        <v>43</v>
      </c>
      <c r="F116">
        <v>152</v>
      </c>
      <c r="G116">
        <v>41853</v>
      </c>
      <c r="H116">
        <v>42326</v>
      </c>
      <c r="I116">
        <v>44197</v>
      </c>
      <c r="J116">
        <v>44514</v>
      </c>
      <c r="K116">
        <v>44504</v>
      </c>
      <c r="L116" t="s">
        <v>135</v>
      </c>
      <c r="M116" t="s">
        <v>695</v>
      </c>
      <c r="N116" t="s">
        <v>127</v>
      </c>
      <c r="O116" t="s">
        <v>708</v>
      </c>
      <c r="P116" t="s">
        <v>49</v>
      </c>
      <c r="R116">
        <v>2</v>
      </c>
      <c r="S116">
        <v>0</v>
      </c>
      <c r="T116">
        <v>0</v>
      </c>
      <c r="U116" t="s">
        <v>761</v>
      </c>
      <c r="V116" t="s">
        <v>762</v>
      </c>
      <c r="W116">
        <v>29612281201292</v>
      </c>
      <c r="X116">
        <v>35427</v>
      </c>
      <c r="Y116" t="s">
        <v>103</v>
      </c>
      <c r="Z116">
        <v>2</v>
      </c>
      <c r="AA116">
        <v>1</v>
      </c>
      <c r="AD116" t="s">
        <v>763</v>
      </c>
      <c r="AF116">
        <v>72</v>
      </c>
      <c r="AG116">
        <v>173</v>
      </c>
      <c r="AH116">
        <f>IF([2]!Table1[[#This Row],[الوزن]]&lt;&gt;"",[2]!Table1[[#This Row],[الوزن]]-([2]!Table1[[#This Row],[الطول]]-100),"")</f>
        <v>1</v>
      </c>
      <c r="AJ116" t="s">
        <v>764</v>
      </c>
      <c r="AN116" t="s">
        <v>145</v>
      </c>
    </row>
    <row r="117" spans="1:40" ht="18.75" customHeight="1" x14ac:dyDescent="0.3">
      <c r="A117" s="1">
        <v>2018131812244</v>
      </c>
      <c r="B117" t="s">
        <v>106</v>
      </c>
      <c r="C117" t="s">
        <v>765</v>
      </c>
      <c r="D117" t="s">
        <v>334</v>
      </c>
      <c r="E117" t="s">
        <v>335</v>
      </c>
      <c r="F117">
        <v>158</v>
      </c>
      <c r="G117">
        <v>43279</v>
      </c>
      <c r="H117">
        <v>44117</v>
      </c>
      <c r="I117">
        <v>46023</v>
      </c>
      <c r="L117" t="s">
        <v>45</v>
      </c>
      <c r="M117" t="s">
        <v>46</v>
      </c>
      <c r="N117" t="s">
        <v>727</v>
      </c>
      <c r="O117" t="s">
        <v>727</v>
      </c>
      <c r="P117" t="s">
        <v>49</v>
      </c>
      <c r="R117">
        <v>4</v>
      </c>
      <c r="U117" t="s">
        <v>766</v>
      </c>
      <c r="W117">
        <v>30109011218373</v>
      </c>
      <c r="X117">
        <v>37135</v>
      </c>
      <c r="Y117" t="s">
        <v>767</v>
      </c>
      <c r="AF117">
        <v>76</v>
      </c>
      <c r="AG117">
        <v>175</v>
      </c>
      <c r="AH117">
        <v>1</v>
      </c>
      <c r="AJ117" t="s">
        <v>768</v>
      </c>
    </row>
    <row r="118" spans="1:40" ht="18.75" customHeight="1" x14ac:dyDescent="0.3">
      <c r="A118" s="1">
        <v>2018131802766</v>
      </c>
      <c r="B118" t="s">
        <v>106</v>
      </c>
      <c r="C118" t="s">
        <v>769</v>
      </c>
      <c r="D118" t="s">
        <v>770</v>
      </c>
      <c r="E118" t="s">
        <v>718</v>
      </c>
      <c r="F118">
        <v>158</v>
      </c>
      <c r="G118">
        <v>43279</v>
      </c>
      <c r="H118">
        <v>44117</v>
      </c>
      <c r="I118">
        <v>46023</v>
      </c>
      <c r="J118">
        <v>45657</v>
      </c>
      <c r="L118" t="s">
        <v>771</v>
      </c>
      <c r="M118" t="s">
        <v>46</v>
      </c>
      <c r="N118" t="s">
        <v>727</v>
      </c>
      <c r="O118" t="s">
        <v>727</v>
      </c>
      <c r="P118" t="s">
        <v>49</v>
      </c>
      <c r="Q118">
        <v>0</v>
      </c>
      <c r="R118">
        <v>9</v>
      </c>
      <c r="S118">
        <v>1</v>
      </c>
      <c r="T118">
        <v>0</v>
      </c>
      <c r="U118" t="s">
        <v>772</v>
      </c>
      <c r="W118">
        <v>29908100203295</v>
      </c>
      <c r="X118">
        <v>36382</v>
      </c>
      <c r="AC118" t="s">
        <v>773</v>
      </c>
      <c r="AF118">
        <v>75</v>
      </c>
      <c r="AG118">
        <v>181</v>
      </c>
      <c r="AH118">
        <v>-6</v>
      </c>
      <c r="AJ118" t="s">
        <v>774</v>
      </c>
    </row>
    <row r="119" spans="1:40" ht="18.75" customHeight="1" x14ac:dyDescent="0.3">
      <c r="A119" s="1">
        <v>2019138314225</v>
      </c>
      <c r="B119" t="s">
        <v>125</v>
      </c>
      <c r="C119" t="s">
        <v>775</v>
      </c>
      <c r="D119" t="s">
        <v>770</v>
      </c>
      <c r="E119" t="s">
        <v>718</v>
      </c>
      <c r="F119">
        <v>160</v>
      </c>
      <c r="G119">
        <v>44205</v>
      </c>
      <c r="H119">
        <v>45197</v>
      </c>
      <c r="I119">
        <v>45273</v>
      </c>
      <c r="J119">
        <v>45273</v>
      </c>
      <c r="L119" t="s">
        <v>771</v>
      </c>
      <c r="M119" t="s">
        <v>46</v>
      </c>
      <c r="N119" t="s">
        <v>727</v>
      </c>
      <c r="O119" t="s">
        <v>727</v>
      </c>
      <c r="R119">
        <v>5</v>
      </c>
      <c r="S119">
        <v>3</v>
      </c>
      <c r="T119">
        <v>0</v>
      </c>
      <c r="U119" t="s">
        <v>776</v>
      </c>
      <c r="V119" t="s">
        <v>777</v>
      </c>
      <c r="W119">
        <v>30108180102477</v>
      </c>
      <c r="X119">
        <v>37121</v>
      </c>
      <c r="AC119" t="s">
        <v>778</v>
      </c>
      <c r="AF119">
        <v>71</v>
      </c>
      <c r="AG119">
        <v>170</v>
      </c>
      <c r="AH119">
        <v>1</v>
      </c>
      <c r="AJ119" t="s">
        <v>779</v>
      </c>
    </row>
    <row r="120" spans="1:40" ht="18.75" customHeight="1" x14ac:dyDescent="0.3">
      <c r="A120" s="1">
        <v>2021131806878</v>
      </c>
      <c r="B120" t="s">
        <v>125</v>
      </c>
      <c r="C120" t="s">
        <v>780</v>
      </c>
      <c r="D120" t="s">
        <v>770</v>
      </c>
      <c r="E120" t="s">
        <v>718</v>
      </c>
      <c r="F120">
        <v>160</v>
      </c>
      <c r="G120">
        <v>44205</v>
      </c>
      <c r="H120">
        <v>45197</v>
      </c>
      <c r="I120">
        <v>45197</v>
      </c>
      <c r="J120">
        <v>45273</v>
      </c>
      <c r="L120" t="s">
        <v>771</v>
      </c>
      <c r="M120" t="s">
        <v>46</v>
      </c>
      <c r="N120" t="s">
        <v>727</v>
      </c>
      <c r="O120" t="s">
        <v>727</v>
      </c>
      <c r="P120" t="s">
        <v>49</v>
      </c>
      <c r="R120">
        <v>5</v>
      </c>
      <c r="S120">
        <v>3</v>
      </c>
      <c r="U120" t="s">
        <v>776</v>
      </c>
      <c r="V120" t="s">
        <v>777</v>
      </c>
      <c r="W120">
        <v>30108180102477</v>
      </c>
      <c r="X120">
        <v>37121</v>
      </c>
      <c r="AC120" t="s">
        <v>781</v>
      </c>
      <c r="AF120">
        <v>74</v>
      </c>
      <c r="AG120">
        <v>174</v>
      </c>
      <c r="AH120">
        <v>0</v>
      </c>
    </row>
    <row r="121" spans="1:40" ht="18.75" customHeight="1" x14ac:dyDescent="0.3">
      <c r="A121" s="1">
        <v>2008138304849</v>
      </c>
      <c r="B121" t="s">
        <v>57</v>
      </c>
      <c r="C121" t="s">
        <v>782</v>
      </c>
      <c r="D121" t="s">
        <v>783</v>
      </c>
      <c r="E121" t="s">
        <v>447</v>
      </c>
      <c r="F121">
        <v>142</v>
      </c>
      <c r="G121">
        <v>39655</v>
      </c>
      <c r="H121">
        <v>40128</v>
      </c>
      <c r="I121">
        <v>45658</v>
      </c>
      <c r="L121" t="s">
        <v>135</v>
      </c>
      <c r="M121" t="s">
        <v>136</v>
      </c>
      <c r="N121" t="s">
        <v>127</v>
      </c>
      <c r="O121" t="s">
        <v>784</v>
      </c>
      <c r="P121" t="s">
        <v>49</v>
      </c>
      <c r="R121">
        <v>0</v>
      </c>
      <c r="S121">
        <v>0</v>
      </c>
      <c r="T121">
        <v>0</v>
      </c>
      <c r="U121" t="s">
        <v>785</v>
      </c>
      <c r="X121">
        <v>33356</v>
      </c>
      <c r="Y121" t="s">
        <v>786</v>
      </c>
      <c r="Z121">
        <v>3</v>
      </c>
      <c r="AA121">
        <v>2</v>
      </c>
      <c r="AB121">
        <v>1</v>
      </c>
      <c r="AG121" t="s">
        <v>787</v>
      </c>
      <c r="AH121">
        <f>IF([2]!Table1[[#This Row],[الوزن]]&lt;&gt;"",[2]!Table1[[#This Row],[الوزن]]-([2]!Table1[[#This Row],[الطول]]-100),"")</f>
        <v>0</v>
      </c>
      <c r="AJ121" t="s">
        <v>788</v>
      </c>
      <c r="AN121" t="s">
        <v>145</v>
      </c>
    </row>
    <row r="122" spans="1:40" ht="18.75" customHeight="1" x14ac:dyDescent="0.3">
      <c r="A122" s="1">
        <v>2018134708416</v>
      </c>
      <c r="B122" t="s">
        <v>106</v>
      </c>
      <c r="C122" t="s">
        <v>789</v>
      </c>
      <c r="D122" t="s">
        <v>694</v>
      </c>
      <c r="E122" t="s">
        <v>43</v>
      </c>
      <c r="F122">
        <v>158</v>
      </c>
      <c r="G122">
        <v>43279</v>
      </c>
      <c r="H122">
        <v>44117</v>
      </c>
      <c r="I122">
        <v>44119</v>
      </c>
      <c r="J122">
        <v>44515</v>
      </c>
      <c r="K122">
        <v>44515</v>
      </c>
      <c r="L122" t="s">
        <v>135</v>
      </c>
      <c r="M122" t="s">
        <v>695</v>
      </c>
      <c r="N122" t="s">
        <v>47</v>
      </c>
      <c r="O122" t="s">
        <v>790</v>
      </c>
      <c r="P122" t="s">
        <v>49</v>
      </c>
      <c r="R122">
        <v>4</v>
      </c>
      <c r="S122">
        <v>0</v>
      </c>
      <c r="T122">
        <v>0</v>
      </c>
      <c r="U122" t="s">
        <v>791</v>
      </c>
      <c r="V122" t="s">
        <v>792</v>
      </c>
      <c r="W122">
        <v>29709021701511</v>
      </c>
      <c r="X122">
        <v>35675</v>
      </c>
      <c r="Y122" t="s">
        <v>103</v>
      </c>
      <c r="Z122">
        <v>1</v>
      </c>
      <c r="AA122">
        <v>1</v>
      </c>
      <c r="AD122" t="s">
        <v>793</v>
      </c>
      <c r="AF122">
        <v>72</v>
      </c>
      <c r="AG122">
        <v>172</v>
      </c>
      <c r="AH122">
        <f>IF([2]!Table1[[#This Row],[الوزن]]&lt;&gt;"",[2]!Table1[[#This Row],[الوزن]]-([2]!Table1[[#This Row],[الطول]]-100),"")</f>
        <v>-2</v>
      </c>
      <c r="AN122" t="s">
        <v>145</v>
      </c>
    </row>
    <row r="123" spans="1:40" ht="18.75" customHeight="1" x14ac:dyDescent="0.3">
      <c r="A123" s="1">
        <v>2019130401905</v>
      </c>
      <c r="B123" t="s">
        <v>125</v>
      </c>
      <c r="C123" t="s">
        <v>794</v>
      </c>
      <c r="D123" t="s">
        <v>694</v>
      </c>
      <c r="E123" t="s">
        <v>43</v>
      </c>
      <c r="F123">
        <v>159</v>
      </c>
      <c r="G123">
        <v>43692</v>
      </c>
      <c r="H123">
        <v>44481</v>
      </c>
      <c r="I123">
        <v>44481</v>
      </c>
      <c r="J123">
        <v>44546</v>
      </c>
      <c r="K123">
        <v>44546</v>
      </c>
      <c r="L123" t="s">
        <v>135</v>
      </c>
      <c r="M123" t="s">
        <v>695</v>
      </c>
      <c r="N123" t="s">
        <v>127</v>
      </c>
      <c r="O123" t="s">
        <v>620</v>
      </c>
      <c r="Q123" t="s">
        <v>49</v>
      </c>
      <c r="R123">
        <v>3</v>
      </c>
      <c r="S123">
        <v>0</v>
      </c>
      <c r="T123">
        <v>0</v>
      </c>
      <c r="U123" t="s">
        <v>795</v>
      </c>
      <c r="V123" t="s">
        <v>796</v>
      </c>
      <c r="W123">
        <v>30211181303714</v>
      </c>
      <c r="X123">
        <v>37578</v>
      </c>
      <c r="Y123" t="s">
        <v>550</v>
      </c>
      <c r="Z123">
        <v>0</v>
      </c>
      <c r="AA123">
        <v>0</v>
      </c>
      <c r="AD123" t="s">
        <v>353</v>
      </c>
      <c r="AF123">
        <v>71</v>
      </c>
      <c r="AG123">
        <v>173</v>
      </c>
      <c r="AH123">
        <f>IF([2]!Table1[[#This Row],[الوزن]]&lt;&gt;"",[2]!Table1[[#This Row],[الوزن]]-([2]!Table1[[#This Row],[الطول]]-100),"")</f>
        <v>-3</v>
      </c>
      <c r="AN123" t="s">
        <v>145</v>
      </c>
    </row>
    <row r="124" spans="1:40" ht="18.75" customHeight="1" x14ac:dyDescent="0.3">
      <c r="A124" s="1">
        <v>2011131100388</v>
      </c>
      <c r="B124" t="s">
        <v>75</v>
      </c>
      <c r="C124" t="s">
        <v>797</v>
      </c>
      <c r="D124" t="s">
        <v>446</v>
      </c>
      <c r="E124" t="s">
        <v>447</v>
      </c>
      <c r="F124">
        <v>145</v>
      </c>
      <c r="G124">
        <v>40558</v>
      </c>
      <c r="H124">
        <v>41030</v>
      </c>
      <c r="I124">
        <v>44562</v>
      </c>
      <c r="L124" t="s">
        <v>45</v>
      </c>
      <c r="M124" t="s">
        <v>136</v>
      </c>
      <c r="N124" t="s">
        <v>448</v>
      </c>
      <c r="O124" t="s">
        <v>798</v>
      </c>
      <c r="P124" t="s">
        <v>49</v>
      </c>
      <c r="R124">
        <v>13</v>
      </c>
      <c r="S124">
        <v>0</v>
      </c>
      <c r="T124">
        <v>0</v>
      </c>
      <c r="U124" t="s">
        <v>799</v>
      </c>
      <c r="V124" t="s">
        <v>800</v>
      </c>
      <c r="W124">
        <v>29204012611955</v>
      </c>
      <c r="X124">
        <v>33695</v>
      </c>
      <c r="Y124" t="s">
        <v>103</v>
      </c>
      <c r="Z124">
        <v>2</v>
      </c>
      <c r="AA124">
        <v>2</v>
      </c>
      <c r="AC124" t="s">
        <v>801</v>
      </c>
      <c r="AD124" t="s">
        <v>802</v>
      </c>
      <c r="AE124" t="s">
        <v>803</v>
      </c>
      <c r="AF124">
        <v>65</v>
      </c>
      <c r="AG124">
        <v>168</v>
      </c>
      <c r="AH124">
        <f>IF([2]!Table1[[#This Row],[الوزن]]&lt;&gt;"",[2]!Table1[[#This Row],[الوزن]]-([2]!Table1[[#This Row],[الطول]]-100),"")</f>
        <v>-8</v>
      </c>
      <c r="AJ124" t="s">
        <v>804</v>
      </c>
      <c r="AN124" t="s">
        <v>145</v>
      </c>
    </row>
    <row r="125" spans="1:40" ht="18.75" customHeight="1" x14ac:dyDescent="0.3">
      <c r="A125" s="1">
        <v>2015131101552</v>
      </c>
      <c r="B125" t="s">
        <v>106</v>
      </c>
      <c r="C125" t="s">
        <v>805</v>
      </c>
      <c r="D125" t="s">
        <v>446</v>
      </c>
      <c r="E125" t="s">
        <v>447</v>
      </c>
      <c r="F125">
        <v>154</v>
      </c>
      <c r="G125">
        <v>42224</v>
      </c>
      <c r="H125">
        <v>42790</v>
      </c>
      <c r="I125">
        <v>44743</v>
      </c>
      <c r="L125" t="s">
        <v>45</v>
      </c>
      <c r="M125" t="s">
        <v>136</v>
      </c>
      <c r="N125" t="s">
        <v>448</v>
      </c>
      <c r="O125" t="s">
        <v>798</v>
      </c>
      <c r="P125" t="s">
        <v>49</v>
      </c>
      <c r="R125">
        <v>4</v>
      </c>
      <c r="S125">
        <v>0</v>
      </c>
      <c r="T125">
        <v>0</v>
      </c>
      <c r="U125">
        <v>1022757301</v>
      </c>
      <c r="V125" t="s">
        <v>806</v>
      </c>
      <c r="W125">
        <v>29210011340796</v>
      </c>
      <c r="Y125" t="s">
        <v>103</v>
      </c>
      <c r="Z125">
        <v>2</v>
      </c>
      <c r="AA125">
        <v>2</v>
      </c>
      <c r="AF125">
        <v>60</v>
      </c>
      <c r="AG125">
        <v>168</v>
      </c>
      <c r="AH125">
        <f>IF([2]!Table1[[#This Row],[الوزن]]&lt;&gt;"",[2]!Table1[[#This Row],[الوزن]]-([2]!Table1[[#This Row],[الطول]]-100),"")</f>
        <v>0</v>
      </c>
      <c r="AJ125" t="s">
        <v>807</v>
      </c>
      <c r="AN125" t="s">
        <v>145</v>
      </c>
    </row>
    <row r="126" spans="1:40" ht="18.75" customHeight="1" x14ac:dyDescent="0.3">
      <c r="A126" s="1">
        <v>2016131100495</v>
      </c>
      <c r="B126" t="s">
        <v>106</v>
      </c>
      <c r="C126" t="s">
        <v>808</v>
      </c>
      <c r="D126" t="s">
        <v>446</v>
      </c>
      <c r="E126" t="s">
        <v>447</v>
      </c>
      <c r="F126">
        <v>156</v>
      </c>
      <c r="G126">
        <v>42575</v>
      </c>
      <c r="H126">
        <v>43321</v>
      </c>
      <c r="I126">
        <v>45231</v>
      </c>
      <c r="L126" t="s">
        <v>45</v>
      </c>
      <c r="M126" t="s">
        <v>136</v>
      </c>
      <c r="N126" t="s">
        <v>448</v>
      </c>
      <c r="O126" t="s">
        <v>798</v>
      </c>
      <c r="Q126" t="s">
        <v>49</v>
      </c>
      <c r="R126">
        <v>5</v>
      </c>
      <c r="S126">
        <v>4</v>
      </c>
      <c r="T126">
        <v>0</v>
      </c>
      <c r="U126">
        <v>1016915800</v>
      </c>
      <c r="V126" t="s">
        <v>809</v>
      </c>
      <c r="W126">
        <v>29908081800554</v>
      </c>
      <c r="Y126" t="s">
        <v>103</v>
      </c>
      <c r="Z126">
        <v>1</v>
      </c>
      <c r="AA126">
        <v>0</v>
      </c>
      <c r="AF126">
        <v>73</v>
      </c>
      <c r="AG126">
        <v>173</v>
      </c>
      <c r="AH126">
        <f>IF([2]!Table1[[#This Row],[الوزن]]&lt;&gt;"",[2]!Table1[[#This Row],[الوزن]]-([2]!Table1[[#This Row],[الطول]]-100),"")</f>
        <v>0</v>
      </c>
      <c r="AJ126" t="s">
        <v>807</v>
      </c>
      <c r="AN126" t="s">
        <v>145</v>
      </c>
    </row>
    <row r="127" spans="1:40" ht="18.75" customHeight="1" x14ac:dyDescent="0.3">
      <c r="A127" s="1">
        <v>2003138301986</v>
      </c>
      <c r="B127" t="s">
        <v>210</v>
      </c>
      <c r="C127" t="s">
        <v>810</v>
      </c>
      <c r="D127" t="s">
        <v>811</v>
      </c>
      <c r="E127" t="s">
        <v>43</v>
      </c>
      <c r="F127">
        <v>129</v>
      </c>
      <c r="G127">
        <v>37681</v>
      </c>
      <c r="H127">
        <v>38111</v>
      </c>
      <c r="I127">
        <v>45658</v>
      </c>
      <c r="K127">
        <v>45973</v>
      </c>
      <c r="L127" t="s">
        <v>135</v>
      </c>
      <c r="M127" t="s">
        <v>812</v>
      </c>
      <c r="N127" t="s">
        <v>127</v>
      </c>
      <c r="O127" t="s">
        <v>813</v>
      </c>
      <c r="Q127" t="s">
        <v>49</v>
      </c>
      <c r="R127">
        <v>13</v>
      </c>
      <c r="S127">
        <v>7</v>
      </c>
      <c r="T127">
        <v>0</v>
      </c>
      <c r="U127" t="s">
        <v>814</v>
      </c>
      <c r="W127">
        <v>28108152502312</v>
      </c>
      <c r="X127">
        <v>29813</v>
      </c>
      <c r="Y127" t="s">
        <v>103</v>
      </c>
      <c r="AA127">
        <v>4</v>
      </c>
      <c r="AD127">
        <v>2</v>
      </c>
      <c r="AF127">
        <v>80</v>
      </c>
      <c r="AG127">
        <v>180</v>
      </c>
      <c r="AH127">
        <f>IF([2]!Table1[[#This Row],[الوزن]]&lt;&gt;"",[2]!Table1[[#This Row],[الوزن]]-([2]!Table1[[#This Row],[الطول]]-100),"")</f>
        <v>-17</v>
      </c>
      <c r="AL127" t="s">
        <v>815</v>
      </c>
      <c r="AN127" t="s">
        <v>733</v>
      </c>
    </row>
    <row r="128" spans="1:40" ht="18.75" customHeight="1" x14ac:dyDescent="0.3">
      <c r="A128" s="1">
        <v>2011138302458</v>
      </c>
      <c r="B128" t="s">
        <v>75</v>
      </c>
      <c r="C128" t="s">
        <v>816</v>
      </c>
      <c r="D128" t="s">
        <v>811</v>
      </c>
      <c r="E128" t="s">
        <v>43</v>
      </c>
      <c r="F128">
        <v>145</v>
      </c>
      <c r="G128">
        <v>40558</v>
      </c>
      <c r="H128">
        <v>41030</v>
      </c>
      <c r="I128">
        <v>44743</v>
      </c>
      <c r="K128">
        <v>44855</v>
      </c>
      <c r="L128" t="s">
        <v>135</v>
      </c>
      <c r="M128" t="s">
        <v>817</v>
      </c>
      <c r="N128" t="s">
        <v>127</v>
      </c>
      <c r="O128" t="s">
        <v>818</v>
      </c>
      <c r="R128">
        <v>0</v>
      </c>
      <c r="S128">
        <v>0</v>
      </c>
      <c r="T128">
        <v>0</v>
      </c>
      <c r="U128" t="s">
        <v>819</v>
      </c>
      <c r="W128" t="s">
        <v>820</v>
      </c>
      <c r="X128">
        <v>33821</v>
      </c>
      <c r="Y128" t="s">
        <v>103</v>
      </c>
      <c r="AA128">
        <v>2</v>
      </c>
      <c r="AD128">
        <v>1</v>
      </c>
      <c r="AF128">
        <v>59</v>
      </c>
      <c r="AG128">
        <v>176</v>
      </c>
      <c r="AH128">
        <f>IF([2]!Table1[[#This Row],[الوزن]]&lt;&gt;"",[2]!Table1[[#This Row],[الوزن]]-([2]!Table1[[#This Row],[الطول]]-100),"")</f>
        <v>1</v>
      </c>
      <c r="AN128" t="s">
        <v>733</v>
      </c>
    </row>
    <row r="129" spans="1:40" ht="18.75" customHeight="1" x14ac:dyDescent="0.3">
      <c r="A129" s="1">
        <v>2013130400446</v>
      </c>
      <c r="B129" t="s">
        <v>75</v>
      </c>
      <c r="C129" t="s">
        <v>821</v>
      </c>
      <c r="D129" t="s">
        <v>811</v>
      </c>
      <c r="E129" t="s">
        <v>43</v>
      </c>
      <c r="F129">
        <v>149</v>
      </c>
      <c r="G129">
        <v>41307</v>
      </c>
      <c r="H129">
        <v>41777</v>
      </c>
      <c r="I129">
        <v>45474</v>
      </c>
      <c r="K129">
        <v>45973</v>
      </c>
      <c r="L129" t="s">
        <v>135</v>
      </c>
      <c r="M129" t="s">
        <v>817</v>
      </c>
      <c r="N129" t="s">
        <v>127</v>
      </c>
      <c r="O129" t="s">
        <v>822</v>
      </c>
      <c r="Q129" t="s">
        <v>49</v>
      </c>
      <c r="R129">
        <v>6</v>
      </c>
      <c r="S129">
        <v>1</v>
      </c>
      <c r="T129">
        <v>0</v>
      </c>
      <c r="U129" t="s">
        <v>823</v>
      </c>
      <c r="W129">
        <v>29405052500957</v>
      </c>
      <c r="X129">
        <v>34459</v>
      </c>
      <c r="Y129" t="s">
        <v>103</v>
      </c>
      <c r="AA129">
        <v>3</v>
      </c>
      <c r="AD129">
        <v>1</v>
      </c>
      <c r="AF129">
        <v>70</v>
      </c>
      <c r="AG129">
        <v>169</v>
      </c>
      <c r="AH129">
        <f>IF([2]!Table1[[#This Row],[الوزن]]&lt;&gt;"",[2]!Table1[[#This Row],[الوزن]]-([2]!Table1[[#This Row],[الطول]]-100),"")</f>
        <v>3</v>
      </c>
      <c r="AN129" t="s">
        <v>625</v>
      </c>
    </row>
    <row r="130" spans="1:40" ht="18.75" customHeight="1" x14ac:dyDescent="0.3">
      <c r="A130" s="1">
        <v>2014138306066</v>
      </c>
      <c r="B130" t="s">
        <v>75</v>
      </c>
      <c r="C130" t="s">
        <v>824</v>
      </c>
      <c r="D130" t="s">
        <v>811</v>
      </c>
      <c r="E130" t="s">
        <v>43</v>
      </c>
      <c r="F130">
        <v>151</v>
      </c>
      <c r="G130">
        <v>41665</v>
      </c>
      <c r="H130">
        <v>42288</v>
      </c>
      <c r="I130">
        <v>45839</v>
      </c>
      <c r="K130">
        <v>45970</v>
      </c>
      <c r="L130" t="s">
        <v>135</v>
      </c>
      <c r="M130" t="s">
        <v>812</v>
      </c>
      <c r="N130" t="s">
        <v>127</v>
      </c>
      <c r="O130" t="s">
        <v>825</v>
      </c>
      <c r="Q130" t="s">
        <v>49</v>
      </c>
      <c r="R130">
        <v>0</v>
      </c>
      <c r="S130">
        <v>0</v>
      </c>
      <c r="T130">
        <v>0</v>
      </c>
      <c r="U130" t="s">
        <v>826</v>
      </c>
      <c r="W130">
        <v>29204092402758</v>
      </c>
      <c r="X130">
        <v>33703</v>
      </c>
      <c r="Y130" t="s">
        <v>103</v>
      </c>
      <c r="AA130">
        <v>3</v>
      </c>
      <c r="AD130">
        <v>0</v>
      </c>
      <c r="AF130">
        <v>75</v>
      </c>
      <c r="AG130">
        <v>172</v>
      </c>
      <c r="AH130">
        <f>IF([2]!Table1[[#This Row],[الوزن]]&lt;&gt;"",[2]!Table1[[#This Row],[الوزن]]-([2]!Table1[[#This Row],[الطول]]-100),"")</f>
        <v>7</v>
      </c>
      <c r="AN130" t="s">
        <v>733</v>
      </c>
    </row>
    <row r="131" spans="1:40" ht="18.75" customHeight="1" x14ac:dyDescent="0.3">
      <c r="A131" s="1">
        <v>2015138305628</v>
      </c>
      <c r="B131" t="s">
        <v>106</v>
      </c>
      <c r="C131" t="s">
        <v>827</v>
      </c>
      <c r="D131" t="s">
        <v>811</v>
      </c>
      <c r="E131" t="s">
        <v>43</v>
      </c>
      <c r="F131">
        <v>154</v>
      </c>
      <c r="G131">
        <v>42030</v>
      </c>
      <c r="H131">
        <v>42790</v>
      </c>
      <c r="I131">
        <v>44743</v>
      </c>
      <c r="K131">
        <v>45973</v>
      </c>
      <c r="L131" t="s">
        <v>135</v>
      </c>
      <c r="M131" t="s">
        <v>812</v>
      </c>
      <c r="N131" t="s">
        <v>127</v>
      </c>
      <c r="O131" t="s">
        <v>828</v>
      </c>
      <c r="P131" t="s">
        <v>49</v>
      </c>
      <c r="R131">
        <v>0</v>
      </c>
      <c r="S131">
        <v>0</v>
      </c>
      <c r="T131">
        <v>0</v>
      </c>
      <c r="U131" t="s">
        <v>829</v>
      </c>
      <c r="W131">
        <v>29410011806638</v>
      </c>
      <c r="X131">
        <v>34608</v>
      </c>
      <c r="Y131" t="s">
        <v>103</v>
      </c>
      <c r="AA131">
        <v>1</v>
      </c>
      <c r="AD131">
        <v>0</v>
      </c>
      <c r="AF131">
        <v>81</v>
      </c>
      <c r="AG131">
        <v>174</v>
      </c>
      <c r="AH131" t="e">
        <f>IF([2]!Table1[[#This Row],[الوزن]]&lt;&gt;"",[2]!Table1[[#This Row],[الوزن]]-([2]!Table1[[#This Row],[الطول]]-100),"")</f>
        <v>#REF!</v>
      </c>
      <c r="AN131" t="s">
        <v>145</v>
      </c>
    </row>
    <row r="132" spans="1:40" ht="18.75" customHeight="1" x14ac:dyDescent="0.3">
      <c r="A132" s="1">
        <v>2006138300552</v>
      </c>
      <c r="B132" t="s">
        <v>57</v>
      </c>
      <c r="C132" t="s">
        <v>830</v>
      </c>
      <c r="D132" t="s">
        <v>831</v>
      </c>
      <c r="E132" t="s">
        <v>43</v>
      </c>
      <c r="F132">
        <v>135</v>
      </c>
      <c r="G132">
        <v>38738</v>
      </c>
      <c r="H132">
        <v>39208</v>
      </c>
      <c r="I132">
        <v>44743</v>
      </c>
      <c r="L132" t="s">
        <v>135</v>
      </c>
      <c r="M132" t="s">
        <v>554</v>
      </c>
      <c r="N132" t="s">
        <v>127</v>
      </c>
      <c r="O132" t="s">
        <v>579</v>
      </c>
      <c r="P132" t="s">
        <v>49</v>
      </c>
      <c r="R132">
        <v>2</v>
      </c>
      <c r="S132">
        <v>0</v>
      </c>
      <c r="T132">
        <v>0</v>
      </c>
      <c r="U132" t="s">
        <v>832</v>
      </c>
      <c r="V132" t="s">
        <v>833</v>
      </c>
      <c r="X132">
        <v>30666</v>
      </c>
      <c r="Y132" t="s">
        <v>103</v>
      </c>
      <c r="Z132">
        <v>3</v>
      </c>
      <c r="AA132">
        <v>2</v>
      </c>
      <c r="AE132" t="s">
        <v>834</v>
      </c>
      <c r="AF132">
        <v>93</v>
      </c>
      <c r="AG132" t="e">
        <f>IF([2]!Table1[[#This Row],[الوزن]]&lt;&gt;"",[2]!Table1[[#This Row],[الوزن]]-([2]!Table1[[#This Row],[الطول]]-100),"")</f>
        <v>#REF!</v>
      </c>
      <c r="AH132" t="e">
        <f>IF([2]!Table1[[#This Row],[الوزن]]&lt;&gt;"",[2]!Table1[[#This Row],[الوزن]]-([2]!Table1[[#This Row],[الطول]]-100),"")</f>
        <v>#REF!</v>
      </c>
      <c r="AL132" t="s">
        <v>835</v>
      </c>
      <c r="AN132" t="s">
        <v>145</v>
      </c>
    </row>
    <row r="133" spans="1:40" ht="18.75" customHeight="1" x14ac:dyDescent="0.3">
      <c r="A133" s="1">
        <v>2015138307963</v>
      </c>
      <c r="B133" t="s">
        <v>106</v>
      </c>
      <c r="C133" t="s">
        <v>836</v>
      </c>
      <c r="D133" t="s">
        <v>831</v>
      </c>
      <c r="E133" t="s">
        <v>43</v>
      </c>
      <c r="F133">
        <v>154</v>
      </c>
      <c r="G133">
        <v>42224</v>
      </c>
      <c r="H133">
        <v>42790</v>
      </c>
      <c r="I133">
        <v>44743</v>
      </c>
      <c r="L133" t="s">
        <v>135</v>
      </c>
      <c r="M133" t="s">
        <v>554</v>
      </c>
      <c r="N133" t="s">
        <v>127</v>
      </c>
      <c r="O133" t="s">
        <v>579</v>
      </c>
      <c r="P133" t="s">
        <v>49</v>
      </c>
      <c r="R133">
        <v>6</v>
      </c>
      <c r="S133">
        <v>0</v>
      </c>
      <c r="T133">
        <v>0</v>
      </c>
      <c r="U133" t="s">
        <v>837</v>
      </c>
      <c r="V133" t="s">
        <v>838</v>
      </c>
      <c r="X133">
        <v>35875</v>
      </c>
      <c r="Y133" t="s">
        <v>153</v>
      </c>
      <c r="Z133">
        <v>0</v>
      </c>
      <c r="AA133">
        <v>0</v>
      </c>
      <c r="AE133" t="s">
        <v>839</v>
      </c>
      <c r="AF133">
        <v>76</v>
      </c>
      <c r="AG133" t="e">
        <f>IF([2]!Table1[[#This Row],[الوزن]]&lt;&gt;"",[2]!Table1[[#This Row],[الوزن]]-([2]!Table1[[#This Row],[الطول]]-100),"")</f>
        <v>#REF!</v>
      </c>
      <c r="AH133" t="e">
        <f>IF([2]!Table1[[#This Row],[الوزن]]&lt;&gt;"",[2]!Table1[[#This Row],[الوزن]]-([2]!Table1[[#This Row],[الطول]]-100),"")</f>
        <v>#REF!</v>
      </c>
      <c r="AN133" t="s">
        <v>145</v>
      </c>
    </row>
    <row r="134" spans="1:40" ht="18.75" customHeight="1" x14ac:dyDescent="0.3">
      <c r="A134" s="1">
        <v>2015138314976</v>
      </c>
      <c r="B134" t="s">
        <v>106</v>
      </c>
      <c r="C134" t="s">
        <v>840</v>
      </c>
      <c r="D134" t="s">
        <v>831</v>
      </c>
      <c r="E134" t="s">
        <v>43</v>
      </c>
      <c r="F134">
        <v>154</v>
      </c>
      <c r="G134">
        <v>42224</v>
      </c>
      <c r="H134">
        <v>42790</v>
      </c>
      <c r="I134">
        <v>44743</v>
      </c>
      <c r="L134" t="s">
        <v>135</v>
      </c>
      <c r="M134" t="s">
        <v>554</v>
      </c>
      <c r="N134" t="s">
        <v>127</v>
      </c>
      <c r="O134" t="s">
        <v>561</v>
      </c>
      <c r="P134" t="s">
        <v>49</v>
      </c>
      <c r="R134">
        <v>0</v>
      </c>
      <c r="S134">
        <v>0</v>
      </c>
      <c r="T134">
        <v>0</v>
      </c>
      <c r="U134" t="s">
        <v>841</v>
      </c>
      <c r="V134" t="s">
        <v>842</v>
      </c>
      <c r="X134">
        <v>35827</v>
      </c>
      <c r="Y134" t="s">
        <v>103</v>
      </c>
      <c r="Z134">
        <v>2</v>
      </c>
      <c r="AA134">
        <v>1</v>
      </c>
      <c r="AE134" t="s">
        <v>843</v>
      </c>
      <c r="AF134">
        <v>80</v>
      </c>
      <c r="AG134" t="e">
        <f>IF([2]!Table1[[#This Row],[الوزن]]&lt;&gt;"",[2]!Table1[[#This Row],[الوزن]]-([2]!Table1[[#This Row],[الطول]]-100),"")</f>
        <v>#REF!</v>
      </c>
      <c r="AH134" t="e">
        <f>IF([2]!Table1[[#This Row],[الوزن]]&lt;&gt;"",[2]!Table1[[#This Row],[الوزن]]-([2]!Table1[[#This Row],[الطول]]-100),"")</f>
        <v>#REF!</v>
      </c>
      <c r="AN134" t="s">
        <v>145</v>
      </c>
    </row>
    <row r="135" spans="1:40" ht="18.75" customHeight="1" x14ac:dyDescent="0.3">
      <c r="A135" s="1">
        <v>2015138326070</v>
      </c>
      <c r="B135" t="s">
        <v>106</v>
      </c>
      <c r="C135" t="s">
        <v>844</v>
      </c>
      <c r="D135" t="s">
        <v>831</v>
      </c>
      <c r="E135" t="s">
        <v>43</v>
      </c>
      <c r="F135">
        <v>155</v>
      </c>
      <c r="G135">
        <v>42369</v>
      </c>
      <c r="H135">
        <v>42932</v>
      </c>
      <c r="I135">
        <v>44927</v>
      </c>
      <c r="L135" t="s">
        <v>135</v>
      </c>
      <c r="M135" t="s">
        <v>554</v>
      </c>
      <c r="N135" t="s">
        <v>127</v>
      </c>
      <c r="O135" t="s">
        <v>579</v>
      </c>
      <c r="P135" t="s">
        <v>49</v>
      </c>
      <c r="R135">
        <v>1</v>
      </c>
      <c r="S135">
        <v>0</v>
      </c>
      <c r="T135">
        <v>0</v>
      </c>
      <c r="U135" t="s">
        <v>845</v>
      </c>
      <c r="V135" t="s">
        <v>846</v>
      </c>
      <c r="X135">
        <v>35065</v>
      </c>
      <c r="Y135" t="s">
        <v>103</v>
      </c>
      <c r="Z135">
        <v>1</v>
      </c>
      <c r="AA135">
        <v>0</v>
      </c>
      <c r="AE135" t="s">
        <v>847</v>
      </c>
      <c r="AF135">
        <v>90</v>
      </c>
      <c r="AG135">
        <f>IF([2]!Table1[[#This Row],[الوزن]]&lt;&gt;"",[2]!Table1[[#This Row],[الوزن]]-([2]!Table1[[#This Row],[الطول]]-100),"")</f>
        <v>-3</v>
      </c>
      <c r="AH135">
        <f>IF([2]!Table1[[#This Row],[الوزن]]&lt;&gt;"",[2]!Table1[[#This Row],[الوزن]]-([2]!Table1[[#This Row],[الطول]]-100),"")</f>
        <v>-3</v>
      </c>
      <c r="AN135" t="s">
        <v>145</v>
      </c>
    </row>
    <row r="136" spans="1:40" ht="18.75" customHeight="1" x14ac:dyDescent="0.3">
      <c r="A136" s="1">
        <v>2019131100275</v>
      </c>
      <c r="B136" t="s">
        <v>125</v>
      </c>
      <c r="C136" t="s">
        <v>848</v>
      </c>
      <c r="D136" t="s">
        <v>849</v>
      </c>
      <c r="E136" t="s">
        <v>850</v>
      </c>
      <c r="F136">
        <v>159</v>
      </c>
      <c r="G136">
        <v>43692</v>
      </c>
      <c r="H136">
        <v>44482</v>
      </c>
      <c r="I136">
        <v>44482</v>
      </c>
      <c r="M136" t="s">
        <v>136</v>
      </c>
      <c r="N136" t="s">
        <v>448</v>
      </c>
      <c r="O136" t="s">
        <v>851</v>
      </c>
      <c r="Q136" t="s">
        <v>49</v>
      </c>
      <c r="R136">
        <v>0</v>
      </c>
      <c r="S136">
        <v>0</v>
      </c>
      <c r="T136">
        <v>0</v>
      </c>
      <c r="U136" t="s">
        <v>852</v>
      </c>
      <c r="V136" t="s">
        <v>853</v>
      </c>
      <c r="X136">
        <v>36545</v>
      </c>
      <c r="Y136" t="s">
        <v>767</v>
      </c>
      <c r="AF136">
        <v>65</v>
      </c>
      <c r="AG136">
        <v>168</v>
      </c>
      <c r="AH136">
        <v>-3</v>
      </c>
      <c r="AN136" t="s">
        <v>56</v>
      </c>
    </row>
    <row r="137" spans="1:40" ht="18.75" customHeight="1" x14ac:dyDescent="0.3">
      <c r="A137" s="1">
        <v>2000134703273</v>
      </c>
      <c r="B137" t="s">
        <v>210</v>
      </c>
      <c r="C137" t="s">
        <v>854</v>
      </c>
      <c r="D137" t="s">
        <v>855</v>
      </c>
      <c r="E137" t="s">
        <v>43</v>
      </c>
      <c r="AH137" t="str">
        <f>IF([2]!Table1[[#This Row],[الوزن]]&lt;&gt;"",[2]!Table1[[#This Row],[الوزن]]-([2]!Table1[[#This Row],[الطول]]-100),"")</f>
        <v/>
      </c>
      <c r="AI137" t="s">
        <v>787</v>
      </c>
    </row>
    <row r="138" spans="1:40" ht="18.75" customHeight="1" x14ac:dyDescent="0.3">
      <c r="A138" s="1">
        <v>2003138307372</v>
      </c>
      <c r="B138" t="s">
        <v>210</v>
      </c>
      <c r="C138" t="s">
        <v>856</v>
      </c>
      <c r="D138" t="s">
        <v>670</v>
      </c>
      <c r="E138" t="s">
        <v>43</v>
      </c>
      <c r="F138">
        <v>130</v>
      </c>
      <c r="G138">
        <v>37821</v>
      </c>
      <c r="H138">
        <v>38296</v>
      </c>
      <c r="I138">
        <v>45658</v>
      </c>
      <c r="L138" t="s">
        <v>135</v>
      </c>
      <c r="M138" t="s">
        <v>554</v>
      </c>
      <c r="N138" t="s">
        <v>127</v>
      </c>
      <c r="O138" t="s">
        <v>857</v>
      </c>
      <c r="P138" t="s">
        <v>49</v>
      </c>
      <c r="R138">
        <v>2</v>
      </c>
      <c r="S138">
        <v>1</v>
      </c>
      <c r="T138">
        <v>0</v>
      </c>
      <c r="U138" t="s">
        <v>858</v>
      </c>
      <c r="X138">
        <v>28763</v>
      </c>
      <c r="Y138" t="s">
        <v>103</v>
      </c>
      <c r="Z138">
        <v>5</v>
      </c>
      <c r="AA138">
        <v>3</v>
      </c>
      <c r="AE138" t="s">
        <v>859</v>
      </c>
      <c r="AH138" t="str">
        <f>IF([2]!Table1[[#This Row],[الوزن]]&lt;&gt;"",[2]!Table1[[#This Row],[الوزن]]-([2]!Table1[[#This Row],[الطول]]-100),"")</f>
        <v/>
      </c>
      <c r="AI138" t="s">
        <v>787</v>
      </c>
      <c r="AN138" t="s">
        <v>145</v>
      </c>
    </row>
    <row r="139" spans="1:40" ht="18.75" customHeight="1" x14ac:dyDescent="0.3">
      <c r="A139" s="1">
        <v>2009138305027</v>
      </c>
      <c r="B139" t="s">
        <v>57</v>
      </c>
      <c r="C139" t="s">
        <v>860</v>
      </c>
      <c r="D139" t="s">
        <v>670</v>
      </c>
      <c r="E139" t="s">
        <v>43</v>
      </c>
      <c r="F139">
        <v>141</v>
      </c>
      <c r="G139">
        <v>39837</v>
      </c>
      <c r="H139">
        <v>40308</v>
      </c>
      <c r="I139">
        <v>45839</v>
      </c>
      <c r="L139" t="s">
        <v>135</v>
      </c>
      <c r="M139" t="s">
        <v>554</v>
      </c>
      <c r="N139" t="s">
        <v>127</v>
      </c>
      <c r="O139" t="s">
        <v>861</v>
      </c>
      <c r="P139" t="s">
        <v>49</v>
      </c>
      <c r="R139">
        <v>0</v>
      </c>
      <c r="S139">
        <v>0</v>
      </c>
      <c r="T139">
        <v>0</v>
      </c>
      <c r="U139" t="s">
        <v>862</v>
      </c>
      <c r="X139">
        <v>31257</v>
      </c>
      <c r="Y139" t="s">
        <v>103</v>
      </c>
      <c r="Z139">
        <v>2</v>
      </c>
      <c r="AA139">
        <v>2</v>
      </c>
      <c r="AE139" t="s">
        <v>502</v>
      </c>
      <c r="AH139" t="str">
        <f>IF([2]!Table1[[#This Row],[الوزن]]&lt;&gt;"",[2]!Table1[[#This Row],[الوزن]]-([2]!Table1[[#This Row],[الطول]]-100),"")</f>
        <v/>
      </c>
      <c r="AI139" t="s">
        <v>787</v>
      </c>
      <c r="AN139" t="s">
        <v>145</v>
      </c>
    </row>
    <row r="140" spans="1:40" ht="18.75" customHeight="1" x14ac:dyDescent="0.3">
      <c r="A140" s="1">
        <v>2012138303529</v>
      </c>
      <c r="B140" t="s">
        <v>75</v>
      </c>
      <c r="C140" t="s">
        <v>863</v>
      </c>
      <c r="D140" t="s">
        <v>670</v>
      </c>
      <c r="E140" t="s">
        <v>43</v>
      </c>
      <c r="F140">
        <v>147</v>
      </c>
      <c r="G140">
        <v>40936</v>
      </c>
      <c r="H140">
        <v>45059</v>
      </c>
      <c r="I140">
        <v>45108</v>
      </c>
      <c r="L140" t="s">
        <v>135</v>
      </c>
      <c r="M140" t="s">
        <v>554</v>
      </c>
      <c r="N140" t="s">
        <v>127</v>
      </c>
      <c r="O140" t="s">
        <v>864</v>
      </c>
      <c r="P140" t="s">
        <v>49</v>
      </c>
      <c r="R140">
        <v>9</v>
      </c>
      <c r="S140">
        <v>0</v>
      </c>
      <c r="T140">
        <v>0</v>
      </c>
      <c r="U140" t="s">
        <v>865</v>
      </c>
      <c r="X140">
        <v>33878</v>
      </c>
      <c r="Y140" t="s">
        <v>103</v>
      </c>
      <c r="Z140">
        <v>3</v>
      </c>
      <c r="AA140">
        <v>2</v>
      </c>
      <c r="AE140" t="s">
        <v>866</v>
      </c>
      <c r="AH140" t="str">
        <f>IF([2]!Table1[[#This Row],[الوزن]]&lt;&gt;"",[2]!Table1[[#This Row],[الوزن]]-([2]!Table1[[#This Row],[الطول]]-100),"")</f>
        <v/>
      </c>
      <c r="AI140" t="s">
        <v>787</v>
      </c>
      <c r="AN140" t="s">
        <v>145</v>
      </c>
    </row>
    <row r="141" spans="1:40" ht="18.75" customHeight="1" x14ac:dyDescent="0.3">
      <c r="A141" s="1">
        <v>2014138301537</v>
      </c>
      <c r="B141" t="s">
        <v>75</v>
      </c>
      <c r="C141" t="s">
        <v>867</v>
      </c>
      <c r="D141" t="s">
        <v>670</v>
      </c>
      <c r="E141" t="s">
        <v>43</v>
      </c>
      <c r="F141">
        <v>151</v>
      </c>
      <c r="G141">
        <v>41665</v>
      </c>
      <c r="H141">
        <v>42125</v>
      </c>
      <c r="I141">
        <v>44013</v>
      </c>
      <c r="L141" t="s">
        <v>135</v>
      </c>
      <c r="M141" t="s">
        <v>554</v>
      </c>
      <c r="N141" t="s">
        <v>127</v>
      </c>
      <c r="O141" t="s">
        <v>579</v>
      </c>
      <c r="P141" t="s">
        <v>49</v>
      </c>
      <c r="R141">
        <v>1</v>
      </c>
      <c r="S141">
        <v>0</v>
      </c>
      <c r="T141">
        <v>0</v>
      </c>
      <c r="U141" t="s">
        <v>868</v>
      </c>
      <c r="X141">
        <v>34296</v>
      </c>
      <c r="Y141" t="s">
        <v>103</v>
      </c>
      <c r="Z141">
        <v>2</v>
      </c>
      <c r="AA141">
        <v>1</v>
      </c>
      <c r="AE141" t="s">
        <v>869</v>
      </c>
      <c r="AH141" t="str">
        <f>IF([2]!Table1[[#This Row],[الوزن]]&lt;&gt;"",[2]!Table1[[#This Row],[الوزن]]-([2]!Table1[[#This Row],[الطول]]-100),"")</f>
        <v/>
      </c>
      <c r="AI141" t="s">
        <v>787</v>
      </c>
      <c r="AN141" t="s">
        <v>145</v>
      </c>
    </row>
    <row r="142" spans="1:40" ht="18.75" customHeight="1" x14ac:dyDescent="0.3">
      <c r="A142" s="1">
        <v>2014130401137</v>
      </c>
      <c r="B142" t="s">
        <v>75</v>
      </c>
      <c r="C142" t="s">
        <v>870</v>
      </c>
      <c r="D142" t="s">
        <v>670</v>
      </c>
      <c r="E142" t="s">
        <v>43</v>
      </c>
      <c r="F142">
        <v>152</v>
      </c>
      <c r="G142">
        <v>41853</v>
      </c>
      <c r="H142">
        <v>42326</v>
      </c>
      <c r="I142">
        <v>44197</v>
      </c>
      <c r="L142" t="s">
        <v>135</v>
      </c>
      <c r="M142" t="s">
        <v>554</v>
      </c>
      <c r="N142" t="s">
        <v>127</v>
      </c>
      <c r="O142" t="s">
        <v>871</v>
      </c>
      <c r="P142" t="s">
        <v>49</v>
      </c>
      <c r="R142">
        <v>1</v>
      </c>
      <c r="S142">
        <v>0</v>
      </c>
      <c r="T142">
        <v>0</v>
      </c>
      <c r="U142" t="s">
        <v>872</v>
      </c>
      <c r="X142">
        <v>35596</v>
      </c>
      <c r="Y142" t="s">
        <v>103</v>
      </c>
      <c r="Z142">
        <v>1</v>
      </c>
      <c r="AA142">
        <v>1</v>
      </c>
      <c r="AE142" t="s">
        <v>873</v>
      </c>
      <c r="AH142" t="str">
        <f>IF([2]!Table1[[#This Row],[الوزن]]&lt;&gt;"",[2]!Table1[[#This Row],[الوزن]]-([2]!Table1[[#This Row],[الطول]]-100),"")</f>
        <v/>
      </c>
      <c r="AI142" t="s">
        <v>787</v>
      </c>
      <c r="AN142" t="s">
        <v>145</v>
      </c>
    </row>
    <row r="143" spans="1:40" ht="18.75" customHeight="1" x14ac:dyDescent="0.3">
      <c r="A143" s="1">
        <v>2014138316247</v>
      </c>
      <c r="B143" t="s">
        <v>75</v>
      </c>
      <c r="C143" t="s">
        <v>874</v>
      </c>
      <c r="D143" t="s">
        <v>670</v>
      </c>
      <c r="E143" t="s">
        <v>43</v>
      </c>
      <c r="F143">
        <v>152</v>
      </c>
      <c r="G143">
        <v>41853</v>
      </c>
      <c r="H143">
        <v>42326</v>
      </c>
      <c r="I143">
        <v>44197</v>
      </c>
      <c r="L143" t="s">
        <v>135</v>
      </c>
      <c r="M143" t="s">
        <v>554</v>
      </c>
      <c r="N143" t="s">
        <v>127</v>
      </c>
      <c r="O143" t="s">
        <v>875</v>
      </c>
      <c r="P143" t="s">
        <v>49</v>
      </c>
      <c r="R143">
        <v>3</v>
      </c>
      <c r="S143">
        <v>0</v>
      </c>
      <c r="T143">
        <v>0</v>
      </c>
      <c r="U143" t="s">
        <v>876</v>
      </c>
      <c r="X143">
        <v>33950</v>
      </c>
      <c r="Y143" t="s">
        <v>103</v>
      </c>
      <c r="Z143">
        <v>3</v>
      </c>
      <c r="AA143">
        <v>2</v>
      </c>
      <c r="AE143" t="s">
        <v>877</v>
      </c>
      <c r="AH143" t="str">
        <f>IF([2]!Table1[[#This Row],[الوزن]]&lt;&gt;"",[2]!Table1[[#This Row],[الوزن]]-([2]!Table1[[#This Row],[الطول]]-100),"")</f>
        <v/>
      </c>
      <c r="AI143" t="s">
        <v>787</v>
      </c>
      <c r="AN143" t="s">
        <v>145</v>
      </c>
    </row>
    <row r="144" spans="1:40" ht="18.75" customHeight="1" x14ac:dyDescent="0.3">
      <c r="A144" s="1">
        <v>2014138325917</v>
      </c>
      <c r="B144" t="s">
        <v>75</v>
      </c>
      <c r="C144" t="s">
        <v>878</v>
      </c>
      <c r="D144" t="s">
        <v>670</v>
      </c>
      <c r="E144" t="s">
        <v>43</v>
      </c>
      <c r="F144">
        <v>152</v>
      </c>
      <c r="G144">
        <v>41853</v>
      </c>
      <c r="H144">
        <v>42326</v>
      </c>
      <c r="I144">
        <v>44197</v>
      </c>
      <c r="L144" t="s">
        <v>135</v>
      </c>
      <c r="M144" t="s">
        <v>554</v>
      </c>
      <c r="N144" t="s">
        <v>127</v>
      </c>
      <c r="O144" t="s">
        <v>879</v>
      </c>
      <c r="P144" t="s">
        <v>49</v>
      </c>
      <c r="R144">
        <v>6</v>
      </c>
      <c r="S144">
        <v>0</v>
      </c>
      <c r="T144">
        <v>0</v>
      </c>
      <c r="U144" t="s">
        <v>880</v>
      </c>
      <c r="X144">
        <v>34655</v>
      </c>
      <c r="Y144" t="s">
        <v>103</v>
      </c>
      <c r="Z144">
        <v>2</v>
      </c>
      <c r="AA144">
        <v>1</v>
      </c>
      <c r="AE144" t="s">
        <v>881</v>
      </c>
      <c r="AH144" t="str">
        <f>IF([2]!Table1[[#This Row],[الوزن]]&lt;&gt;"",[2]!Table1[[#This Row],[الوزن]]-([2]!Table1[[#This Row],[الطول]]-100),"")</f>
        <v/>
      </c>
      <c r="AI144" t="s">
        <v>787</v>
      </c>
      <c r="AN144" t="s">
        <v>145</v>
      </c>
    </row>
    <row r="145" spans="1:40" ht="18.75" customHeight="1" x14ac:dyDescent="0.3">
      <c r="A145" s="1">
        <v>2016138306509</v>
      </c>
      <c r="B145" t="s">
        <v>106</v>
      </c>
      <c r="C145" t="s">
        <v>882</v>
      </c>
      <c r="D145" t="s">
        <v>670</v>
      </c>
      <c r="E145" t="s">
        <v>43</v>
      </c>
      <c r="F145">
        <v>156</v>
      </c>
      <c r="G145">
        <v>42575</v>
      </c>
      <c r="H145">
        <v>43321</v>
      </c>
      <c r="I145">
        <v>45292</v>
      </c>
      <c r="L145" t="s">
        <v>135</v>
      </c>
      <c r="M145" t="s">
        <v>554</v>
      </c>
      <c r="N145" t="s">
        <v>127</v>
      </c>
      <c r="O145" t="s">
        <v>579</v>
      </c>
      <c r="Q145" t="s">
        <v>49</v>
      </c>
      <c r="R145">
        <v>0</v>
      </c>
      <c r="S145">
        <v>0</v>
      </c>
      <c r="T145">
        <v>0</v>
      </c>
      <c r="U145" t="s">
        <v>883</v>
      </c>
      <c r="X145">
        <v>36340</v>
      </c>
      <c r="Y145" t="s">
        <v>153</v>
      </c>
      <c r="Z145">
        <v>0</v>
      </c>
      <c r="AA145">
        <v>0</v>
      </c>
      <c r="AE145" t="s">
        <v>884</v>
      </c>
      <c r="AH145" t="str">
        <f>IF([2]!Table1[[#This Row],[الوزن]]&lt;&gt;"",[2]!Table1[[#This Row],[الوزن]]-([2]!Table1[[#This Row],[الطول]]-100),"")</f>
        <v/>
      </c>
      <c r="AI145" t="s">
        <v>787</v>
      </c>
      <c r="AN145" t="s">
        <v>145</v>
      </c>
    </row>
    <row r="146" spans="1:40" ht="18.75" customHeight="1" x14ac:dyDescent="0.3">
      <c r="A146" s="1">
        <v>2018131807401</v>
      </c>
      <c r="B146" t="s">
        <v>106</v>
      </c>
      <c r="C146" t="s">
        <v>885</v>
      </c>
      <c r="D146" t="s">
        <v>670</v>
      </c>
      <c r="E146" t="s">
        <v>43</v>
      </c>
      <c r="F146">
        <v>158</v>
      </c>
      <c r="G146">
        <v>43371</v>
      </c>
      <c r="H146">
        <v>44117</v>
      </c>
      <c r="I146">
        <v>44117</v>
      </c>
      <c r="L146" t="s">
        <v>135</v>
      </c>
      <c r="M146" t="s">
        <v>554</v>
      </c>
      <c r="N146" t="s">
        <v>127</v>
      </c>
      <c r="O146" t="s">
        <v>608</v>
      </c>
      <c r="Q146" t="s">
        <v>49</v>
      </c>
      <c r="R146">
        <v>3</v>
      </c>
      <c r="S146">
        <v>0</v>
      </c>
      <c r="T146">
        <v>0</v>
      </c>
      <c r="U146" t="s">
        <v>886</v>
      </c>
      <c r="X146">
        <v>35707</v>
      </c>
      <c r="Y146" t="s">
        <v>550</v>
      </c>
      <c r="Z146">
        <v>0</v>
      </c>
      <c r="AA146">
        <v>0</v>
      </c>
      <c r="AE146" t="s">
        <v>887</v>
      </c>
      <c r="AH146" t="str">
        <f>IF([2]!Table1[[#This Row],[الوزن]]&lt;&gt;"",[2]!Table1[[#This Row],[الوزن]]-([2]!Table1[[#This Row],[الطول]]-100),"")</f>
        <v/>
      </c>
      <c r="AI146" t="s">
        <v>787</v>
      </c>
      <c r="AN146" t="s">
        <v>145</v>
      </c>
    </row>
    <row r="147" spans="1:40" ht="18.75" customHeight="1" x14ac:dyDescent="0.3">
      <c r="A147" s="1">
        <v>2021132200590</v>
      </c>
      <c r="B147" t="s">
        <v>125</v>
      </c>
      <c r="C147" t="s">
        <v>888</v>
      </c>
      <c r="D147" t="s">
        <v>670</v>
      </c>
      <c r="E147" t="s">
        <v>43</v>
      </c>
      <c r="F147">
        <v>160</v>
      </c>
      <c r="G147">
        <v>44205</v>
      </c>
      <c r="H147">
        <v>45197</v>
      </c>
      <c r="I147">
        <v>45197</v>
      </c>
      <c r="L147" t="s">
        <v>135</v>
      </c>
      <c r="M147" t="s">
        <v>554</v>
      </c>
      <c r="N147" t="s">
        <v>127</v>
      </c>
      <c r="O147" t="s">
        <v>579</v>
      </c>
      <c r="Q147" t="s">
        <v>49</v>
      </c>
      <c r="R147">
        <v>0</v>
      </c>
      <c r="S147">
        <v>0</v>
      </c>
      <c r="T147">
        <v>0</v>
      </c>
      <c r="U147" t="s">
        <v>889</v>
      </c>
      <c r="X147">
        <v>36300</v>
      </c>
      <c r="Y147" t="s">
        <v>153</v>
      </c>
      <c r="Z147">
        <v>0</v>
      </c>
      <c r="AA147">
        <v>0</v>
      </c>
      <c r="AE147" t="s">
        <v>890</v>
      </c>
      <c r="AH147" t="str">
        <f>IF([2]!Table1[[#This Row],[الوزن]]&lt;&gt;"",[2]!Table1[[#This Row],[الوزن]]-([2]!Table1[[#This Row],[الطول]]-100),"")</f>
        <v/>
      </c>
      <c r="AI147" t="s">
        <v>787</v>
      </c>
      <c r="AN147" t="s">
        <v>145</v>
      </c>
    </row>
    <row r="148" spans="1:40" ht="18.75" customHeight="1" x14ac:dyDescent="0.3">
      <c r="A148" s="1">
        <v>2021138310608</v>
      </c>
      <c r="B148" t="s">
        <v>125</v>
      </c>
      <c r="C148" t="s">
        <v>891</v>
      </c>
      <c r="D148" t="s">
        <v>670</v>
      </c>
      <c r="E148" t="s">
        <v>43</v>
      </c>
      <c r="F148">
        <v>161</v>
      </c>
      <c r="G148">
        <v>44546</v>
      </c>
      <c r="H148">
        <v>45581</v>
      </c>
      <c r="I148">
        <v>45581</v>
      </c>
      <c r="L148" t="s">
        <v>135</v>
      </c>
      <c r="M148" t="s">
        <v>554</v>
      </c>
      <c r="N148" t="s">
        <v>127</v>
      </c>
      <c r="O148" t="s">
        <v>579</v>
      </c>
      <c r="Q148" t="s">
        <v>49</v>
      </c>
      <c r="R148">
        <v>1</v>
      </c>
      <c r="S148">
        <v>0</v>
      </c>
      <c r="T148">
        <v>0</v>
      </c>
      <c r="U148" t="s">
        <v>892</v>
      </c>
      <c r="X148">
        <v>38122</v>
      </c>
      <c r="Y148" t="s">
        <v>550</v>
      </c>
      <c r="Z148">
        <v>0</v>
      </c>
      <c r="AA148">
        <v>0</v>
      </c>
      <c r="AE148" t="s">
        <v>893</v>
      </c>
      <c r="AH148" t="str">
        <f>IF([2]!Table1[[#This Row],[الوزن]]&lt;&gt;"",[2]!Table1[[#This Row],[الوزن]]-([2]!Table1[[#This Row],[الطول]]-100),"")</f>
        <v/>
      </c>
      <c r="AI148" t="s">
        <v>787</v>
      </c>
      <c r="AN148" t="s">
        <v>145</v>
      </c>
    </row>
    <row r="149" spans="1:40" ht="18.75" customHeight="1" x14ac:dyDescent="0.3">
      <c r="A149" s="1">
        <v>2023138302354</v>
      </c>
      <c r="B149" t="s">
        <v>125</v>
      </c>
      <c r="C149" t="s">
        <v>894</v>
      </c>
      <c r="D149" t="s">
        <v>670</v>
      </c>
      <c r="E149" t="s">
        <v>43</v>
      </c>
      <c r="F149">
        <v>162</v>
      </c>
      <c r="G149">
        <v>44941</v>
      </c>
      <c r="H149">
        <v>45976</v>
      </c>
      <c r="I149">
        <v>45976</v>
      </c>
      <c r="L149" t="s">
        <v>135</v>
      </c>
      <c r="M149" t="s">
        <v>554</v>
      </c>
      <c r="N149" t="s">
        <v>127</v>
      </c>
      <c r="O149" t="s">
        <v>579</v>
      </c>
      <c r="Q149" t="s">
        <v>49</v>
      </c>
      <c r="R149">
        <v>0</v>
      </c>
      <c r="S149">
        <v>0</v>
      </c>
      <c r="T149">
        <v>0</v>
      </c>
      <c r="U149" t="s">
        <v>895</v>
      </c>
      <c r="X149">
        <v>38117</v>
      </c>
      <c r="Y149" t="s">
        <v>153</v>
      </c>
      <c r="Z149">
        <v>0</v>
      </c>
      <c r="AE149" t="s">
        <v>896</v>
      </c>
      <c r="AH149" t="str">
        <f>IF([2]!Table1[[#This Row],[الوزن]]&lt;&gt;"",[2]!Table1[[#This Row],[الوزن]]-([2]!Table1[[#This Row],[الطول]]-100),"")</f>
        <v/>
      </c>
      <c r="AI149" t="s">
        <v>787</v>
      </c>
      <c r="AN149" t="s">
        <v>145</v>
      </c>
    </row>
    <row r="150" spans="1:40" ht="18.75" customHeight="1" x14ac:dyDescent="0.3">
      <c r="A150" s="1">
        <v>2017131810050</v>
      </c>
      <c r="B150" t="s">
        <v>106</v>
      </c>
      <c r="C150" t="s">
        <v>897</v>
      </c>
      <c r="D150" t="s">
        <v>855</v>
      </c>
      <c r="E150" t="s">
        <v>43</v>
      </c>
      <c r="F150">
        <v>157</v>
      </c>
      <c r="G150">
        <v>42960</v>
      </c>
      <c r="AH150" t="str">
        <f>IF([2]!Table1[[#This Row],[الوزن]]&lt;&gt;"",[2]!Table1[[#This Row],[الوزن]]-([2]!Table1[[#This Row],[الطول]]-100),"")</f>
        <v/>
      </c>
      <c r="AI150" t="s">
        <v>787</v>
      </c>
    </row>
    <row r="151" spans="1:40" ht="18.75" customHeight="1" x14ac:dyDescent="0.3">
      <c r="A151" s="1">
        <v>2002131800250</v>
      </c>
      <c r="B151" t="s">
        <v>210</v>
      </c>
      <c r="C151" t="s">
        <v>898</v>
      </c>
      <c r="D151" t="s">
        <v>855</v>
      </c>
      <c r="E151" t="s">
        <v>43</v>
      </c>
      <c r="AH151" t="str">
        <f>IF([2]!Table1[[#This Row],[الوزن]]&lt;&gt;"",[2]!Table1[[#This Row],[الوزن]]-([2]!Table1[[#This Row],[الطول]]-100),"")</f>
        <v/>
      </c>
      <c r="AI151" t="s">
        <v>787</v>
      </c>
    </row>
    <row r="152" spans="1:40" ht="18.75" customHeight="1" x14ac:dyDescent="0.3">
      <c r="A152" s="1">
        <v>2002138302457</v>
      </c>
      <c r="B152" t="s">
        <v>210</v>
      </c>
      <c r="C152" t="s">
        <v>899</v>
      </c>
      <c r="D152" t="s">
        <v>855</v>
      </c>
      <c r="E152" t="s">
        <v>43</v>
      </c>
      <c r="AH152" t="str">
        <f>IF([2]!Table1[[#This Row],[الوزن]]&lt;&gt;"",[2]!Table1[[#This Row],[الوزن]]-([2]!Table1[[#This Row],[الطول]]-100),"")</f>
        <v/>
      </c>
      <c r="AI152" t="s">
        <v>787</v>
      </c>
    </row>
    <row r="153" spans="1:40" ht="18.75" customHeight="1" x14ac:dyDescent="0.3">
      <c r="A153" s="1">
        <v>2003130400877</v>
      </c>
      <c r="B153" t="s">
        <v>210</v>
      </c>
      <c r="C153" t="s">
        <v>900</v>
      </c>
      <c r="D153" t="s">
        <v>855</v>
      </c>
      <c r="E153" t="s">
        <v>43</v>
      </c>
      <c r="AH153" t="str">
        <f>IF([2]!Table1[[#This Row],[الوزن]]&lt;&gt;"",[2]!Table1[[#This Row],[الوزن]]-([2]!Table1[[#This Row],[الطول]]-100),"")</f>
        <v/>
      </c>
      <c r="AI153" t="s">
        <v>787</v>
      </c>
    </row>
    <row r="154" spans="1:40" ht="18.75" customHeight="1" x14ac:dyDescent="0.3">
      <c r="A154" s="1">
        <v>2003131800076</v>
      </c>
      <c r="B154" t="s">
        <v>210</v>
      </c>
      <c r="C154" t="s">
        <v>901</v>
      </c>
      <c r="D154" t="s">
        <v>855</v>
      </c>
      <c r="E154" t="s">
        <v>43</v>
      </c>
      <c r="AH154" t="str">
        <f>IF([2]!Table1[[#This Row],[الوزن]]&lt;&gt;"",[2]!Table1[[#This Row],[الوزن]]-([2]!Table1[[#This Row],[الطول]]-100),"")</f>
        <v/>
      </c>
      <c r="AI154" t="s">
        <v>787</v>
      </c>
    </row>
    <row r="155" spans="1:40" ht="18.75" customHeight="1" x14ac:dyDescent="0.3">
      <c r="A155" s="1">
        <v>2003135101561</v>
      </c>
      <c r="B155" t="s">
        <v>210</v>
      </c>
      <c r="C155" t="s">
        <v>902</v>
      </c>
      <c r="D155" t="s">
        <v>855</v>
      </c>
      <c r="E155" t="s">
        <v>43</v>
      </c>
      <c r="AH155" t="str">
        <f>IF([2]!Table1[[#This Row],[الوزن]]&lt;&gt;"",[2]!Table1[[#This Row],[الوزن]]-([2]!Table1[[#This Row],[الطول]]-100),"")</f>
        <v/>
      </c>
      <c r="AI155" t="s">
        <v>787</v>
      </c>
    </row>
    <row r="156" spans="1:40" ht="18.75" customHeight="1" x14ac:dyDescent="0.3">
      <c r="A156" s="1">
        <v>2003138307851</v>
      </c>
      <c r="B156" t="s">
        <v>210</v>
      </c>
      <c r="C156" t="s">
        <v>903</v>
      </c>
      <c r="D156" t="s">
        <v>855</v>
      </c>
      <c r="E156" t="s">
        <v>43</v>
      </c>
      <c r="AH156" t="str">
        <f>IF([2]!Table1[[#This Row],[الوزن]]&lt;&gt;"",[2]!Table1[[#This Row],[الوزن]]-([2]!Table1[[#This Row],[الطول]]-100),"")</f>
        <v/>
      </c>
      <c r="AI156" t="s">
        <v>787</v>
      </c>
    </row>
    <row r="157" spans="1:40" ht="18.75" customHeight="1" x14ac:dyDescent="0.3">
      <c r="A157" s="1">
        <v>2004131800347</v>
      </c>
      <c r="B157" t="s">
        <v>210</v>
      </c>
      <c r="C157" t="s">
        <v>904</v>
      </c>
      <c r="D157" t="s">
        <v>855</v>
      </c>
      <c r="E157" t="s">
        <v>43</v>
      </c>
      <c r="AH157" t="str">
        <f>IF([2]!Table1[[#This Row],[الوزن]]&lt;&gt;"",[2]!Table1[[#This Row],[الوزن]]-([2]!Table1[[#This Row],[الطول]]-100),"")</f>
        <v/>
      </c>
      <c r="AI157" t="s">
        <v>787</v>
      </c>
    </row>
    <row r="158" spans="1:40" ht="18.75" customHeight="1" x14ac:dyDescent="0.3">
      <c r="A158" s="1">
        <v>2004138302528</v>
      </c>
      <c r="B158" t="s">
        <v>210</v>
      </c>
      <c r="C158" t="s">
        <v>905</v>
      </c>
      <c r="D158" t="s">
        <v>855</v>
      </c>
      <c r="E158" t="s">
        <v>43</v>
      </c>
      <c r="AH158" t="str">
        <f>IF([2]!Table1[[#This Row],[الوزن]]&lt;&gt;"",[2]!Table1[[#This Row],[الوزن]]-([2]!Table1[[#This Row],[الطول]]-100),"")</f>
        <v/>
      </c>
      <c r="AI158" t="s">
        <v>787</v>
      </c>
    </row>
    <row r="159" spans="1:40" ht="18.75" customHeight="1" x14ac:dyDescent="0.3">
      <c r="A159" s="1">
        <v>2004138305829</v>
      </c>
      <c r="B159" t="s">
        <v>210</v>
      </c>
      <c r="C159" t="s">
        <v>906</v>
      </c>
      <c r="D159" t="s">
        <v>855</v>
      </c>
      <c r="E159" t="s">
        <v>43</v>
      </c>
      <c r="AH159" t="str">
        <f>IF([2]!Table1[[#This Row],[الوزن]]&lt;&gt;"",[2]!Table1[[#This Row],[الوزن]]-([2]!Table1[[#This Row],[الطول]]-100),"")</f>
        <v/>
      </c>
      <c r="AI159" t="s">
        <v>787</v>
      </c>
    </row>
    <row r="160" spans="1:40" ht="18.75" customHeight="1" x14ac:dyDescent="0.3">
      <c r="A160" s="1">
        <v>2007134701835</v>
      </c>
      <c r="B160" t="s">
        <v>210</v>
      </c>
      <c r="C160" t="s">
        <v>907</v>
      </c>
      <c r="D160" t="s">
        <v>855</v>
      </c>
      <c r="E160" t="s">
        <v>43</v>
      </c>
      <c r="AH160" t="str">
        <f>IF([2]!Table1[[#This Row],[الوزن]]&lt;&gt;"",[2]!Table1[[#This Row],[الوزن]]-([2]!Table1[[#This Row],[الطول]]-100),"")</f>
        <v/>
      </c>
      <c r="AI160" t="s">
        <v>787</v>
      </c>
    </row>
    <row r="161" spans="1:35" ht="18.75" customHeight="1" x14ac:dyDescent="0.3">
      <c r="A161" s="1">
        <v>2009134701534</v>
      </c>
      <c r="B161" t="s">
        <v>210</v>
      </c>
      <c r="C161" t="s">
        <v>908</v>
      </c>
      <c r="D161" t="s">
        <v>855</v>
      </c>
      <c r="E161" t="s">
        <v>43</v>
      </c>
      <c r="AH161" t="str">
        <f>IF([2]!Table1[[#This Row],[الوزن]]&lt;&gt;"",[2]!Table1[[#This Row],[الوزن]]-([2]!Table1[[#This Row],[الطول]]-100),"")</f>
        <v/>
      </c>
      <c r="AI161" t="s">
        <v>787</v>
      </c>
    </row>
    <row r="162" spans="1:35" ht="18.75" customHeight="1" x14ac:dyDescent="0.3">
      <c r="A162" s="1">
        <v>2011134701886</v>
      </c>
      <c r="B162" t="s">
        <v>210</v>
      </c>
      <c r="C162" t="s">
        <v>909</v>
      </c>
      <c r="D162" t="s">
        <v>855</v>
      </c>
      <c r="E162" t="s">
        <v>43</v>
      </c>
      <c r="AH162" t="str">
        <f>IF([2]!Table1[[#This Row],[الوزن]]&lt;&gt;"",[2]!Table1[[#This Row],[الوزن]]-([2]!Table1[[#This Row],[الطول]]-100),"")</f>
        <v/>
      </c>
      <c r="AI162" t="s">
        <v>787</v>
      </c>
    </row>
    <row r="163" spans="1:35" ht="18.75" customHeight="1" x14ac:dyDescent="0.3">
      <c r="A163" s="1">
        <v>2003131801090</v>
      </c>
      <c r="B163" t="s">
        <v>57</v>
      </c>
      <c r="C163" t="s">
        <v>910</v>
      </c>
      <c r="D163" t="s">
        <v>855</v>
      </c>
      <c r="E163" t="s">
        <v>43</v>
      </c>
      <c r="AH163" t="str">
        <f>IF([2]!Table1[[#This Row],[الوزن]]&lt;&gt;"",[2]!Table1[[#This Row],[الوزن]]-([2]!Table1[[#This Row],[الطول]]-100),"")</f>
        <v/>
      </c>
      <c r="AI163" t="s">
        <v>787</v>
      </c>
    </row>
    <row r="164" spans="1:35" ht="18.75" customHeight="1" x14ac:dyDescent="0.3">
      <c r="A164" s="1">
        <v>2004134702574</v>
      </c>
      <c r="B164" t="s">
        <v>57</v>
      </c>
      <c r="C164" t="s">
        <v>911</v>
      </c>
      <c r="D164" t="s">
        <v>855</v>
      </c>
      <c r="E164" t="s">
        <v>43</v>
      </c>
      <c r="AH164" t="str">
        <f>IF([2]!Table1[[#This Row],[الوزن]]&lt;&gt;"",[2]!Table1[[#This Row],[الوزن]]-([2]!Table1[[#This Row],[الطول]]-100),"")</f>
        <v/>
      </c>
    </row>
    <row r="165" spans="1:35" ht="18.75" customHeight="1" x14ac:dyDescent="0.3">
      <c r="A165" s="1">
        <v>2004138301893</v>
      </c>
      <c r="B165" t="s">
        <v>57</v>
      </c>
      <c r="C165" t="s">
        <v>912</v>
      </c>
      <c r="D165" t="s">
        <v>855</v>
      </c>
      <c r="E165" t="s">
        <v>43</v>
      </c>
      <c r="AH165" t="str">
        <f>IF([2]!Table1[[#This Row],[الوزن]]&lt;&gt;"",[2]!Table1[[#This Row],[الوزن]]-([2]!Table1[[#This Row],[الطول]]-100),"")</f>
        <v/>
      </c>
      <c r="AI165" t="s">
        <v>787</v>
      </c>
    </row>
    <row r="166" spans="1:35" ht="18.75" customHeight="1" x14ac:dyDescent="0.3">
      <c r="A166" s="1">
        <v>2005138304001</v>
      </c>
      <c r="B166" t="s">
        <v>57</v>
      </c>
      <c r="C166" t="s">
        <v>913</v>
      </c>
      <c r="D166" t="s">
        <v>855</v>
      </c>
      <c r="E166" t="s">
        <v>43</v>
      </c>
      <c r="AH166" t="str">
        <f>IF([2]!Table1[[#This Row],[الوزن]]&lt;&gt;"",[2]!Table1[[#This Row],[الوزن]]-([2]!Table1[[#This Row],[الطول]]-100),"")</f>
        <v/>
      </c>
      <c r="AI166" t="s">
        <v>787</v>
      </c>
    </row>
    <row r="167" spans="1:35" ht="18.75" customHeight="1" x14ac:dyDescent="0.3">
      <c r="A167" s="1">
        <v>2005138305471</v>
      </c>
      <c r="B167" t="s">
        <v>57</v>
      </c>
      <c r="C167" t="s">
        <v>914</v>
      </c>
      <c r="D167" t="s">
        <v>855</v>
      </c>
      <c r="E167" t="s">
        <v>43</v>
      </c>
      <c r="AH167" t="str">
        <f>IF([2]!Table1[[#This Row],[الوزن]]&lt;&gt;"",[2]!Table1[[#This Row],[الوزن]]-([2]!Table1[[#This Row],[الطول]]-100),"")</f>
        <v/>
      </c>
      <c r="AI167" t="s">
        <v>787</v>
      </c>
    </row>
    <row r="168" spans="1:35" ht="18.75" customHeight="1" x14ac:dyDescent="0.3">
      <c r="A168" s="1">
        <v>2007135200224</v>
      </c>
      <c r="B168" t="s">
        <v>57</v>
      </c>
      <c r="C168" t="s">
        <v>915</v>
      </c>
      <c r="D168" t="s">
        <v>855</v>
      </c>
      <c r="E168" t="s">
        <v>43</v>
      </c>
      <c r="AH168" t="str">
        <f>IF([2]!Table1[[#This Row],[الوزن]]&lt;&gt;"",[2]!Table1[[#This Row],[الوزن]]-([2]!Table1[[#This Row],[الطول]]-100),"")</f>
        <v/>
      </c>
      <c r="AI168" t="s">
        <v>787</v>
      </c>
    </row>
    <row r="169" spans="1:35" ht="18.75" customHeight="1" x14ac:dyDescent="0.3">
      <c r="A169" s="1">
        <v>2007138301368</v>
      </c>
      <c r="B169" t="s">
        <v>57</v>
      </c>
      <c r="C169" t="s">
        <v>916</v>
      </c>
      <c r="D169" t="s">
        <v>855</v>
      </c>
      <c r="E169" t="s">
        <v>43</v>
      </c>
      <c r="AH169" t="str">
        <f>IF([2]!Table1[[#This Row],[الوزن]]&lt;&gt;"",[2]!Table1[[#This Row],[الوزن]]-([2]!Table1[[#This Row],[الطول]]-100),"")</f>
        <v/>
      </c>
      <c r="AI169" t="s">
        <v>787</v>
      </c>
    </row>
    <row r="170" spans="1:35" ht="18.75" customHeight="1" x14ac:dyDescent="0.3">
      <c r="A170" s="1">
        <v>2007138305782</v>
      </c>
      <c r="B170" t="s">
        <v>57</v>
      </c>
      <c r="C170" t="s">
        <v>917</v>
      </c>
      <c r="D170" t="s">
        <v>855</v>
      </c>
      <c r="E170" t="s">
        <v>43</v>
      </c>
      <c r="AH170" t="str">
        <f>IF([2]!Table1[[#This Row],[الوزن]]&lt;&gt;"",[2]!Table1[[#This Row],[الوزن]]-([2]!Table1[[#This Row],[الطول]]-100),"")</f>
        <v/>
      </c>
      <c r="AI170" t="s">
        <v>787</v>
      </c>
    </row>
    <row r="171" spans="1:35" ht="18.75" customHeight="1" x14ac:dyDescent="0.3">
      <c r="A171" s="1">
        <v>2007138308851</v>
      </c>
      <c r="B171" t="s">
        <v>57</v>
      </c>
      <c r="C171" t="s">
        <v>918</v>
      </c>
      <c r="D171" t="s">
        <v>855</v>
      </c>
      <c r="E171" t="s">
        <v>43</v>
      </c>
      <c r="AH171" t="str">
        <f>IF([2]!Table1[[#This Row],[الوزن]]&lt;&gt;"",[2]!Table1[[#This Row],[الوزن]]-([2]!Table1[[#This Row],[الطول]]-100),"")</f>
        <v/>
      </c>
      <c r="AI171" t="s">
        <v>787</v>
      </c>
    </row>
    <row r="172" spans="1:35" ht="18.75" customHeight="1" x14ac:dyDescent="0.3">
      <c r="A172" s="1">
        <v>2008131800828</v>
      </c>
      <c r="B172" t="s">
        <v>57</v>
      </c>
      <c r="C172" t="s">
        <v>919</v>
      </c>
      <c r="D172" t="s">
        <v>855</v>
      </c>
      <c r="E172" t="s">
        <v>43</v>
      </c>
      <c r="AH172" t="str">
        <f>IF([2]!Table1[[#This Row],[الوزن]]&lt;&gt;"",[2]!Table1[[#This Row],[الوزن]]-([2]!Table1[[#This Row],[الطول]]-100),"")</f>
        <v/>
      </c>
      <c r="AI172" t="s">
        <v>787</v>
      </c>
    </row>
    <row r="173" spans="1:35" ht="18.75" customHeight="1" x14ac:dyDescent="0.3">
      <c r="A173" s="1">
        <v>2008131801644</v>
      </c>
      <c r="B173" t="s">
        <v>57</v>
      </c>
      <c r="C173" t="s">
        <v>920</v>
      </c>
      <c r="D173" t="s">
        <v>855</v>
      </c>
      <c r="E173" t="s">
        <v>43</v>
      </c>
      <c r="AH173" t="str">
        <f>IF([2]!Table1[[#This Row],[الوزن]]&lt;&gt;"",[2]!Table1[[#This Row],[الوزن]]-([2]!Table1[[#This Row],[الطول]]-100),"")</f>
        <v/>
      </c>
      <c r="AI173" t="s">
        <v>787</v>
      </c>
    </row>
    <row r="174" spans="1:35" ht="18.75" customHeight="1" x14ac:dyDescent="0.3">
      <c r="A174" s="1">
        <v>2008138300813</v>
      </c>
      <c r="B174" t="s">
        <v>57</v>
      </c>
      <c r="C174" t="s">
        <v>921</v>
      </c>
      <c r="D174" t="s">
        <v>855</v>
      </c>
      <c r="E174" t="s">
        <v>43</v>
      </c>
      <c r="AH174" t="str">
        <f>IF([2]!Table1[[#This Row],[الوزن]]&lt;&gt;"",[2]!Table1[[#This Row],[الوزن]]-([2]!Table1[[#This Row],[الطول]]-100),"")</f>
        <v/>
      </c>
      <c r="AI174" t="s">
        <v>787</v>
      </c>
    </row>
    <row r="175" spans="1:35" ht="18.75" customHeight="1" x14ac:dyDescent="0.3">
      <c r="A175" s="1">
        <v>2009131801105</v>
      </c>
      <c r="B175" t="s">
        <v>57</v>
      </c>
      <c r="C175" t="s">
        <v>922</v>
      </c>
      <c r="D175" t="s">
        <v>855</v>
      </c>
      <c r="E175" t="s">
        <v>43</v>
      </c>
      <c r="AH175" t="str">
        <f>IF([2]!Table1[[#This Row],[الوزن]]&lt;&gt;"",[2]!Table1[[#This Row],[الوزن]]-([2]!Table1[[#This Row],[الطول]]-100),"")</f>
        <v/>
      </c>
      <c r="AI175" t="s">
        <v>787</v>
      </c>
    </row>
    <row r="176" spans="1:35" ht="18.75" customHeight="1" x14ac:dyDescent="0.3">
      <c r="A176" s="1">
        <v>2009131801436</v>
      </c>
      <c r="B176" t="s">
        <v>57</v>
      </c>
      <c r="C176" t="s">
        <v>923</v>
      </c>
      <c r="D176" t="s">
        <v>855</v>
      </c>
      <c r="E176" t="s">
        <v>43</v>
      </c>
      <c r="AH176" t="str">
        <f>IF([2]!Table1[[#This Row],[الوزن]]&lt;&gt;"",[2]!Table1[[#This Row],[الوزن]]-([2]!Table1[[#This Row],[الطول]]-100),"")</f>
        <v/>
      </c>
      <c r="AI176" t="s">
        <v>787</v>
      </c>
    </row>
    <row r="177" spans="1:35" ht="18.75" customHeight="1" x14ac:dyDescent="0.3">
      <c r="A177" s="1">
        <v>2009138302437</v>
      </c>
      <c r="B177" t="s">
        <v>57</v>
      </c>
      <c r="C177" t="s">
        <v>924</v>
      </c>
      <c r="D177" t="s">
        <v>855</v>
      </c>
      <c r="E177" t="s">
        <v>43</v>
      </c>
      <c r="AH177" t="str">
        <f>IF([2]!Table1[[#This Row],[الوزن]]&lt;&gt;"",[2]!Table1[[#This Row],[الوزن]]-([2]!Table1[[#This Row],[الطول]]-100),"")</f>
        <v/>
      </c>
      <c r="AI177" t="s">
        <v>787</v>
      </c>
    </row>
    <row r="178" spans="1:35" ht="18.75" customHeight="1" x14ac:dyDescent="0.3">
      <c r="A178" s="1">
        <v>2009138306512</v>
      </c>
      <c r="B178" t="s">
        <v>57</v>
      </c>
      <c r="C178" t="s">
        <v>925</v>
      </c>
      <c r="D178" t="s">
        <v>855</v>
      </c>
      <c r="E178" t="s">
        <v>43</v>
      </c>
      <c r="AH178" t="str">
        <f>IF([2]!Table1[[#This Row],[الوزن]]&lt;&gt;"",[2]!Table1[[#This Row],[الوزن]]-([2]!Table1[[#This Row],[الطول]]-100),"")</f>
        <v/>
      </c>
      <c r="AI178" t="s">
        <v>787</v>
      </c>
    </row>
    <row r="179" spans="1:35" ht="18.75" customHeight="1" x14ac:dyDescent="0.3">
      <c r="A179" s="1">
        <v>2012134702064</v>
      </c>
      <c r="B179" t="s">
        <v>57</v>
      </c>
      <c r="C179" t="s">
        <v>926</v>
      </c>
      <c r="D179" t="s">
        <v>855</v>
      </c>
      <c r="E179" t="s">
        <v>43</v>
      </c>
      <c r="AH179" t="str">
        <f>IF([2]!Table1[[#This Row],[الوزن]]&lt;&gt;"",[2]!Table1[[#This Row],[الوزن]]-([2]!Table1[[#This Row],[الطول]]-100),"")</f>
        <v/>
      </c>
      <c r="AI179" t="s">
        <v>787</v>
      </c>
    </row>
    <row r="180" spans="1:35" ht="18.75" customHeight="1" x14ac:dyDescent="0.3">
      <c r="A180" s="1">
        <v>2012134705521</v>
      </c>
      <c r="B180" t="s">
        <v>57</v>
      </c>
      <c r="C180" t="s">
        <v>927</v>
      </c>
      <c r="D180" t="s">
        <v>855</v>
      </c>
      <c r="E180" t="s">
        <v>43</v>
      </c>
      <c r="AH180" t="str">
        <f>IF([2]!Table1[[#This Row],[الوزن]]&lt;&gt;"",[2]!Table1[[#This Row],[الوزن]]-([2]!Table1[[#This Row],[الطول]]-100),"")</f>
        <v/>
      </c>
      <c r="AI180" t="s">
        <v>787</v>
      </c>
    </row>
    <row r="181" spans="1:35" ht="18.75" customHeight="1" x14ac:dyDescent="0.3">
      <c r="A181" s="1">
        <v>2019131805015</v>
      </c>
      <c r="B181" t="s">
        <v>125</v>
      </c>
      <c r="C181" t="s">
        <v>928</v>
      </c>
      <c r="D181" t="s">
        <v>855</v>
      </c>
      <c r="E181" t="s">
        <v>43</v>
      </c>
      <c r="AH181" t="str">
        <f>IF([2]!Table1[[#This Row],[الوزن]]&lt;&gt;"",[2]!Table1[[#This Row],[الوزن]]-([2]!Table1[[#This Row],[الطول]]-100),"")</f>
        <v/>
      </c>
      <c r="AI181" t="s">
        <v>787</v>
      </c>
    </row>
    <row r="182" spans="1:35" ht="18.75" customHeight="1" x14ac:dyDescent="0.3">
      <c r="A182" s="1">
        <v>2019131807889</v>
      </c>
      <c r="B182" t="s">
        <v>125</v>
      </c>
      <c r="C182" t="s">
        <v>929</v>
      </c>
      <c r="D182" t="s">
        <v>855</v>
      </c>
      <c r="E182" t="s">
        <v>43</v>
      </c>
      <c r="AH182" t="str">
        <f>IF([2]!Table1[[#This Row],[الوزن]]&lt;&gt;"",[2]!Table1[[#This Row],[الوزن]]-([2]!Table1[[#This Row],[الطول]]-100),"")</f>
        <v/>
      </c>
      <c r="AI182" t="s">
        <v>787</v>
      </c>
    </row>
    <row r="183" spans="1:35" ht="18.75" customHeight="1" x14ac:dyDescent="0.3">
      <c r="A183" s="1">
        <v>2019131808027</v>
      </c>
      <c r="B183" t="s">
        <v>125</v>
      </c>
      <c r="C183" t="s">
        <v>930</v>
      </c>
      <c r="D183" t="s">
        <v>855</v>
      </c>
      <c r="E183" t="s">
        <v>43</v>
      </c>
      <c r="AH183" t="str">
        <f>IF([2]!Table1[[#This Row],[الوزن]]&lt;&gt;"",[2]!Table1[[#This Row],[الوزن]]-([2]!Table1[[#This Row],[الطول]]-100),"")</f>
        <v/>
      </c>
      <c r="AI183" t="s">
        <v>787</v>
      </c>
    </row>
    <row r="184" spans="1:35" ht="18.75" customHeight="1" x14ac:dyDescent="0.3">
      <c r="A184" s="1">
        <v>2019135101360</v>
      </c>
      <c r="B184" t="s">
        <v>125</v>
      </c>
      <c r="C184" t="s">
        <v>931</v>
      </c>
      <c r="D184" t="s">
        <v>855</v>
      </c>
      <c r="E184" t="s">
        <v>43</v>
      </c>
      <c r="AH184" t="str">
        <f>IF([2]!Table1[[#This Row],[الوزن]]&lt;&gt;"",[2]!Table1[[#This Row],[الوزن]]-([2]!Table1[[#This Row],[الطول]]-100),"")</f>
        <v/>
      </c>
      <c r="AI184" t="s">
        <v>787</v>
      </c>
    </row>
    <row r="185" spans="1:35" ht="18.75" customHeight="1" x14ac:dyDescent="0.3">
      <c r="A185" s="1">
        <v>2021131805581</v>
      </c>
      <c r="B185" t="s">
        <v>125</v>
      </c>
      <c r="C185" t="s">
        <v>932</v>
      </c>
      <c r="D185" t="s">
        <v>855</v>
      </c>
      <c r="E185" t="s">
        <v>43</v>
      </c>
      <c r="AH185" t="str">
        <f>IF([2]!Table1[[#This Row],[الوزن]]&lt;&gt;"",[2]!Table1[[#This Row],[الوزن]]-([2]!Table1[[#This Row],[الطول]]-100),"")</f>
        <v/>
      </c>
      <c r="AI185" t="s">
        <v>787</v>
      </c>
    </row>
    <row r="186" spans="1:35" ht="18.75" customHeight="1" x14ac:dyDescent="0.3">
      <c r="A186" s="1">
        <v>2021134702601</v>
      </c>
      <c r="B186" t="s">
        <v>125</v>
      </c>
      <c r="C186" t="s">
        <v>933</v>
      </c>
      <c r="D186" t="s">
        <v>855</v>
      </c>
      <c r="E186" t="s">
        <v>43</v>
      </c>
      <c r="AH186" t="str">
        <f>IF([2]!Table1[[#This Row],[الوزن]]&lt;&gt;"",[2]!Table1[[#This Row],[الوزن]]-([2]!Table1[[#This Row],[الطول]]-100),"")</f>
        <v/>
      </c>
      <c r="AI186" t="s">
        <v>787</v>
      </c>
    </row>
    <row r="187" spans="1:35" ht="18.75" customHeight="1" x14ac:dyDescent="0.3">
      <c r="A187" s="1">
        <v>2021134704813</v>
      </c>
      <c r="B187" t="s">
        <v>125</v>
      </c>
      <c r="C187" t="s">
        <v>934</v>
      </c>
      <c r="D187" t="s">
        <v>855</v>
      </c>
      <c r="E187" t="s">
        <v>43</v>
      </c>
      <c r="AH187" t="str">
        <f>IF([2]!Table1[[#This Row],[الوزن]]&lt;&gt;"",[2]!Table1[[#This Row],[الوزن]]-([2]!Table1[[#This Row],[الطول]]-100),"")</f>
        <v/>
      </c>
      <c r="AI187" t="s">
        <v>787</v>
      </c>
    </row>
    <row r="188" spans="1:35" ht="18.75" customHeight="1" x14ac:dyDescent="0.3">
      <c r="A188" s="1">
        <v>2021134708146</v>
      </c>
      <c r="B188" t="s">
        <v>125</v>
      </c>
      <c r="C188" t="s">
        <v>935</v>
      </c>
      <c r="D188" t="s">
        <v>855</v>
      </c>
      <c r="E188" t="s">
        <v>43</v>
      </c>
      <c r="AH188" t="str">
        <f>IF([2]!Table1[[#This Row],[الوزن]]&lt;&gt;"",[2]!Table1[[#This Row],[الوزن]]-([2]!Table1[[#This Row],[الطول]]-100),"")</f>
        <v/>
      </c>
      <c r="AI188" t="s">
        <v>787</v>
      </c>
    </row>
    <row r="189" spans="1:35" ht="18.75" customHeight="1" x14ac:dyDescent="0.3">
      <c r="A189" s="1">
        <v>2021134714036</v>
      </c>
      <c r="B189" t="s">
        <v>125</v>
      </c>
      <c r="C189" t="s">
        <v>936</v>
      </c>
      <c r="D189" t="s">
        <v>855</v>
      </c>
      <c r="E189" t="s">
        <v>43</v>
      </c>
      <c r="AH189" t="str">
        <f>IF([2]!Table1[[#This Row],[الوزن]]&lt;&gt;"",[2]!Table1[[#This Row],[الوزن]]-([2]!Table1[[#This Row],[الطول]]-100),"")</f>
        <v/>
      </c>
      <c r="AI189" t="s">
        <v>787</v>
      </c>
    </row>
    <row r="190" spans="1:35" ht="18.75" customHeight="1" x14ac:dyDescent="0.3">
      <c r="A190" s="1">
        <v>2007134791191</v>
      </c>
      <c r="B190" t="s">
        <v>40</v>
      </c>
      <c r="C190" t="s">
        <v>937</v>
      </c>
      <c r="D190" t="s">
        <v>855</v>
      </c>
      <c r="E190" t="s">
        <v>43</v>
      </c>
      <c r="AH190" t="str">
        <f>IF([2]!Table1[[#This Row],[الوزن]]&lt;&gt;"",[2]!Table1[[#This Row],[الوزن]]-([2]!Table1[[#This Row],[الطول]]-100),"")</f>
        <v/>
      </c>
      <c r="AI190" t="s">
        <v>787</v>
      </c>
    </row>
    <row r="191" spans="1:35" ht="18.75" customHeight="1" x14ac:dyDescent="0.3">
      <c r="A191" s="1">
        <v>2009131801551</v>
      </c>
      <c r="B191" t="s">
        <v>75</v>
      </c>
      <c r="C191" t="s">
        <v>938</v>
      </c>
      <c r="D191" t="s">
        <v>855</v>
      </c>
      <c r="E191" t="s">
        <v>43</v>
      </c>
      <c r="AH191" t="str">
        <f>IF([2]!Table1[[#This Row],[الوزن]]&lt;&gt;"",[2]!Table1[[#This Row],[الوزن]]-([2]!Table1[[#This Row],[الطول]]-100),"")</f>
        <v/>
      </c>
      <c r="AI191" t="s">
        <v>787</v>
      </c>
    </row>
    <row r="192" spans="1:35" ht="18.75" customHeight="1" x14ac:dyDescent="0.3">
      <c r="A192" s="1">
        <v>2010131801780</v>
      </c>
      <c r="B192" t="s">
        <v>75</v>
      </c>
      <c r="C192" t="s">
        <v>939</v>
      </c>
      <c r="D192" t="s">
        <v>855</v>
      </c>
      <c r="E192" t="s">
        <v>43</v>
      </c>
      <c r="AH192" t="str">
        <f>IF([2]!Table1[[#This Row],[الوزن]]&lt;&gt;"",[2]!Table1[[#This Row],[الوزن]]-([2]!Table1[[#This Row],[الطول]]-100),"")</f>
        <v/>
      </c>
      <c r="AI192" t="s">
        <v>787</v>
      </c>
    </row>
    <row r="193" spans="1:40" ht="18.75" customHeight="1" x14ac:dyDescent="0.3">
      <c r="A193" s="1">
        <v>2010135101730</v>
      </c>
      <c r="B193" t="s">
        <v>75</v>
      </c>
      <c r="C193" t="s">
        <v>940</v>
      </c>
      <c r="D193" t="s">
        <v>855</v>
      </c>
      <c r="E193" t="s">
        <v>43</v>
      </c>
      <c r="AH193" t="str">
        <f>IF([2]!Table1[[#This Row],[الوزن]]&lt;&gt;"",[2]!Table1[[#This Row],[الوزن]]-([2]!Table1[[#This Row],[الطول]]-100),"")</f>
        <v/>
      </c>
      <c r="AI193" t="s">
        <v>787</v>
      </c>
    </row>
    <row r="194" spans="1:40" ht="18.75" customHeight="1" x14ac:dyDescent="0.3">
      <c r="A194" s="1">
        <v>2010138303482</v>
      </c>
      <c r="B194" t="s">
        <v>75</v>
      </c>
      <c r="C194" t="s">
        <v>941</v>
      </c>
      <c r="D194" t="s">
        <v>855</v>
      </c>
      <c r="E194" t="s">
        <v>43</v>
      </c>
      <c r="AH194" t="str">
        <f>IF([2]!Table1[[#This Row],[الوزن]]&lt;&gt;"",[2]!Table1[[#This Row],[الوزن]]-([2]!Table1[[#This Row],[الطول]]-100),"")</f>
        <v/>
      </c>
      <c r="AI194" t="s">
        <v>787</v>
      </c>
    </row>
    <row r="195" spans="1:40" ht="18.75" customHeight="1" x14ac:dyDescent="0.3">
      <c r="A195" s="1">
        <v>2011130400325</v>
      </c>
      <c r="B195" t="s">
        <v>75</v>
      </c>
      <c r="C195" t="s">
        <v>942</v>
      </c>
      <c r="D195" t="s">
        <v>855</v>
      </c>
      <c r="E195" t="s">
        <v>43</v>
      </c>
      <c r="AH195" t="str">
        <f>IF([2]!Table1[[#This Row],[الوزن]]&lt;&gt;"",[2]!Table1[[#This Row],[الوزن]]-([2]!Table1[[#This Row],[الطول]]-100),"")</f>
        <v/>
      </c>
      <c r="AI195" t="s">
        <v>787</v>
      </c>
    </row>
    <row r="196" spans="1:40" ht="18.75" customHeight="1" x14ac:dyDescent="0.3">
      <c r="A196" s="1">
        <v>2011130402404</v>
      </c>
      <c r="B196" t="s">
        <v>75</v>
      </c>
      <c r="C196" t="s">
        <v>943</v>
      </c>
      <c r="D196" t="s">
        <v>855</v>
      </c>
      <c r="E196" t="s">
        <v>43</v>
      </c>
      <c r="AH196" t="str">
        <f>IF([2]!Table1[[#This Row],[الوزن]]&lt;&gt;"",[2]!Table1[[#This Row],[الوزن]]-([2]!Table1[[#This Row],[الطول]]-100),"")</f>
        <v/>
      </c>
      <c r="AI196" t="s">
        <v>787</v>
      </c>
    </row>
    <row r="197" spans="1:40" ht="18.75" customHeight="1" x14ac:dyDescent="0.3">
      <c r="A197" s="1">
        <v>2011131800863</v>
      </c>
      <c r="B197" t="s">
        <v>75</v>
      </c>
      <c r="C197" t="s">
        <v>944</v>
      </c>
      <c r="D197" t="s">
        <v>855</v>
      </c>
      <c r="E197" t="s">
        <v>43</v>
      </c>
      <c r="AH197" t="str">
        <f>IF([2]!Table1[[#This Row],[الوزن]]&lt;&gt;"",[2]!Table1[[#This Row],[الوزن]]-([2]!Table1[[#This Row],[الطول]]-100),"")</f>
        <v/>
      </c>
      <c r="AI197" t="s">
        <v>787</v>
      </c>
    </row>
    <row r="198" spans="1:40" ht="18.75" customHeight="1" x14ac:dyDescent="0.3">
      <c r="A198" s="1">
        <v>2012131800150</v>
      </c>
      <c r="B198" t="s">
        <v>75</v>
      </c>
      <c r="C198" t="s">
        <v>945</v>
      </c>
      <c r="D198" t="s">
        <v>855</v>
      </c>
      <c r="E198" t="s">
        <v>43</v>
      </c>
      <c r="AH198" t="str">
        <f>IF([2]!Table1[[#This Row],[الوزن]]&lt;&gt;"",[2]!Table1[[#This Row],[الوزن]]-([2]!Table1[[#This Row],[الطول]]-100),"")</f>
        <v/>
      </c>
      <c r="AI198" t="s">
        <v>787</v>
      </c>
    </row>
    <row r="199" spans="1:40" ht="18.75" customHeight="1" x14ac:dyDescent="0.3">
      <c r="A199" s="1">
        <v>2012131801190</v>
      </c>
      <c r="B199" t="s">
        <v>75</v>
      </c>
      <c r="C199" t="s">
        <v>946</v>
      </c>
      <c r="D199" t="s">
        <v>855</v>
      </c>
      <c r="E199" t="s">
        <v>43</v>
      </c>
      <c r="AH199" t="str">
        <f>IF([2]!Table1[[#This Row],[الوزن]]&lt;&gt;"",[2]!Table1[[#This Row],[الوزن]]-([2]!Table1[[#This Row],[الطول]]-100),"")</f>
        <v/>
      </c>
      <c r="AI199" t="s">
        <v>787</v>
      </c>
    </row>
    <row r="200" spans="1:40" ht="18.75" customHeight="1" x14ac:dyDescent="0.3">
      <c r="A200" s="1">
        <v>2012131802122</v>
      </c>
      <c r="B200" t="s">
        <v>75</v>
      </c>
      <c r="C200" t="s">
        <v>947</v>
      </c>
      <c r="D200" t="s">
        <v>855</v>
      </c>
      <c r="E200" t="s">
        <v>43</v>
      </c>
      <c r="AH200" t="str">
        <f>IF([2]!Table1[[#This Row],[الوزن]]&lt;&gt;"",[2]!Table1[[#This Row],[الوزن]]-([2]!Table1[[#This Row],[الطول]]-100),"")</f>
        <v/>
      </c>
      <c r="AI200" t="s">
        <v>787</v>
      </c>
    </row>
    <row r="201" spans="1:40" ht="18.75" customHeight="1" x14ac:dyDescent="0.3">
      <c r="A201" s="1">
        <v>2012131802445</v>
      </c>
      <c r="B201" t="s">
        <v>75</v>
      </c>
      <c r="C201" t="s">
        <v>948</v>
      </c>
      <c r="D201" t="s">
        <v>855</v>
      </c>
      <c r="E201" t="s">
        <v>43</v>
      </c>
      <c r="AH201" t="str">
        <f>IF([2]!Table1[[#This Row],[الوزن]]&lt;&gt;"",[2]!Table1[[#This Row],[الوزن]]-([2]!Table1[[#This Row],[الطول]]-100),"")</f>
        <v/>
      </c>
      <c r="AI201" t="s">
        <v>787</v>
      </c>
    </row>
    <row r="202" spans="1:40" ht="18.75" customHeight="1" x14ac:dyDescent="0.3">
      <c r="A202" s="1">
        <v>2012131803659</v>
      </c>
      <c r="B202" t="s">
        <v>75</v>
      </c>
      <c r="C202" t="s">
        <v>949</v>
      </c>
      <c r="D202" t="s">
        <v>855</v>
      </c>
      <c r="E202" t="s">
        <v>43</v>
      </c>
      <c r="AH202" t="str">
        <f>IF([2]!Table1[[#This Row],[الوزن]]&lt;&gt;"",[2]!Table1[[#This Row],[الوزن]]-([2]!Table1[[#This Row],[الطول]]-100),"")</f>
        <v/>
      </c>
      <c r="AI202" t="s">
        <v>787</v>
      </c>
    </row>
    <row r="203" spans="1:40" ht="18.75" customHeight="1" x14ac:dyDescent="0.3">
      <c r="A203" s="1">
        <v>2012135201891</v>
      </c>
      <c r="B203" t="s">
        <v>75</v>
      </c>
      <c r="C203" t="s">
        <v>950</v>
      </c>
      <c r="D203" t="s">
        <v>855</v>
      </c>
      <c r="E203" t="s">
        <v>43</v>
      </c>
      <c r="AH203" t="str">
        <f>IF([2]!Table1[[#This Row],[الوزن]]&lt;&gt;"",[2]!Table1[[#This Row],[الوزن]]-([2]!Table1[[#This Row],[الطول]]-100),"")</f>
        <v/>
      </c>
      <c r="AI203" t="s">
        <v>787</v>
      </c>
    </row>
    <row r="204" spans="1:40" ht="18.75" customHeight="1" x14ac:dyDescent="0.3">
      <c r="A204" s="1">
        <v>2013130400248</v>
      </c>
      <c r="B204" t="s">
        <v>75</v>
      </c>
      <c r="C204" t="s">
        <v>951</v>
      </c>
      <c r="D204" t="s">
        <v>855</v>
      </c>
      <c r="E204" t="s">
        <v>43</v>
      </c>
      <c r="AH204">
        <f>IF([2]!Table1[[#This Row],[الوزن]]&lt;&gt;"",[2]!Table1[[#This Row],[الوزن]]-([2]!Table1[[#This Row],[الطول]]-100),"")</f>
        <v>172</v>
      </c>
      <c r="AI204" t="s">
        <v>787</v>
      </c>
    </row>
    <row r="205" spans="1:40" ht="18.75" customHeight="1" x14ac:dyDescent="0.3">
      <c r="A205" s="1">
        <v>2012138316887</v>
      </c>
      <c r="B205" t="s">
        <v>75</v>
      </c>
      <c r="C205" t="s">
        <v>952</v>
      </c>
      <c r="D205" t="s">
        <v>855</v>
      </c>
      <c r="E205" t="s">
        <v>43</v>
      </c>
      <c r="G205">
        <v>41111</v>
      </c>
      <c r="H205">
        <v>41583</v>
      </c>
      <c r="I205">
        <v>45292</v>
      </c>
      <c r="L205" t="s">
        <v>45</v>
      </c>
      <c r="M205" t="s">
        <v>812</v>
      </c>
      <c r="N205" t="s">
        <v>127</v>
      </c>
      <c r="O205" t="s">
        <v>953</v>
      </c>
      <c r="Q205" t="s">
        <v>49</v>
      </c>
      <c r="U205" t="s">
        <v>954</v>
      </c>
      <c r="X205">
        <v>34547</v>
      </c>
      <c r="Y205" t="s">
        <v>51</v>
      </c>
      <c r="AF205">
        <v>72</v>
      </c>
      <c r="AH205" t="str">
        <f>IF([2]!Table1[[#This Row],[الوزن]]&lt;&gt;"",[2]!Table1[[#This Row],[الوزن]]-([2]!Table1[[#This Row],[الطول]]-100),"")</f>
        <v/>
      </c>
      <c r="AI205">
        <v>3</v>
      </c>
      <c r="AJ205" t="s">
        <v>955</v>
      </c>
      <c r="AN205" t="s">
        <v>145</v>
      </c>
    </row>
    <row r="206" spans="1:40" ht="18.75" customHeight="1" x14ac:dyDescent="0.3">
      <c r="A206" s="1">
        <v>2013131800968</v>
      </c>
      <c r="B206" t="s">
        <v>75</v>
      </c>
      <c r="C206" t="s">
        <v>956</v>
      </c>
      <c r="D206" t="s">
        <v>855</v>
      </c>
      <c r="E206" t="s">
        <v>43</v>
      </c>
      <c r="AH206" t="str">
        <f>IF([2]!Table1[[#This Row],[الوزن]]&lt;&gt;"",[2]!Table1[[#This Row],[الوزن]]-([2]!Table1[[#This Row],[الطول]]-100),"")</f>
        <v/>
      </c>
      <c r="AI206" t="s">
        <v>787</v>
      </c>
    </row>
    <row r="207" spans="1:40" ht="18.75" customHeight="1" x14ac:dyDescent="0.3">
      <c r="A207" s="1">
        <v>2013131801453</v>
      </c>
      <c r="B207" t="s">
        <v>75</v>
      </c>
      <c r="C207" t="s">
        <v>957</v>
      </c>
      <c r="D207" t="s">
        <v>855</v>
      </c>
      <c r="E207" t="s">
        <v>43</v>
      </c>
      <c r="AH207" t="str">
        <f>IF([2]!Table1[[#This Row],[الوزن]]&lt;&gt;"",[2]!Table1[[#This Row],[الوزن]]-([2]!Table1[[#This Row],[الطول]]-100),"")</f>
        <v/>
      </c>
      <c r="AI207" t="s">
        <v>787</v>
      </c>
    </row>
    <row r="208" spans="1:40" ht="18.75" customHeight="1" x14ac:dyDescent="0.3">
      <c r="A208" s="1">
        <v>2013131801669</v>
      </c>
      <c r="B208" t="s">
        <v>75</v>
      </c>
      <c r="C208" t="s">
        <v>958</v>
      </c>
      <c r="D208" t="s">
        <v>855</v>
      </c>
      <c r="E208" t="s">
        <v>43</v>
      </c>
      <c r="AH208" t="str">
        <f>IF([2]!Table1[[#This Row],[الوزن]]&lt;&gt;"",[2]!Table1[[#This Row],[الوزن]]-([2]!Table1[[#This Row],[الطول]]-100),"")</f>
        <v/>
      </c>
      <c r="AI208" t="s">
        <v>787</v>
      </c>
    </row>
    <row r="209" spans="1:40" ht="18.75" customHeight="1" x14ac:dyDescent="0.3">
      <c r="A209" s="1">
        <v>2013131802500</v>
      </c>
      <c r="B209" t="s">
        <v>75</v>
      </c>
      <c r="C209" t="s">
        <v>959</v>
      </c>
      <c r="D209" t="s">
        <v>855</v>
      </c>
      <c r="E209" t="s">
        <v>43</v>
      </c>
      <c r="AH209" t="str">
        <f>IF([2]!Table1[[#This Row],[الوزن]]&lt;&gt;"",[2]!Table1[[#This Row],[الوزن]]-([2]!Table1[[#This Row],[الطول]]-100),"")</f>
        <v/>
      </c>
      <c r="AI209" t="s">
        <v>787</v>
      </c>
    </row>
    <row r="210" spans="1:40" ht="18.75" customHeight="1" x14ac:dyDescent="0.3">
      <c r="A210" s="1">
        <v>2013131804853</v>
      </c>
      <c r="B210" t="s">
        <v>75</v>
      </c>
      <c r="C210" t="s">
        <v>960</v>
      </c>
      <c r="D210" t="s">
        <v>855</v>
      </c>
      <c r="E210" t="s">
        <v>43</v>
      </c>
      <c r="AH210" t="str">
        <f>IF([2]!Table1[[#This Row],[الوزن]]&lt;&gt;"",[2]!Table1[[#This Row],[الوزن]]-([2]!Table1[[#This Row],[الطول]]-100),"")</f>
        <v/>
      </c>
      <c r="AI210" t="s">
        <v>787</v>
      </c>
    </row>
    <row r="211" spans="1:40" ht="18.75" customHeight="1" x14ac:dyDescent="0.3">
      <c r="A211" s="1">
        <v>2013131805463</v>
      </c>
      <c r="B211" t="s">
        <v>75</v>
      </c>
      <c r="C211" t="s">
        <v>961</v>
      </c>
      <c r="D211" t="s">
        <v>855</v>
      </c>
      <c r="E211" t="s">
        <v>43</v>
      </c>
      <c r="AH211" t="str">
        <f>IF([2]!Table1[[#This Row],[الوزن]]&lt;&gt;"",[2]!Table1[[#This Row],[الوزن]]-([2]!Table1[[#This Row],[الطول]]-100),"")</f>
        <v/>
      </c>
      <c r="AI211" t="s">
        <v>787</v>
      </c>
    </row>
    <row r="212" spans="1:40" ht="18.75" customHeight="1" x14ac:dyDescent="0.3">
      <c r="A212" s="1">
        <v>2013138304088</v>
      </c>
      <c r="B212" t="s">
        <v>75</v>
      </c>
      <c r="C212" t="s">
        <v>962</v>
      </c>
      <c r="D212" t="s">
        <v>855</v>
      </c>
      <c r="E212" t="s">
        <v>43</v>
      </c>
      <c r="AH212" t="str">
        <f>IF([2]!Table1[[#This Row],[الوزن]]&lt;&gt;"",[2]!Table1[[#This Row],[الوزن]]-([2]!Table1[[#This Row],[الطول]]-100),"")</f>
        <v/>
      </c>
      <c r="AI212" t="s">
        <v>787</v>
      </c>
    </row>
    <row r="213" spans="1:40" ht="18.75" customHeight="1" x14ac:dyDescent="0.3">
      <c r="A213" s="1">
        <v>2014131800198</v>
      </c>
      <c r="B213" t="s">
        <v>75</v>
      </c>
      <c r="C213" t="s">
        <v>963</v>
      </c>
      <c r="D213" t="s">
        <v>855</v>
      </c>
      <c r="E213" t="s">
        <v>43</v>
      </c>
      <c r="AH213" t="str">
        <f>IF([2]!Table1[[#This Row],[الوزن]]&lt;&gt;"",[2]!Table1[[#This Row],[الوزن]]-([2]!Table1[[#This Row],[الطول]]-100),"")</f>
        <v/>
      </c>
      <c r="AI213" t="s">
        <v>787</v>
      </c>
    </row>
    <row r="214" spans="1:40" ht="18.75" customHeight="1" x14ac:dyDescent="0.3">
      <c r="A214" s="1">
        <v>2014131803697</v>
      </c>
      <c r="B214" t="s">
        <v>75</v>
      </c>
      <c r="C214" t="s">
        <v>964</v>
      </c>
      <c r="D214" t="s">
        <v>855</v>
      </c>
      <c r="E214" t="s">
        <v>43</v>
      </c>
      <c r="AH214" t="str">
        <f>IF([2]!Table1[[#This Row],[الوزن]]&lt;&gt;"",[2]!Table1[[#This Row],[الوزن]]-([2]!Table1[[#This Row],[الطول]]-100),"")</f>
        <v/>
      </c>
      <c r="AI214" t="s">
        <v>787</v>
      </c>
    </row>
    <row r="215" spans="1:40" ht="18.75" customHeight="1" x14ac:dyDescent="0.3">
      <c r="A215" s="1">
        <v>2014131804835</v>
      </c>
      <c r="B215" t="s">
        <v>75</v>
      </c>
      <c r="C215" t="s">
        <v>965</v>
      </c>
      <c r="D215" t="s">
        <v>855</v>
      </c>
      <c r="E215" t="s">
        <v>43</v>
      </c>
      <c r="AH215" t="str">
        <f>IF([2]!Table1[[#This Row],[الوزن]]&lt;&gt;"",[2]!Table1[[#This Row],[الوزن]]-([2]!Table1[[#This Row],[الطول]]-100),"")</f>
        <v/>
      </c>
      <c r="AI215" t="s">
        <v>787</v>
      </c>
    </row>
    <row r="216" spans="1:40" ht="18.75" customHeight="1" x14ac:dyDescent="0.3">
      <c r="A216" s="1">
        <v>2014131805601</v>
      </c>
      <c r="B216" t="s">
        <v>75</v>
      </c>
      <c r="C216" t="s">
        <v>966</v>
      </c>
      <c r="D216" t="s">
        <v>855</v>
      </c>
      <c r="E216" t="s">
        <v>43</v>
      </c>
      <c r="AH216" t="str">
        <f>IF([2]!Table1[[#This Row],[الوزن]]&lt;&gt;"",[2]!Table1[[#This Row],[الوزن]]-([2]!Table1[[#This Row],[الطول]]-100),"")</f>
        <v/>
      </c>
      <c r="AI216" t="s">
        <v>787</v>
      </c>
    </row>
    <row r="217" spans="1:40" ht="18.75" customHeight="1" x14ac:dyDescent="0.3">
      <c r="A217" s="1">
        <v>2014131806310</v>
      </c>
      <c r="B217" t="s">
        <v>75</v>
      </c>
      <c r="C217" t="s">
        <v>967</v>
      </c>
      <c r="D217" t="s">
        <v>855</v>
      </c>
      <c r="E217" t="s">
        <v>43</v>
      </c>
      <c r="AH217" t="str">
        <f>IF([2]!Table1[[#This Row],[الوزن]]&lt;&gt;"",[2]!Table1[[#This Row],[الوزن]]-([2]!Table1[[#This Row],[الطول]]-100),"")</f>
        <v/>
      </c>
      <c r="AI217" t="s">
        <v>787</v>
      </c>
    </row>
    <row r="218" spans="1:40" ht="18.75" customHeight="1" x14ac:dyDescent="0.3">
      <c r="A218" s="1">
        <v>2015134705856</v>
      </c>
      <c r="B218" t="s">
        <v>75</v>
      </c>
      <c r="C218" t="s">
        <v>968</v>
      </c>
      <c r="D218" t="s">
        <v>855</v>
      </c>
      <c r="E218" t="s">
        <v>43</v>
      </c>
      <c r="Q218" t="s">
        <v>49</v>
      </c>
      <c r="AH218">
        <f>IF([2]!Table1[[#This Row],[الوزن]]&lt;&gt;"",[2]!Table1[[#This Row],[الوزن]]-([2]!Table1[[#This Row],[الطول]]-100),"")</f>
        <v>157</v>
      </c>
      <c r="AI218" t="s">
        <v>787</v>
      </c>
    </row>
    <row r="219" spans="1:40" ht="18.75" customHeight="1" x14ac:dyDescent="0.3">
      <c r="A219" s="1">
        <v>2014138323416</v>
      </c>
      <c r="B219" t="s">
        <v>75</v>
      </c>
      <c r="C219" t="s">
        <v>969</v>
      </c>
      <c r="D219" t="s">
        <v>855</v>
      </c>
      <c r="E219" t="s">
        <v>43</v>
      </c>
      <c r="F219">
        <v>152</v>
      </c>
      <c r="G219">
        <v>41853</v>
      </c>
      <c r="H219">
        <v>42326</v>
      </c>
      <c r="I219">
        <v>46023</v>
      </c>
      <c r="L219" t="s">
        <v>45</v>
      </c>
      <c r="M219" t="s">
        <v>812</v>
      </c>
      <c r="N219" t="s">
        <v>127</v>
      </c>
      <c r="O219" t="s">
        <v>953</v>
      </c>
      <c r="Q219" t="s">
        <v>49</v>
      </c>
      <c r="R219">
        <v>5</v>
      </c>
      <c r="U219" t="s">
        <v>970</v>
      </c>
      <c r="V219" t="s">
        <v>971</v>
      </c>
      <c r="X219">
        <v>35127</v>
      </c>
      <c r="Y219" t="s">
        <v>338</v>
      </c>
      <c r="Z219">
        <v>1</v>
      </c>
      <c r="AA219">
        <v>0</v>
      </c>
      <c r="AB219">
        <v>1</v>
      </c>
      <c r="AE219" t="s">
        <v>972</v>
      </c>
      <c r="AF219">
        <v>57</v>
      </c>
      <c r="AH219" t="str">
        <f>IF([2]!Table1[[#This Row],[الوزن]]&lt;&gt;"",[2]!Table1[[#This Row],[الوزن]]-([2]!Table1[[#This Row],[الطول]]-100),"")</f>
        <v/>
      </c>
      <c r="AI219">
        <v>-13</v>
      </c>
      <c r="AJ219" t="s">
        <v>955</v>
      </c>
      <c r="AN219" t="s">
        <v>145</v>
      </c>
    </row>
    <row r="220" spans="1:40" ht="18.75" customHeight="1" x14ac:dyDescent="0.3">
      <c r="A220" s="1">
        <v>2017134700597</v>
      </c>
      <c r="B220" t="s">
        <v>75</v>
      </c>
      <c r="C220" t="s">
        <v>973</v>
      </c>
      <c r="D220" t="s">
        <v>855</v>
      </c>
      <c r="E220" t="s">
        <v>43</v>
      </c>
      <c r="AH220" t="str">
        <f>IF([2]!Table1[[#This Row],[الوزن]]&lt;&gt;"",[2]!Table1[[#This Row],[الوزن]]-([2]!Table1[[#This Row],[الطول]]-100),"")</f>
        <v/>
      </c>
      <c r="AI220" t="s">
        <v>787</v>
      </c>
    </row>
    <row r="221" spans="1:40" ht="18.75" customHeight="1" x14ac:dyDescent="0.3">
      <c r="A221" s="1">
        <v>2017134704169</v>
      </c>
      <c r="B221" t="s">
        <v>75</v>
      </c>
      <c r="C221" t="s">
        <v>974</v>
      </c>
      <c r="D221" t="s">
        <v>855</v>
      </c>
      <c r="E221" t="s">
        <v>43</v>
      </c>
      <c r="AH221" t="str">
        <f>IF([2]!Table1[[#This Row],[الوزن]]&lt;&gt;"",[2]!Table1[[#This Row],[الوزن]]-([2]!Table1[[#This Row],[الطول]]-100),"")</f>
        <v/>
      </c>
      <c r="AI221" t="s">
        <v>787</v>
      </c>
    </row>
    <row r="222" spans="1:40" ht="18.75" customHeight="1" x14ac:dyDescent="0.3">
      <c r="A222" s="1">
        <v>2018134700206</v>
      </c>
      <c r="B222" t="s">
        <v>75</v>
      </c>
      <c r="C222" t="s">
        <v>975</v>
      </c>
      <c r="D222" t="s">
        <v>855</v>
      </c>
      <c r="E222" t="s">
        <v>43</v>
      </c>
      <c r="AH222" t="str">
        <f>IF([2]!Table1[[#This Row],[الوزن]]&lt;&gt;"",[2]!Table1[[#This Row],[الوزن]]-([2]!Table1[[#This Row],[الطول]]-100),"")</f>
        <v/>
      </c>
      <c r="AI222" t="s">
        <v>787</v>
      </c>
    </row>
    <row r="223" spans="1:40" ht="18.75" customHeight="1" x14ac:dyDescent="0.3">
      <c r="A223" s="1">
        <v>2015131801136</v>
      </c>
      <c r="B223" t="s">
        <v>106</v>
      </c>
      <c r="C223" t="s">
        <v>976</v>
      </c>
      <c r="D223" t="s">
        <v>855</v>
      </c>
      <c r="E223" t="s">
        <v>43</v>
      </c>
      <c r="AH223" t="str">
        <f>IF([2]!Table1[[#This Row],[الوزن]]&lt;&gt;"",[2]!Table1[[#This Row],[الوزن]]-([2]!Table1[[#This Row],[الطول]]-100),"")</f>
        <v/>
      </c>
      <c r="AI223" t="s">
        <v>787</v>
      </c>
    </row>
    <row r="224" spans="1:40" ht="18.75" customHeight="1" x14ac:dyDescent="0.3">
      <c r="A224" s="1">
        <v>2015131804180</v>
      </c>
      <c r="B224" t="s">
        <v>106</v>
      </c>
      <c r="C224" t="s">
        <v>977</v>
      </c>
      <c r="D224" t="s">
        <v>855</v>
      </c>
      <c r="E224" t="s">
        <v>43</v>
      </c>
      <c r="AH224" t="str">
        <f>IF([2]!Table1[[#This Row],[الوزن]]&lt;&gt;"",[2]!Table1[[#This Row],[الوزن]]-([2]!Table1[[#This Row],[الطول]]-100),"")</f>
        <v/>
      </c>
      <c r="AI224" t="s">
        <v>787</v>
      </c>
    </row>
    <row r="225" spans="1:36" ht="18.75" customHeight="1" x14ac:dyDescent="0.3">
      <c r="A225" s="1">
        <v>2015131804304</v>
      </c>
      <c r="B225" t="s">
        <v>106</v>
      </c>
      <c r="C225" t="s">
        <v>978</v>
      </c>
      <c r="D225" t="s">
        <v>855</v>
      </c>
      <c r="E225" t="s">
        <v>43</v>
      </c>
      <c r="AH225" t="str">
        <f>IF([2]!Table1[[#This Row],[الوزن]]&lt;&gt;"",[2]!Table1[[#This Row],[الوزن]]-([2]!Table1[[#This Row],[الطول]]-100),"")</f>
        <v/>
      </c>
      <c r="AI225" t="s">
        <v>787</v>
      </c>
    </row>
    <row r="226" spans="1:36" ht="18.75" customHeight="1" x14ac:dyDescent="0.3">
      <c r="A226" s="1">
        <v>2015131805906</v>
      </c>
      <c r="B226" t="s">
        <v>106</v>
      </c>
      <c r="C226" t="s">
        <v>979</v>
      </c>
      <c r="D226" t="s">
        <v>855</v>
      </c>
      <c r="E226" t="s">
        <v>43</v>
      </c>
      <c r="AH226" t="str">
        <f>IF([2]!Table1[[#This Row],[الوزن]]&lt;&gt;"",[2]!Table1[[#This Row],[الوزن]]-([2]!Table1[[#This Row],[الطول]]-100),"")</f>
        <v/>
      </c>
      <c r="AI226" t="s">
        <v>787</v>
      </c>
    </row>
    <row r="227" spans="1:36" ht="18.75" customHeight="1" x14ac:dyDescent="0.3">
      <c r="A227" s="1">
        <v>2015131806962</v>
      </c>
      <c r="B227" t="s">
        <v>106</v>
      </c>
      <c r="C227" t="s">
        <v>980</v>
      </c>
      <c r="D227" t="s">
        <v>855</v>
      </c>
      <c r="E227" t="s">
        <v>43</v>
      </c>
      <c r="AH227" t="str">
        <f>IF([2]!Table1[[#This Row],[الوزن]]&lt;&gt;"",[2]!Table1[[#This Row],[الوزن]]-([2]!Table1[[#This Row],[الطول]]-100),"")</f>
        <v/>
      </c>
      <c r="AI227" t="s">
        <v>787</v>
      </c>
    </row>
    <row r="228" spans="1:36" ht="18.75" customHeight="1" x14ac:dyDescent="0.3">
      <c r="A228" s="1">
        <v>2015131810905</v>
      </c>
      <c r="B228" t="s">
        <v>106</v>
      </c>
      <c r="C228" t="s">
        <v>981</v>
      </c>
      <c r="D228" t="s">
        <v>855</v>
      </c>
      <c r="E228" t="s">
        <v>43</v>
      </c>
      <c r="AH228" t="str">
        <f>IF([2]!Table1[[#This Row],[الوزن]]&lt;&gt;"",[2]!Table1[[#This Row],[الوزن]]-([2]!Table1[[#This Row],[الطول]]-100),"")</f>
        <v/>
      </c>
      <c r="AI228" t="s">
        <v>787</v>
      </c>
    </row>
    <row r="229" spans="1:36" ht="18.75" customHeight="1" x14ac:dyDescent="0.3">
      <c r="A229" s="1">
        <v>2015135201556</v>
      </c>
      <c r="B229" t="s">
        <v>106</v>
      </c>
      <c r="C229" t="s">
        <v>982</v>
      </c>
      <c r="D229" t="s">
        <v>855</v>
      </c>
      <c r="E229" t="s">
        <v>43</v>
      </c>
      <c r="AH229" t="str">
        <f>IF([2]!Table1[[#This Row],[الوزن]]&lt;&gt;"",[2]!Table1[[#This Row],[الوزن]]-([2]!Table1[[#This Row],[الطول]]-100),"")</f>
        <v/>
      </c>
      <c r="AI229" t="s">
        <v>787</v>
      </c>
    </row>
    <row r="230" spans="1:36" ht="18.75" customHeight="1" x14ac:dyDescent="0.3">
      <c r="A230" s="1">
        <v>2015135201663</v>
      </c>
      <c r="B230" t="s">
        <v>106</v>
      </c>
      <c r="C230" t="s">
        <v>983</v>
      </c>
      <c r="D230" t="s">
        <v>855</v>
      </c>
      <c r="E230" t="s">
        <v>43</v>
      </c>
      <c r="AH230" t="str">
        <f>IF([2]!Table1[[#This Row],[الوزن]]&lt;&gt;"",[2]!Table1[[#This Row],[الوزن]]-([2]!Table1[[#This Row],[الطول]]-100),"")</f>
        <v/>
      </c>
      <c r="AI230" t="s">
        <v>787</v>
      </c>
    </row>
    <row r="231" spans="1:36" ht="18.75" customHeight="1" x14ac:dyDescent="0.3">
      <c r="A231" s="1">
        <v>2015138327317</v>
      </c>
      <c r="B231" t="s">
        <v>106</v>
      </c>
      <c r="C231" t="s">
        <v>984</v>
      </c>
      <c r="D231" t="s">
        <v>855</v>
      </c>
      <c r="E231" t="s">
        <v>43</v>
      </c>
      <c r="AH231" t="str">
        <f>IF([2]!Table1[[#This Row],[الوزن]]&lt;&gt;"",[2]!Table1[[#This Row],[الوزن]]-([2]!Table1[[#This Row],[الطول]]-100),"")</f>
        <v/>
      </c>
      <c r="AI231" t="s">
        <v>787</v>
      </c>
    </row>
    <row r="232" spans="1:36" ht="18.75" customHeight="1" x14ac:dyDescent="0.3">
      <c r="A232" s="1">
        <v>2016131800160</v>
      </c>
      <c r="B232" t="s">
        <v>106</v>
      </c>
      <c r="C232" t="s">
        <v>985</v>
      </c>
      <c r="D232" t="s">
        <v>855</v>
      </c>
      <c r="E232" t="s">
        <v>43</v>
      </c>
      <c r="AH232" t="str">
        <f>IF([2]!Table1[[#This Row],[الوزن]]&lt;&gt;"",[2]!Table1[[#This Row],[الوزن]]-([2]!Table1[[#This Row],[الطول]]-100),"")</f>
        <v/>
      </c>
      <c r="AI232" t="s">
        <v>787</v>
      </c>
    </row>
    <row r="233" spans="1:36" ht="18.75" customHeight="1" x14ac:dyDescent="0.3">
      <c r="A233" s="1">
        <v>2016131801126</v>
      </c>
      <c r="B233" t="s">
        <v>106</v>
      </c>
      <c r="C233" t="s">
        <v>986</v>
      </c>
      <c r="D233" t="s">
        <v>855</v>
      </c>
      <c r="E233" t="s">
        <v>43</v>
      </c>
      <c r="AH233" t="str">
        <f>IF([2]!Table1[[#This Row],[الوزن]]&lt;&gt;"",[2]!Table1[[#This Row],[الوزن]]-([2]!Table1[[#This Row],[الطول]]-100),"")</f>
        <v/>
      </c>
      <c r="AI233" t="s">
        <v>787</v>
      </c>
    </row>
    <row r="234" spans="1:36" ht="18.75" customHeight="1" x14ac:dyDescent="0.3">
      <c r="A234" s="1">
        <v>2016131802752</v>
      </c>
      <c r="B234" t="s">
        <v>106</v>
      </c>
      <c r="C234" t="s">
        <v>987</v>
      </c>
      <c r="D234" t="s">
        <v>855</v>
      </c>
      <c r="E234" t="s">
        <v>43</v>
      </c>
      <c r="AH234" t="str">
        <f>IF([2]!Table1[[#This Row],[الوزن]]&lt;&gt;"",[2]!Table1[[#This Row],[الوزن]]-([2]!Table1[[#This Row],[الطول]]-100),"")</f>
        <v/>
      </c>
      <c r="AI234" t="s">
        <v>787</v>
      </c>
    </row>
    <row r="235" spans="1:36" ht="18.75" customHeight="1" x14ac:dyDescent="0.3">
      <c r="A235" s="1">
        <v>2016135201570</v>
      </c>
      <c r="B235" t="s">
        <v>106</v>
      </c>
      <c r="C235" t="s">
        <v>988</v>
      </c>
      <c r="D235" t="s">
        <v>855</v>
      </c>
      <c r="E235" t="s">
        <v>43</v>
      </c>
      <c r="AH235" t="str">
        <f>IF([2]!Table1[[#This Row],[الوزن]]&lt;&gt;"",[2]!Table1[[#This Row],[الوزن]]-([2]!Table1[[#This Row],[الطول]]-100),"")</f>
        <v/>
      </c>
      <c r="AI235" t="s">
        <v>787</v>
      </c>
    </row>
    <row r="236" spans="1:36" ht="18.75" customHeight="1" x14ac:dyDescent="0.3">
      <c r="A236" s="1">
        <v>2016138302458</v>
      </c>
      <c r="B236" t="s">
        <v>106</v>
      </c>
      <c r="C236" t="s">
        <v>989</v>
      </c>
      <c r="D236" t="s">
        <v>855</v>
      </c>
      <c r="E236" t="s">
        <v>43</v>
      </c>
      <c r="AH236" t="str">
        <f>IF([2]!Table1[[#This Row],[الوزن]]&lt;&gt;"",[2]!Table1[[#This Row],[الوزن]]-([2]!Table1[[#This Row],[الطول]]-100),"")</f>
        <v/>
      </c>
      <c r="AI236" t="s">
        <v>787</v>
      </c>
    </row>
    <row r="237" spans="1:36" ht="18.75" customHeight="1" x14ac:dyDescent="0.3">
      <c r="A237" s="1">
        <v>2017131804607</v>
      </c>
      <c r="B237" t="s">
        <v>106</v>
      </c>
      <c r="C237" t="s">
        <v>990</v>
      </c>
      <c r="D237" t="s">
        <v>855</v>
      </c>
      <c r="E237" t="s">
        <v>43</v>
      </c>
      <c r="AH237" t="str">
        <f>IF([2]!Table1[[#This Row],[الوزن]]&lt;&gt;"",[2]!Table1[[#This Row],[الوزن]]-([2]!Table1[[#This Row],[الطول]]-100),"")</f>
        <v/>
      </c>
      <c r="AI237" t="s">
        <v>787</v>
      </c>
    </row>
    <row r="238" spans="1:36" ht="18.75" customHeight="1" x14ac:dyDescent="0.3">
      <c r="A238" s="1">
        <v>2017131808576</v>
      </c>
      <c r="B238" t="s">
        <v>106</v>
      </c>
      <c r="C238" t="s">
        <v>991</v>
      </c>
      <c r="D238" t="s">
        <v>855</v>
      </c>
      <c r="E238" t="s">
        <v>43</v>
      </c>
      <c r="AH238" t="str">
        <f>IF([2]!Table1[[#This Row],[الوزن]]&lt;&gt;"",[2]!Table1[[#This Row],[الوزن]]-([2]!Table1[[#This Row],[الطول]]-100),"")</f>
        <v/>
      </c>
      <c r="AI238" t="s">
        <v>787</v>
      </c>
    </row>
    <row r="239" spans="1:36" ht="18.75" customHeight="1" x14ac:dyDescent="0.3">
      <c r="A239" s="1">
        <v>2018131802245</v>
      </c>
      <c r="B239" t="s">
        <v>106</v>
      </c>
      <c r="C239" t="s">
        <v>992</v>
      </c>
      <c r="D239" t="s">
        <v>855</v>
      </c>
      <c r="E239" t="s">
        <v>43</v>
      </c>
      <c r="AH239">
        <f>IF([2]!Table1[[#This Row],[الوزن]]&lt;&gt;"",[2]!Table1[[#This Row],[الوزن]]-([2]!Table1[[#This Row],[الطول]]-100),"")</f>
        <v>-2</v>
      </c>
      <c r="AI239" t="s">
        <v>787</v>
      </c>
    </row>
    <row r="240" spans="1:36" ht="18.75" customHeight="1" x14ac:dyDescent="0.3">
      <c r="A240" s="1">
        <v>2018131101340</v>
      </c>
      <c r="B240" t="s">
        <v>106</v>
      </c>
      <c r="C240" t="s">
        <v>993</v>
      </c>
      <c r="D240" t="s">
        <v>717</v>
      </c>
      <c r="E240" t="s">
        <v>718</v>
      </c>
      <c r="F240">
        <v>158</v>
      </c>
      <c r="G240">
        <v>43279</v>
      </c>
      <c r="H240">
        <v>44117</v>
      </c>
      <c r="I240">
        <v>46023</v>
      </c>
      <c r="J240">
        <v>45980</v>
      </c>
      <c r="L240" t="s">
        <v>135</v>
      </c>
      <c r="M240" t="s">
        <v>136</v>
      </c>
      <c r="N240" t="s">
        <v>448</v>
      </c>
      <c r="O240" t="s">
        <v>851</v>
      </c>
      <c r="P240" t="s">
        <v>49</v>
      </c>
      <c r="R240">
        <v>2</v>
      </c>
      <c r="S240">
        <v>0</v>
      </c>
      <c r="T240">
        <v>0</v>
      </c>
      <c r="U240" t="s">
        <v>994</v>
      </c>
      <c r="V240" t="s">
        <v>995</v>
      </c>
      <c r="W240">
        <v>30210011613119</v>
      </c>
      <c r="AC240" t="s">
        <v>996</v>
      </c>
      <c r="AF240">
        <v>70</v>
      </c>
      <c r="AG240">
        <v>172</v>
      </c>
      <c r="AH240">
        <v>-2</v>
      </c>
      <c r="AJ240" t="s">
        <v>997</v>
      </c>
    </row>
    <row r="241" spans="1:40" ht="18.75" customHeight="1" x14ac:dyDescent="0.3">
      <c r="A241" s="1">
        <v>2018131807097</v>
      </c>
      <c r="B241" t="s">
        <v>106</v>
      </c>
      <c r="C241" t="s">
        <v>998</v>
      </c>
      <c r="D241" t="s">
        <v>855</v>
      </c>
      <c r="E241" t="s">
        <v>43</v>
      </c>
      <c r="AG241" t="s">
        <v>787</v>
      </c>
      <c r="AH241">
        <f>IF([2]!Table1[[#This Row],[الوزن]]&lt;&gt;"",[2]!Table1[[#This Row],[الوزن]]-([2]!Table1[[#This Row],[الطول]]-100),"")</f>
        <v>-13</v>
      </c>
    </row>
    <row r="242" spans="1:40" ht="18.75" customHeight="1" x14ac:dyDescent="0.3">
      <c r="A242" s="1">
        <v>2015131100851</v>
      </c>
      <c r="B242" t="s">
        <v>106</v>
      </c>
      <c r="C242" t="s">
        <v>999</v>
      </c>
      <c r="D242" t="s">
        <v>849</v>
      </c>
      <c r="E242" t="s">
        <v>850</v>
      </c>
      <c r="F242">
        <v>153</v>
      </c>
      <c r="G242">
        <v>42030</v>
      </c>
      <c r="H242">
        <v>42501</v>
      </c>
      <c r="I242">
        <v>44378</v>
      </c>
      <c r="M242" t="s">
        <v>136</v>
      </c>
      <c r="N242" t="s">
        <v>448</v>
      </c>
      <c r="O242" t="s">
        <v>1000</v>
      </c>
      <c r="P242" t="s">
        <v>49</v>
      </c>
      <c r="R242">
        <v>5</v>
      </c>
      <c r="S242">
        <v>0</v>
      </c>
      <c r="T242">
        <v>0</v>
      </c>
      <c r="U242">
        <v>1024114681</v>
      </c>
      <c r="V242" t="s">
        <v>1001</v>
      </c>
      <c r="X242">
        <v>35742</v>
      </c>
      <c r="Y242" t="s">
        <v>153</v>
      </c>
      <c r="AF242">
        <v>51</v>
      </c>
      <c r="AG242">
        <v>164</v>
      </c>
      <c r="AH242">
        <v>-13</v>
      </c>
      <c r="AN242" t="s">
        <v>145</v>
      </c>
    </row>
    <row r="243" spans="1:40" ht="18.75" customHeight="1" x14ac:dyDescent="0.3">
      <c r="A243" s="1">
        <v>2018131807394</v>
      </c>
      <c r="B243" t="s">
        <v>106</v>
      </c>
      <c r="C243" t="s">
        <v>1002</v>
      </c>
      <c r="D243" t="s">
        <v>855</v>
      </c>
      <c r="E243" t="s">
        <v>43</v>
      </c>
      <c r="AG243" t="s">
        <v>787</v>
      </c>
      <c r="AH243" t="str">
        <f>IF([2]!Table1[[#This Row],[الوزن]]&lt;&gt;"",[2]!Table1[[#This Row],[الوزن]]-([2]!Table1[[#This Row],[الطول]]-100),"")</f>
        <v/>
      </c>
    </row>
    <row r="244" spans="1:40" ht="18.75" customHeight="1" x14ac:dyDescent="0.3">
      <c r="A244" s="1">
        <v>2018131811981</v>
      </c>
      <c r="B244" t="s">
        <v>106</v>
      </c>
      <c r="C244" t="s">
        <v>1003</v>
      </c>
      <c r="D244" t="s">
        <v>855</v>
      </c>
      <c r="E244" t="s">
        <v>43</v>
      </c>
      <c r="AG244" t="s">
        <v>787</v>
      </c>
      <c r="AH244" t="str">
        <f>IF([2]!Table1[[#This Row],[الوزن]]&lt;&gt;"",[2]!Table1[[#This Row],[الوزن]]-([2]!Table1[[#This Row],[الطول]]-100),"")</f>
        <v/>
      </c>
    </row>
    <row r="245" spans="1:40" ht="18.75" customHeight="1" x14ac:dyDescent="0.3">
      <c r="A245" s="1">
        <v>2018131812418</v>
      </c>
      <c r="B245" t="s">
        <v>106</v>
      </c>
      <c r="C245" t="s">
        <v>1004</v>
      </c>
      <c r="D245" t="s">
        <v>855</v>
      </c>
      <c r="E245" t="s">
        <v>43</v>
      </c>
      <c r="AG245" t="s">
        <v>787</v>
      </c>
      <c r="AH245" t="str">
        <f>IF([2]!Table1[[#This Row],[الوزن]]&lt;&gt;"",[2]!Table1[[#This Row],[الوزن]]-([2]!Table1[[#This Row],[الطول]]-100),"")</f>
        <v/>
      </c>
    </row>
    <row r="246" spans="1:40" ht="18.75" customHeight="1" x14ac:dyDescent="0.3">
      <c r="A246" s="1">
        <v>2018138313146</v>
      </c>
      <c r="B246" t="s">
        <v>106</v>
      </c>
      <c r="C246" t="s">
        <v>1005</v>
      </c>
      <c r="D246" t="s">
        <v>855</v>
      </c>
      <c r="E246" t="s">
        <v>43</v>
      </c>
      <c r="AG246" t="s">
        <v>787</v>
      </c>
      <c r="AH246" t="str">
        <f>IF([2]!Table1[[#This Row],[الوزن]]&lt;&gt;"",[2]!Table1[[#This Row],[الوزن]]-([2]!Table1[[#This Row],[الطول]]-100),"")</f>
        <v/>
      </c>
    </row>
    <row r="247" spans="1:40" ht="18.75" customHeight="1" x14ac:dyDescent="0.3">
      <c r="A247" s="1">
        <v>2004135200147</v>
      </c>
      <c r="B247" t="s">
        <v>210</v>
      </c>
      <c r="C247" t="s">
        <v>1006</v>
      </c>
      <c r="D247" t="s">
        <v>1007</v>
      </c>
      <c r="E247" t="s">
        <v>43</v>
      </c>
      <c r="AG247" t="s">
        <v>787</v>
      </c>
      <c r="AH247" t="str">
        <f>IF([2]!Table1[[#This Row],[الوزن]]&lt;&gt;"",[2]!Table1[[#This Row],[الوزن]]-([2]!Table1[[#This Row],[الطول]]-100),"")</f>
        <v/>
      </c>
    </row>
    <row r="248" spans="1:40" ht="18.75" customHeight="1" x14ac:dyDescent="0.3">
      <c r="A248" s="1">
        <v>2004138302015</v>
      </c>
      <c r="B248" t="s">
        <v>210</v>
      </c>
      <c r="C248" t="s">
        <v>1008</v>
      </c>
      <c r="D248" t="s">
        <v>1007</v>
      </c>
      <c r="E248" t="s">
        <v>43</v>
      </c>
      <c r="AG248" t="s">
        <v>787</v>
      </c>
      <c r="AH248" t="str">
        <f>IF([2]!Table1[[#This Row],[الوزن]]&lt;&gt;"",[2]!Table1[[#This Row],[الوزن]]-([2]!Table1[[#This Row],[الطول]]-100),"")</f>
        <v/>
      </c>
    </row>
    <row r="249" spans="1:40" ht="18.75" customHeight="1" x14ac:dyDescent="0.3">
      <c r="A249" s="1">
        <v>2007138308330</v>
      </c>
      <c r="B249" t="s">
        <v>57</v>
      </c>
      <c r="C249" t="s">
        <v>1009</v>
      </c>
      <c r="D249" t="s">
        <v>1007</v>
      </c>
      <c r="E249" t="s">
        <v>43</v>
      </c>
      <c r="AG249" t="s">
        <v>787</v>
      </c>
      <c r="AH249" t="str">
        <f>IF([2]!Table1[[#This Row],[الوزن]]&lt;&gt;"",[2]!Table1[[#This Row],[الوزن]]-([2]!Table1[[#This Row],[الطول]]-100),"")</f>
        <v/>
      </c>
    </row>
    <row r="250" spans="1:40" ht="18.75" customHeight="1" x14ac:dyDescent="0.3">
      <c r="A250" s="1">
        <v>2007138308596</v>
      </c>
      <c r="B250" t="s">
        <v>57</v>
      </c>
      <c r="C250" t="s">
        <v>1010</v>
      </c>
      <c r="D250" t="s">
        <v>1007</v>
      </c>
      <c r="E250" t="s">
        <v>43</v>
      </c>
      <c r="AG250" t="s">
        <v>787</v>
      </c>
      <c r="AH250" t="str">
        <f>IF([2]!Table1[[#This Row],[الوزن]]&lt;&gt;"",[2]!Table1[[#This Row],[الوزن]]-([2]!Table1[[#This Row],[الطول]]-100),"")</f>
        <v/>
      </c>
    </row>
    <row r="251" spans="1:40" ht="18.75" customHeight="1" x14ac:dyDescent="0.3">
      <c r="A251" s="1">
        <v>2008138308700</v>
      </c>
      <c r="B251" t="s">
        <v>57</v>
      </c>
      <c r="C251" t="s">
        <v>1011</v>
      </c>
      <c r="D251" t="s">
        <v>1007</v>
      </c>
      <c r="E251" t="s">
        <v>43</v>
      </c>
      <c r="AG251" t="s">
        <v>787</v>
      </c>
      <c r="AH251" t="str">
        <f>IF([2]!Table1[[#This Row],[الوزن]]&lt;&gt;"",[2]!Table1[[#This Row],[الوزن]]-([2]!Table1[[#This Row],[الطول]]-100),"")</f>
        <v/>
      </c>
    </row>
    <row r="252" spans="1:40" ht="18.75" customHeight="1" x14ac:dyDescent="0.3">
      <c r="A252" s="1">
        <v>2019131811145</v>
      </c>
      <c r="B252" t="s">
        <v>125</v>
      </c>
      <c r="C252" t="s">
        <v>1012</v>
      </c>
      <c r="D252" t="s">
        <v>1007</v>
      </c>
      <c r="E252" t="s">
        <v>43</v>
      </c>
      <c r="AG252" t="s">
        <v>787</v>
      </c>
      <c r="AH252" t="str">
        <f>IF([2]!Table1[[#This Row],[الوزن]]&lt;&gt;"",[2]!Table1[[#This Row],[الوزن]]-([2]!Table1[[#This Row],[الطول]]-100),"")</f>
        <v/>
      </c>
    </row>
    <row r="253" spans="1:40" ht="18.75" customHeight="1" x14ac:dyDescent="0.3">
      <c r="A253" s="1">
        <v>2010131801772</v>
      </c>
      <c r="B253" t="s">
        <v>75</v>
      </c>
      <c r="C253" t="s">
        <v>1013</v>
      </c>
      <c r="D253" t="s">
        <v>1007</v>
      </c>
      <c r="E253" t="s">
        <v>43</v>
      </c>
      <c r="AG253" t="s">
        <v>787</v>
      </c>
      <c r="AH253" t="str">
        <f>IF([2]!Table1[[#This Row],[الوزن]]&lt;&gt;"",[2]!Table1[[#This Row],[الوزن]]-([2]!Table1[[#This Row],[الطول]]-100),"")</f>
        <v/>
      </c>
    </row>
    <row r="254" spans="1:40" ht="18.75" customHeight="1" x14ac:dyDescent="0.3">
      <c r="A254" s="1">
        <v>2010138301270</v>
      </c>
      <c r="B254" t="s">
        <v>75</v>
      </c>
      <c r="C254" t="s">
        <v>1014</v>
      </c>
      <c r="D254" t="s">
        <v>1007</v>
      </c>
      <c r="E254" t="s">
        <v>43</v>
      </c>
      <c r="AG254" t="s">
        <v>787</v>
      </c>
      <c r="AH254" t="str">
        <f>IF([2]!Table1[[#This Row],[الوزن]]&lt;&gt;"",[2]!Table1[[#This Row],[الوزن]]-([2]!Table1[[#This Row],[الطول]]-100),"")</f>
        <v/>
      </c>
    </row>
    <row r="255" spans="1:40" ht="18.75" customHeight="1" x14ac:dyDescent="0.3">
      <c r="A255" s="1">
        <v>2010138301832</v>
      </c>
      <c r="B255" t="s">
        <v>75</v>
      </c>
      <c r="C255" t="s">
        <v>1015</v>
      </c>
      <c r="D255" t="s">
        <v>1007</v>
      </c>
      <c r="E255" t="s">
        <v>43</v>
      </c>
      <c r="AG255" t="s">
        <v>787</v>
      </c>
      <c r="AH255" t="str">
        <f>IF([2]!Table1[[#This Row],[الوزن]]&lt;&gt;"",[2]!Table1[[#This Row],[الوزن]]-([2]!Table1[[#This Row],[الطول]]-100),"")</f>
        <v/>
      </c>
    </row>
    <row r="256" spans="1:40" ht="18.75" customHeight="1" x14ac:dyDescent="0.3">
      <c r="A256" s="1">
        <v>2011130400888</v>
      </c>
      <c r="B256" t="s">
        <v>75</v>
      </c>
      <c r="C256" t="s">
        <v>1016</v>
      </c>
      <c r="D256" t="s">
        <v>1007</v>
      </c>
      <c r="E256" t="s">
        <v>43</v>
      </c>
      <c r="AG256" t="s">
        <v>787</v>
      </c>
      <c r="AH256" t="str">
        <f>IF([2]!Table1[[#This Row],[الوزن]]&lt;&gt;"",[2]!Table1[[#This Row],[الوزن]]-([2]!Table1[[#This Row],[الطول]]-100),"")</f>
        <v/>
      </c>
    </row>
    <row r="257" spans="1:40" ht="18.75" customHeight="1" x14ac:dyDescent="0.3">
      <c r="A257" s="1">
        <v>2012138303850</v>
      </c>
      <c r="B257" t="s">
        <v>75</v>
      </c>
      <c r="C257" t="s">
        <v>1017</v>
      </c>
      <c r="D257" t="s">
        <v>1007</v>
      </c>
      <c r="E257" t="s">
        <v>43</v>
      </c>
      <c r="AG257" t="s">
        <v>787</v>
      </c>
      <c r="AH257" t="str">
        <f>IF([2]!Table1[[#This Row],[الوزن]]&lt;&gt;"",[2]!Table1[[#This Row],[الوزن]]-([2]!Table1[[#This Row],[الطول]]-100),"")</f>
        <v/>
      </c>
    </row>
    <row r="258" spans="1:40" ht="18.75" customHeight="1" x14ac:dyDescent="0.3">
      <c r="A258" s="1">
        <v>2012138304668</v>
      </c>
      <c r="B258" t="s">
        <v>75</v>
      </c>
      <c r="C258" t="s">
        <v>1018</v>
      </c>
      <c r="D258" t="s">
        <v>1007</v>
      </c>
      <c r="E258" t="s">
        <v>43</v>
      </c>
      <c r="AG258" t="s">
        <v>787</v>
      </c>
      <c r="AH258" t="str">
        <f>IF([2]!Table1[[#This Row],[الوزن]]&lt;&gt;"",[2]!Table1[[#This Row],[الوزن]]-([2]!Table1[[#This Row],[الطول]]-100),"")</f>
        <v/>
      </c>
    </row>
    <row r="259" spans="1:40" ht="18.75" customHeight="1" x14ac:dyDescent="0.3">
      <c r="A259" s="1">
        <v>2012138312968</v>
      </c>
      <c r="B259" t="s">
        <v>75</v>
      </c>
      <c r="C259" t="s">
        <v>1019</v>
      </c>
      <c r="D259" t="s">
        <v>1007</v>
      </c>
      <c r="E259" t="s">
        <v>43</v>
      </c>
      <c r="AG259" t="s">
        <v>787</v>
      </c>
      <c r="AH259" t="str">
        <f>IF([2]!Table1[[#This Row],[الوزن]]&lt;&gt;"",[2]!Table1[[#This Row],[الوزن]]-([2]!Table1[[#This Row],[الطول]]-100),"")</f>
        <v/>
      </c>
    </row>
    <row r="260" spans="1:40" ht="18.75" customHeight="1" x14ac:dyDescent="0.3">
      <c r="A260" s="1">
        <v>2013130400123</v>
      </c>
      <c r="B260" t="s">
        <v>75</v>
      </c>
      <c r="C260" t="s">
        <v>1020</v>
      </c>
      <c r="D260" t="s">
        <v>1007</v>
      </c>
      <c r="E260" t="s">
        <v>43</v>
      </c>
      <c r="AG260" t="s">
        <v>787</v>
      </c>
      <c r="AH260" t="str">
        <f>IF([2]!Table1[[#This Row],[الوزن]]&lt;&gt;"",[2]!Table1[[#This Row],[الوزن]]-([2]!Table1[[#This Row],[الطول]]-100),"")</f>
        <v/>
      </c>
    </row>
    <row r="261" spans="1:40" ht="18.75" customHeight="1" x14ac:dyDescent="0.3">
      <c r="A261" s="1">
        <v>2013138303486</v>
      </c>
      <c r="B261" t="s">
        <v>75</v>
      </c>
      <c r="C261" t="s">
        <v>1021</v>
      </c>
      <c r="D261" t="s">
        <v>1007</v>
      </c>
      <c r="E261" t="s">
        <v>43</v>
      </c>
      <c r="AG261" t="s">
        <v>787</v>
      </c>
      <c r="AH261" t="str">
        <f>IF([2]!Table1[[#This Row],[الوزن]]&lt;&gt;"",[2]!Table1[[#This Row],[الوزن]]-([2]!Table1[[#This Row],[الطول]]-100),"")</f>
        <v/>
      </c>
    </row>
    <row r="262" spans="1:40" ht="18.75" customHeight="1" x14ac:dyDescent="0.3">
      <c r="A262" s="1">
        <v>2013138309567</v>
      </c>
      <c r="B262" t="s">
        <v>75</v>
      </c>
      <c r="C262" t="s">
        <v>1022</v>
      </c>
      <c r="D262" t="s">
        <v>1007</v>
      </c>
      <c r="E262" t="s">
        <v>43</v>
      </c>
      <c r="AG262" t="s">
        <v>787</v>
      </c>
      <c r="AH262" t="str">
        <f>IF([2]!Table1[[#This Row],[الوزن]]&lt;&gt;"",[2]!Table1[[#This Row],[الوزن]]-([2]!Table1[[#This Row],[الطول]]-100),"")</f>
        <v/>
      </c>
    </row>
    <row r="263" spans="1:40" ht="18.75" customHeight="1" x14ac:dyDescent="0.3">
      <c r="A263" s="1">
        <v>2014138304622</v>
      </c>
      <c r="B263" t="s">
        <v>75</v>
      </c>
      <c r="C263" t="s">
        <v>1023</v>
      </c>
      <c r="D263" t="s">
        <v>1007</v>
      </c>
      <c r="E263" t="s">
        <v>43</v>
      </c>
      <c r="AG263" t="s">
        <v>787</v>
      </c>
      <c r="AH263" t="str">
        <f>IF([2]!Table1[[#This Row],[الوزن]]&lt;&gt;"",[2]!Table1[[#This Row],[الوزن]]-([2]!Table1[[#This Row],[الطول]]-100),"")</f>
        <v/>
      </c>
    </row>
    <row r="264" spans="1:40" ht="18.75" customHeight="1" x14ac:dyDescent="0.3">
      <c r="A264" s="1">
        <v>2014138312451</v>
      </c>
      <c r="B264" t="s">
        <v>75</v>
      </c>
      <c r="C264" t="s">
        <v>1024</v>
      </c>
      <c r="D264" t="s">
        <v>1007</v>
      </c>
      <c r="E264" t="s">
        <v>43</v>
      </c>
      <c r="AG264" t="s">
        <v>787</v>
      </c>
      <c r="AH264" t="str">
        <f>IF([2]!Table1[[#This Row],[الوزن]]&lt;&gt;"",[2]!Table1[[#This Row],[الوزن]]-([2]!Table1[[#This Row],[الطول]]-100),"")</f>
        <v/>
      </c>
    </row>
    <row r="265" spans="1:40" ht="18.75" customHeight="1" x14ac:dyDescent="0.3">
      <c r="A265" s="1">
        <v>2015130403446</v>
      </c>
      <c r="B265" t="s">
        <v>106</v>
      </c>
      <c r="C265" t="s">
        <v>1025</v>
      </c>
      <c r="D265" t="s">
        <v>1007</v>
      </c>
      <c r="E265" t="s">
        <v>43</v>
      </c>
      <c r="AG265" t="s">
        <v>787</v>
      </c>
      <c r="AH265" t="str">
        <f>IF([2]!Table1[[#This Row],[الوزن]]&lt;&gt;"",[2]!Table1[[#This Row],[الوزن]]-([2]!Table1[[#This Row],[الطول]]-100),"")</f>
        <v/>
      </c>
    </row>
    <row r="266" spans="1:40" ht="18.75" customHeight="1" x14ac:dyDescent="0.3">
      <c r="A266" s="1">
        <v>2015131804338</v>
      </c>
      <c r="B266" t="s">
        <v>106</v>
      </c>
      <c r="C266" t="s">
        <v>1026</v>
      </c>
      <c r="D266" t="s">
        <v>1007</v>
      </c>
      <c r="E266" t="s">
        <v>43</v>
      </c>
      <c r="AG266" t="s">
        <v>787</v>
      </c>
      <c r="AH266" t="str">
        <f>IF([2]!Table1[[#This Row],[الوزن]]&lt;&gt;"",[2]!Table1[[#This Row],[الوزن]]-([2]!Table1[[#This Row],[الطول]]-100),"")</f>
        <v/>
      </c>
    </row>
    <row r="267" spans="1:40" ht="18.75" customHeight="1" x14ac:dyDescent="0.3">
      <c r="A267" s="1">
        <v>2015138312061</v>
      </c>
      <c r="B267" t="s">
        <v>106</v>
      </c>
      <c r="C267" t="s">
        <v>1027</v>
      </c>
      <c r="D267" t="s">
        <v>1007</v>
      </c>
      <c r="E267" t="s">
        <v>43</v>
      </c>
      <c r="AG267" t="s">
        <v>787</v>
      </c>
      <c r="AH267" t="str">
        <f>IF([2]!Table1[[#This Row],[الوزن]]&lt;&gt;"",[2]!Table1[[#This Row],[الوزن]]-([2]!Table1[[#This Row],[الطول]]-100),"")</f>
        <v/>
      </c>
    </row>
    <row r="268" spans="1:40" ht="18.75" customHeight="1" x14ac:dyDescent="0.3">
      <c r="A268" s="1">
        <v>2015138321210</v>
      </c>
      <c r="B268" t="s">
        <v>106</v>
      </c>
      <c r="C268" t="s">
        <v>1028</v>
      </c>
      <c r="D268" t="s">
        <v>1007</v>
      </c>
      <c r="E268" t="s">
        <v>43</v>
      </c>
      <c r="AG268" t="s">
        <v>787</v>
      </c>
      <c r="AH268" t="str">
        <f>IF([2]!Table1[[#This Row],[الوزن]]&lt;&gt;"",[2]!Table1[[#This Row],[الوزن]]-([2]!Table1[[#This Row],[الطول]]-100),"")</f>
        <v/>
      </c>
    </row>
    <row r="269" spans="1:40" ht="18.75" customHeight="1" x14ac:dyDescent="0.3">
      <c r="A269" s="1">
        <v>2016138301054</v>
      </c>
      <c r="B269" t="s">
        <v>106</v>
      </c>
      <c r="C269" t="s">
        <v>1029</v>
      </c>
      <c r="D269" t="s">
        <v>1007</v>
      </c>
      <c r="E269" t="s">
        <v>43</v>
      </c>
      <c r="AG269" t="s">
        <v>787</v>
      </c>
      <c r="AH269" t="str">
        <f>IF([2]!Table1[[#This Row],[الوزن]]&lt;&gt;"",[2]!Table1[[#This Row],[الوزن]]-([2]!Table1[[#This Row],[الطول]]-100),"")</f>
        <v/>
      </c>
    </row>
    <row r="270" spans="1:40" ht="18.75" customHeight="1" x14ac:dyDescent="0.3">
      <c r="A270" s="1">
        <v>2017131801926</v>
      </c>
      <c r="B270" t="s">
        <v>106</v>
      </c>
      <c r="C270" t="s">
        <v>1030</v>
      </c>
      <c r="D270" t="s">
        <v>1007</v>
      </c>
      <c r="E270" t="s">
        <v>43</v>
      </c>
      <c r="AG270" t="s">
        <v>787</v>
      </c>
      <c r="AH270" t="str">
        <f>IF([2]!Table1[[#This Row],[الوزن]]&lt;&gt;"",[2]!Table1[[#This Row],[الوزن]]-([2]!Table1[[#This Row],[الطول]]-100),"")</f>
        <v/>
      </c>
    </row>
    <row r="271" spans="1:40" ht="18.75" customHeight="1" x14ac:dyDescent="0.3">
      <c r="A271" s="1">
        <v>2018131806528</v>
      </c>
      <c r="B271" t="s">
        <v>106</v>
      </c>
      <c r="C271" t="s">
        <v>1031</v>
      </c>
      <c r="D271" t="s">
        <v>1007</v>
      </c>
      <c r="E271" t="s">
        <v>43</v>
      </c>
      <c r="AH271">
        <f>IF([2]!Table1[[#This Row],[الوزن]]&lt;&gt;"",[2]!Table1[[#This Row],[الوزن]]-([2]!Table1[[#This Row],[الطول]]-100),"")</f>
        <v>-8</v>
      </c>
    </row>
    <row r="272" spans="1:40" ht="18.75" customHeight="1" x14ac:dyDescent="0.3">
      <c r="A272" s="1">
        <v>2018131802427</v>
      </c>
      <c r="B272" t="s">
        <v>106</v>
      </c>
      <c r="C272" t="s">
        <v>1032</v>
      </c>
      <c r="D272" t="s">
        <v>1007</v>
      </c>
      <c r="E272" t="s">
        <v>43</v>
      </c>
      <c r="F272">
        <v>158</v>
      </c>
      <c r="G272">
        <v>43344</v>
      </c>
      <c r="I272" t="s">
        <v>1033</v>
      </c>
      <c r="L272" t="s">
        <v>45</v>
      </c>
      <c r="M272" t="s">
        <v>46</v>
      </c>
      <c r="N272" t="s">
        <v>127</v>
      </c>
      <c r="O272" t="s">
        <v>743</v>
      </c>
      <c r="Q272">
        <v>0</v>
      </c>
      <c r="R272">
        <v>2</v>
      </c>
      <c r="U272" t="s">
        <v>1034</v>
      </c>
      <c r="W272">
        <v>30101160200591</v>
      </c>
      <c r="X272">
        <v>36907</v>
      </c>
      <c r="Y272" t="s">
        <v>103</v>
      </c>
      <c r="Z272">
        <v>1</v>
      </c>
      <c r="AC272" t="s">
        <v>1035</v>
      </c>
      <c r="AF272">
        <v>72</v>
      </c>
      <c r="AG272">
        <v>180</v>
      </c>
      <c r="AH272" t="str">
        <f>IF([2]!Table1[[#This Row],[الوزن]]&lt;&gt;"",[2]!Table1[[#This Row],[الوزن]]-([2]!Table1[[#This Row],[الطول]]-100),"")</f>
        <v/>
      </c>
      <c r="AN272" t="s">
        <v>1036</v>
      </c>
    </row>
    <row r="273" spans="1:40" ht="18.75" customHeight="1" x14ac:dyDescent="0.3">
      <c r="A273" s="1">
        <v>2018131806669</v>
      </c>
      <c r="B273" t="s">
        <v>106</v>
      </c>
      <c r="C273" t="s">
        <v>1037</v>
      </c>
      <c r="D273" t="s">
        <v>1007</v>
      </c>
      <c r="E273" t="s">
        <v>43</v>
      </c>
      <c r="AH273" t="str">
        <f>IF([2]!Table1[[#This Row],[الوزن]]&lt;&gt;"",[2]!Table1[[#This Row],[الوزن]]-([2]!Table1[[#This Row],[الطول]]-100),"")</f>
        <v/>
      </c>
    </row>
    <row r="274" spans="1:40" ht="18.75" customHeight="1" x14ac:dyDescent="0.3">
      <c r="A274" s="1">
        <v>1990131811195</v>
      </c>
      <c r="B274" t="s">
        <v>210</v>
      </c>
      <c r="C274" t="s">
        <v>1038</v>
      </c>
      <c r="D274" t="s">
        <v>1039</v>
      </c>
      <c r="E274" t="s">
        <v>43</v>
      </c>
      <c r="AH274" t="str">
        <f>IF([2]!Table1[[#This Row],[الوزن]]&lt;&gt;"",[2]!Table1[[#This Row],[الوزن]]-([2]!Table1[[#This Row],[الطول]]-100),"")</f>
        <v/>
      </c>
    </row>
    <row r="275" spans="1:40" ht="18.75" customHeight="1" x14ac:dyDescent="0.3">
      <c r="A275" s="1">
        <v>2008134790258</v>
      </c>
      <c r="B275" t="s">
        <v>40</v>
      </c>
      <c r="C275" t="s">
        <v>1040</v>
      </c>
      <c r="D275" t="s">
        <v>1039</v>
      </c>
      <c r="E275" t="s">
        <v>43</v>
      </c>
      <c r="AH275">
        <f>IF([2]!Table1[[#This Row],[الوزن]]&lt;&gt;"",[2]!Table1[[#This Row],[الوزن]]-([2]!Table1[[#This Row],[الطول]]-100),"")</f>
        <v>10</v>
      </c>
    </row>
    <row r="276" spans="1:40" ht="18.75" customHeight="1" x14ac:dyDescent="0.3">
      <c r="A276" s="1">
        <v>2017138308165</v>
      </c>
      <c r="B276" t="s">
        <v>106</v>
      </c>
      <c r="C276" t="s">
        <v>1041</v>
      </c>
      <c r="D276" t="s">
        <v>849</v>
      </c>
      <c r="E276" t="s">
        <v>850</v>
      </c>
      <c r="F276">
        <v>157</v>
      </c>
      <c r="G276">
        <v>42915</v>
      </c>
      <c r="H276">
        <v>43663</v>
      </c>
      <c r="I276">
        <v>45658</v>
      </c>
      <c r="M276" t="s">
        <v>136</v>
      </c>
      <c r="N276" t="s">
        <v>127</v>
      </c>
      <c r="O276" t="s">
        <v>1042</v>
      </c>
      <c r="Q276" t="s">
        <v>49</v>
      </c>
      <c r="R276">
        <v>0</v>
      </c>
      <c r="S276">
        <v>0</v>
      </c>
      <c r="T276">
        <v>0</v>
      </c>
      <c r="U276">
        <v>1017783297</v>
      </c>
      <c r="V276" t="s">
        <v>1043</v>
      </c>
      <c r="X276">
        <v>35971</v>
      </c>
      <c r="Y276" t="s">
        <v>103</v>
      </c>
      <c r="AF276">
        <v>88</v>
      </c>
      <c r="AG276">
        <v>178</v>
      </c>
      <c r="AH276">
        <v>10</v>
      </c>
      <c r="AI276" t="s">
        <v>1044</v>
      </c>
      <c r="AN276" t="s">
        <v>145</v>
      </c>
    </row>
    <row r="277" spans="1:40" ht="18.75" customHeight="1" x14ac:dyDescent="0.3">
      <c r="A277" s="1">
        <v>2003138305673</v>
      </c>
      <c r="B277" t="s">
        <v>57</v>
      </c>
      <c r="C277" t="s">
        <v>1045</v>
      </c>
      <c r="D277" t="s">
        <v>1039</v>
      </c>
      <c r="E277" t="s">
        <v>43</v>
      </c>
      <c r="AH277" t="str">
        <f>IF([2]!Table1[[#This Row],[الوزن]]&lt;&gt;"",[2]!Table1[[#This Row],[الوزن]]-([2]!Table1[[#This Row],[الطول]]-100),"")</f>
        <v/>
      </c>
    </row>
    <row r="278" spans="1:40" ht="18.75" customHeight="1" x14ac:dyDescent="0.3">
      <c r="A278" s="1">
        <v>2004134703035</v>
      </c>
      <c r="B278" t="s">
        <v>210</v>
      </c>
      <c r="C278" t="s">
        <v>1046</v>
      </c>
      <c r="D278" t="s">
        <v>1039</v>
      </c>
      <c r="E278" t="s">
        <v>43</v>
      </c>
      <c r="AH278" t="str">
        <f>IF([2]!Table1[[#This Row],[الوزن]]&lt;&gt;"",[2]!Table1[[#This Row],[الوزن]]-([2]!Table1[[#This Row],[الطول]]-100),"")</f>
        <v/>
      </c>
    </row>
    <row r="279" spans="1:40" ht="18.75" customHeight="1" x14ac:dyDescent="0.3">
      <c r="A279" s="1">
        <v>2006130400326</v>
      </c>
      <c r="B279" t="s">
        <v>57</v>
      </c>
      <c r="C279" t="s">
        <v>1047</v>
      </c>
      <c r="D279" t="s">
        <v>1039</v>
      </c>
      <c r="E279" t="s">
        <v>43</v>
      </c>
      <c r="AH279" t="str">
        <f>IF([2]!Table1[[#This Row],[الوزن]]&lt;&gt;"",[2]!Table1[[#This Row],[الوزن]]-([2]!Table1[[#This Row],[الطول]]-100),"")</f>
        <v/>
      </c>
    </row>
    <row r="280" spans="1:40" ht="18.75" customHeight="1" x14ac:dyDescent="0.3">
      <c r="A280" s="1">
        <v>2013134701600</v>
      </c>
      <c r="B280" t="s">
        <v>57</v>
      </c>
      <c r="C280" t="s">
        <v>1048</v>
      </c>
      <c r="D280" t="s">
        <v>1039</v>
      </c>
      <c r="E280" t="s">
        <v>43</v>
      </c>
      <c r="AH280" t="str">
        <f>IF([2]!Table1[[#This Row],[الوزن]]&lt;&gt;"",[2]!Table1[[#This Row],[الوزن]]-([2]!Table1[[#This Row],[الطول]]-100),"")</f>
        <v/>
      </c>
    </row>
    <row r="281" spans="1:40" ht="18.75" customHeight="1" x14ac:dyDescent="0.3">
      <c r="A281" s="1">
        <v>2014138326345</v>
      </c>
      <c r="B281" t="s">
        <v>75</v>
      </c>
      <c r="C281" t="s">
        <v>1049</v>
      </c>
      <c r="D281" t="s">
        <v>1039</v>
      </c>
      <c r="E281" t="s">
        <v>43</v>
      </c>
      <c r="AH281" t="str">
        <f>IF([2]!Table1[[#This Row],[الوزن]]&lt;&gt;"",[2]!Table1[[#This Row],[الوزن]]-([2]!Table1[[#This Row],[الطول]]-100),"")</f>
        <v/>
      </c>
    </row>
    <row r="282" spans="1:40" ht="18.75" customHeight="1" x14ac:dyDescent="0.3">
      <c r="A282" s="1">
        <v>2016134704963</v>
      </c>
      <c r="B282" t="s">
        <v>106</v>
      </c>
      <c r="C282" t="s">
        <v>1050</v>
      </c>
      <c r="D282" t="s">
        <v>1039</v>
      </c>
      <c r="E282" t="s">
        <v>43</v>
      </c>
      <c r="AH282" t="str">
        <f>IF([2]!Table1[[#This Row],[الوزن]]&lt;&gt;"",[2]!Table1[[#This Row],[الوزن]]-([2]!Table1[[#This Row],[الطول]]-100),"")</f>
        <v/>
      </c>
    </row>
    <row r="283" spans="1:40" ht="18.75" customHeight="1" x14ac:dyDescent="0.3">
      <c r="A283" s="1">
        <v>2016134705177</v>
      </c>
      <c r="B283" t="s">
        <v>106</v>
      </c>
      <c r="C283" t="s">
        <v>1051</v>
      </c>
      <c r="D283" t="s">
        <v>1039</v>
      </c>
      <c r="E283" t="s">
        <v>43</v>
      </c>
      <c r="AH283" t="str">
        <f>IF([2]!Table1[[#This Row],[الوزن]]&lt;&gt;"",[2]!Table1[[#This Row],[الوزن]]-([2]!Table1[[#This Row],[الطول]]-100),"")</f>
        <v/>
      </c>
    </row>
    <row r="284" spans="1:40" ht="18.75" customHeight="1" x14ac:dyDescent="0.3">
      <c r="A284" s="1">
        <v>2021134700374</v>
      </c>
      <c r="B284" t="s">
        <v>125</v>
      </c>
      <c r="C284" t="s">
        <v>1052</v>
      </c>
      <c r="D284" t="s">
        <v>1039</v>
      </c>
      <c r="E284" t="s">
        <v>43</v>
      </c>
      <c r="AH284" t="str">
        <f>IF([2]!Table1[[#This Row],[الوزن]]&lt;&gt;"",[2]!Table1[[#This Row],[الوزن]]-([2]!Table1[[#This Row],[الطول]]-100),"")</f>
        <v/>
      </c>
    </row>
    <row r="285" spans="1:40" ht="18.75" customHeight="1" x14ac:dyDescent="0.3">
      <c r="A285" s="1">
        <v>2021138303033</v>
      </c>
      <c r="B285" t="s">
        <v>125</v>
      </c>
      <c r="C285" t="s">
        <v>1053</v>
      </c>
      <c r="D285" t="s">
        <v>1039</v>
      </c>
      <c r="E285" t="s">
        <v>43</v>
      </c>
      <c r="AH285" t="str">
        <f>IF([2]!Table1[[#This Row],[الوزن]]&lt;&gt;"",[2]!Table1[[#This Row],[الوزن]]-([2]!Table1[[#This Row],[الطول]]-100),"")</f>
        <v/>
      </c>
    </row>
    <row r="286" spans="1:40" ht="18.75" customHeight="1" x14ac:dyDescent="0.3">
      <c r="A286" s="1">
        <v>2021138309057</v>
      </c>
      <c r="B286" t="s">
        <v>125</v>
      </c>
      <c r="C286" t="s">
        <v>1054</v>
      </c>
      <c r="D286" t="s">
        <v>1039</v>
      </c>
      <c r="E286" t="s">
        <v>43</v>
      </c>
      <c r="AH286" t="str">
        <f>IF([2]!Table1[[#This Row],[الوزن]]&lt;&gt;"",[2]!Table1[[#This Row],[الوزن]]-([2]!Table1[[#This Row],[الطول]]-100),"")</f>
        <v/>
      </c>
    </row>
    <row r="287" spans="1:40" ht="18.75" customHeight="1" x14ac:dyDescent="0.3">
      <c r="A287" s="1">
        <v>2021138309205</v>
      </c>
      <c r="B287" t="s">
        <v>125</v>
      </c>
      <c r="C287" t="s">
        <v>1055</v>
      </c>
      <c r="D287" t="s">
        <v>1039</v>
      </c>
      <c r="E287" t="s">
        <v>43</v>
      </c>
      <c r="AH287" t="str">
        <f>IF([2]!Table1[[#This Row],[الوزن]]&lt;&gt;"",[2]!Table1[[#This Row],[الوزن]]-([2]!Table1[[#This Row],[الطول]]-100),"")</f>
        <v/>
      </c>
    </row>
    <row r="288" spans="1:40" ht="18.75" customHeight="1" x14ac:dyDescent="0.3">
      <c r="A288" s="1">
        <v>2023138302685</v>
      </c>
      <c r="B288" t="s">
        <v>125</v>
      </c>
      <c r="C288" t="s">
        <v>1056</v>
      </c>
      <c r="D288" t="s">
        <v>1039</v>
      </c>
      <c r="E288" t="s">
        <v>43</v>
      </c>
      <c r="AH288">
        <f>IF([2]!Table1[[#This Row],[الوزن]]&lt;&gt;"",[2]!Table1[[#This Row],[الوزن]]-([2]!Table1[[#This Row],[الطول]]-100),"")</f>
        <v>4</v>
      </c>
    </row>
    <row r="289" spans="1:40" ht="18.75" customHeight="1" x14ac:dyDescent="0.3">
      <c r="A289" s="1">
        <v>2005138300679</v>
      </c>
      <c r="B289" t="s">
        <v>57</v>
      </c>
      <c r="C289" t="s">
        <v>1057</v>
      </c>
      <c r="D289" t="s">
        <v>717</v>
      </c>
      <c r="E289" t="s">
        <v>718</v>
      </c>
      <c r="F289">
        <v>133</v>
      </c>
      <c r="G289">
        <v>38376</v>
      </c>
      <c r="H289">
        <v>38847</v>
      </c>
      <c r="I289">
        <v>44562</v>
      </c>
      <c r="J289">
        <v>45585</v>
      </c>
      <c r="L289" t="s">
        <v>135</v>
      </c>
      <c r="M289" t="s">
        <v>136</v>
      </c>
      <c r="N289" t="s">
        <v>127</v>
      </c>
      <c r="O289" t="s">
        <v>1042</v>
      </c>
      <c r="P289" t="s">
        <v>49</v>
      </c>
      <c r="R289">
        <v>4</v>
      </c>
      <c r="S289">
        <v>1</v>
      </c>
      <c r="T289">
        <v>0</v>
      </c>
      <c r="U289" t="s">
        <v>1058</v>
      </c>
      <c r="V289" t="s">
        <v>1059</v>
      </c>
      <c r="W289">
        <v>28601281402314</v>
      </c>
      <c r="AC289" t="s">
        <v>1060</v>
      </c>
      <c r="AF289">
        <v>85</v>
      </c>
      <c r="AG289">
        <v>181</v>
      </c>
      <c r="AH289">
        <v>4</v>
      </c>
      <c r="AJ289" t="s">
        <v>1061</v>
      </c>
    </row>
    <row r="290" spans="1:40" ht="18.75" customHeight="1" x14ac:dyDescent="0.3">
      <c r="A290" s="1">
        <v>2007130400465</v>
      </c>
      <c r="B290" t="s">
        <v>75</v>
      </c>
      <c r="C290" t="s">
        <v>1062</v>
      </c>
      <c r="D290" t="s">
        <v>725</v>
      </c>
      <c r="E290" t="s">
        <v>43</v>
      </c>
      <c r="F290">
        <v>137</v>
      </c>
      <c r="G290">
        <v>39284</v>
      </c>
      <c r="H290">
        <v>39757</v>
      </c>
      <c r="I290">
        <v>43466</v>
      </c>
      <c r="J290">
        <v>43879</v>
      </c>
      <c r="L290" t="s">
        <v>135</v>
      </c>
      <c r="M290" t="s">
        <v>726</v>
      </c>
      <c r="N290" t="s">
        <v>78</v>
      </c>
      <c r="P290" t="s">
        <v>49</v>
      </c>
      <c r="R290">
        <v>28</v>
      </c>
      <c r="S290">
        <v>7</v>
      </c>
      <c r="T290">
        <v>2</v>
      </c>
      <c r="U290" t="s">
        <v>1063</v>
      </c>
      <c r="V290" t="s">
        <v>1064</v>
      </c>
      <c r="W290">
        <v>28704221601371</v>
      </c>
      <c r="X290">
        <v>31889</v>
      </c>
      <c r="Y290" t="s">
        <v>103</v>
      </c>
      <c r="Z290">
        <v>2</v>
      </c>
      <c r="AC290" t="s">
        <v>1065</v>
      </c>
      <c r="AF290">
        <v>95</v>
      </c>
      <c r="AG290">
        <v>175</v>
      </c>
      <c r="AH290">
        <f>IF([2]!Table1[[#This Row],[الوزن]]&lt;&gt;"",[2]!Table1[[#This Row],[الوزن]]-([2]!Table1[[#This Row],[الطول]]-100),"")</f>
        <v>-8</v>
      </c>
      <c r="AI290" t="s">
        <v>1066</v>
      </c>
      <c r="AN290" t="s">
        <v>733</v>
      </c>
    </row>
    <row r="291" spans="1:40" ht="18.75" customHeight="1" x14ac:dyDescent="0.3">
      <c r="A291" s="1">
        <v>2012130401553</v>
      </c>
      <c r="B291" t="s">
        <v>75</v>
      </c>
      <c r="C291" t="s">
        <v>1067</v>
      </c>
      <c r="D291" t="s">
        <v>717</v>
      </c>
      <c r="E291" t="s">
        <v>718</v>
      </c>
      <c r="F291">
        <v>147</v>
      </c>
      <c r="G291">
        <v>40936</v>
      </c>
      <c r="H291">
        <v>41406</v>
      </c>
      <c r="I291">
        <v>45292</v>
      </c>
      <c r="J291">
        <v>44867</v>
      </c>
      <c r="L291" t="s">
        <v>135</v>
      </c>
      <c r="M291" t="s">
        <v>136</v>
      </c>
      <c r="N291" t="s">
        <v>78</v>
      </c>
      <c r="O291" t="s">
        <v>1042</v>
      </c>
      <c r="P291" t="s">
        <v>49</v>
      </c>
      <c r="R291">
        <v>12</v>
      </c>
      <c r="S291">
        <v>1</v>
      </c>
      <c r="T291">
        <v>0</v>
      </c>
      <c r="U291" t="s">
        <v>1068</v>
      </c>
      <c r="V291" t="s">
        <v>1069</v>
      </c>
      <c r="W291">
        <v>29408012504339</v>
      </c>
      <c r="AC291" t="s">
        <v>1070</v>
      </c>
      <c r="AF291">
        <v>70</v>
      </c>
      <c r="AG291">
        <v>178</v>
      </c>
      <c r="AH291">
        <v>-8</v>
      </c>
      <c r="AJ291" t="s">
        <v>1071</v>
      </c>
    </row>
    <row r="292" spans="1:40" ht="18.75" customHeight="1" x14ac:dyDescent="0.3">
      <c r="A292" s="1">
        <v>2011138303034</v>
      </c>
      <c r="B292" t="s">
        <v>75</v>
      </c>
      <c r="C292" t="s">
        <v>1072</v>
      </c>
      <c r="D292" t="s">
        <v>725</v>
      </c>
      <c r="E292" t="s">
        <v>43</v>
      </c>
      <c r="F292">
        <v>145</v>
      </c>
      <c r="G292">
        <v>40558</v>
      </c>
      <c r="H292">
        <v>41030</v>
      </c>
      <c r="I292">
        <v>44743</v>
      </c>
      <c r="J292">
        <v>45966</v>
      </c>
      <c r="L292" t="s">
        <v>135</v>
      </c>
      <c r="M292" t="s">
        <v>726</v>
      </c>
      <c r="N292" t="s">
        <v>127</v>
      </c>
      <c r="P292" t="s">
        <v>49</v>
      </c>
      <c r="R292">
        <v>11</v>
      </c>
      <c r="S292">
        <v>0</v>
      </c>
      <c r="T292">
        <v>0</v>
      </c>
      <c r="U292" t="s">
        <v>1073</v>
      </c>
      <c r="V292" t="s">
        <v>1074</v>
      </c>
      <c r="W292">
        <v>29401011635559</v>
      </c>
      <c r="X292">
        <v>34335</v>
      </c>
      <c r="Y292" t="s">
        <v>103</v>
      </c>
      <c r="Z292">
        <v>2</v>
      </c>
      <c r="AC292" t="s">
        <v>1075</v>
      </c>
      <c r="AF292">
        <v>81</v>
      </c>
      <c r="AG292">
        <v>176</v>
      </c>
      <c r="AH292">
        <f>IF([2]!Table1[[#This Row],[الوزن]]&lt;&gt;"",[2]!Table1[[#This Row],[الوزن]]-([2]!Table1[[#This Row],[الطول]]-100),"")</f>
        <v>4</v>
      </c>
      <c r="AI292" t="s">
        <v>1076</v>
      </c>
      <c r="AN292" t="s">
        <v>733</v>
      </c>
    </row>
    <row r="293" spans="1:40" ht="18.75" customHeight="1" x14ac:dyDescent="0.3">
      <c r="A293" s="1">
        <v>2013138305052</v>
      </c>
      <c r="B293" t="s">
        <v>75</v>
      </c>
      <c r="C293" t="s">
        <v>1077</v>
      </c>
      <c r="D293" t="s">
        <v>725</v>
      </c>
      <c r="E293" t="s">
        <v>43</v>
      </c>
      <c r="F293">
        <v>150</v>
      </c>
      <c r="G293">
        <v>41510</v>
      </c>
      <c r="H293">
        <v>41982</v>
      </c>
      <c r="I293">
        <v>45658</v>
      </c>
      <c r="J293">
        <v>44507</v>
      </c>
      <c r="L293" t="s">
        <v>135</v>
      </c>
      <c r="M293" t="s">
        <v>726</v>
      </c>
      <c r="N293" t="s">
        <v>127</v>
      </c>
      <c r="O293" t="s">
        <v>1078</v>
      </c>
      <c r="Q293" t="s">
        <v>49</v>
      </c>
      <c r="R293">
        <v>5</v>
      </c>
      <c r="S293">
        <v>0</v>
      </c>
      <c r="T293">
        <v>0</v>
      </c>
      <c r="U293" t="s">
        <v>1079</v>
      </c>
      <c r="V293" t="s">
        <v>1080</v>
      </c>
      <c r="W293">
        <v>29308151802137</v>
      </c>
      <c r="X293">
        <v>34196</v>
      </c>
      <c r="Y293" t="s">
        <v>103</v>
      </c>
      <c r="Z293">
        <v>3</v>
      </c>
      <c r="AC293" t="s">
        <v>1081</v>
      </c>
      <c r="AF293">
        <v>90</v>
      </c>
      <c r="AG293">
        <v>186</v>
      </c>
      <c r="AH293">
        <f>IF([2]!Table1[[#This Row],[الوزن]]&lt;&gt;"",[2]!Table1[[#This Row],[الوزن]]-([2]!Table1[[#This Row],[الطول]]-100),"")</f>
        <v>9</v>
      </c>
      <c r="AI293" t="s">
        <v>1082</v>
      </c>
      <c r="AN293" t="s">
        <v>733</v>
      </c>
    </row>
    <row r="294" spans="1:40" ht="18.75" customHeight="1" x14ac:dyDescent="0.3">
      <c r="A294" s="1">
        <v>2015130402860</v>
      </c>
      <c r="B294" t="s">
        <v>106</v>
      </c>
      <c r="C294" t="s">
        <v>1083</v>
      </c>
      <c r="D294" t="s">
        <v>725</v>
      </c>
      <c r="E294" t="s">
        <v>43</v>
      </c>
      <c r="F294">
        <v>154</v>
      </c>
      <c r="G294">
        <v>42224</v>
      </c>
      <c r="H294">
        <v>42790</v>
      </c>
      <c r="I294">
        <v>44562</v>
      </c>
      <c r="J294">
        <v>45973</v>
      </c>
      <c r="L294" t="s">
        <v>135</v>
      </c>
      <c r="M294" t="s">
        <v>726</v>
      </c>
      <c r="N294" t="s">
        <v>78</v>
      </c>
      <c r="O294" t="s">
        <v>1084</v>
      </c>
      <c r="P294" t="s">
        <v>49</v>
      </c>
      <c r="R294">
        <v>0</v>
      </c>
      <c r="S294">
        <v>0</v>
      </c>
      <c r="T294">
        <v>0</v>
      </c>
      <c r="U294" t="s">
        <v>1085</v>
      </c>
      <c r="V294" t="s">
        <v>1086</v>
      </c>
      <c r="W294">
        <v>29610011716671</v>
      </c>
      <c r="X294">
        <v>35339</v>
      </c>
      <c r="Y294" t="s">
        <v>103</v>
      </c>
      <c r="Z294">
        <v>2</v>
      </c>
      <c r="AC294" t="s">
        <v>1087</v>
      </c>
      <c r="AF294">
        <v>84</v>
      </c>
      <c r="AG294">
        <v>175</v>
      </c>
      <c r="AH294">
        <f>IF([2]!Table1[[#This Row],[الوزن]]&lt;&gt;"",[2]!Table1[[#This Row],[الوزن]]-([2]!Table1[[#This Row],[الطول]]-100),"")</f>
        <v>-8</v>
      </c>
      <c r="AI294" t="s">
        <v>1088</v>
      </c>
      <c r="AN294" t="s">
        <v>733</v>
      </c>
    </row>
    <row r="295" spans="1:40" ht="18.75" customHeight="1" x14ac:dyDescent="0.3">
      <c r="A295" s="1">
        <v>2021138300724</v>
      </c>
      <c r="B295" t="s">
        <v>125</v>
      </c>
      <c r="C295" t="s">
        <v>1089</v>
      </c>
      <c r="D295" t="s">
        <v>717</v>
      </c>
      <c r="E295" t="s">
        <v>718</v>
      </c>
      <c r="F295">
        <v>160</v>
      </c>
      <c r="G295">
        <v>44215</v>
      </c>
      <c r="H295">
        <v>45197</v>
      </c>
      <c r="I295">
        <v>45197</v>
      </c>
      <c r="J295">
        <v>45226</v>
      </c>
      <c r="L295" t="s">
        <v>135</v>
      </c>
      <c r="M295" t="s">
        <v>136</v>
      </c>
      <c r="N295" t="s">
        <v>127</v>
      </c>
      <c r="O295" t="s">
        <v>1042</v>
      </c>
      <c r="P295" t="s">
        <v>49</v>
      </c>
      <c r="R295">
        <v>2</v>
      </c>
      <c r="S295">
        <v>0</v>
      </c>
      <c r="T295">
        <v>0</v>
      </c>
      <c r="U295" t="s">
        <v>1090</v>
      </c>
      <c r="V295" t="s">
        <v>1090</v>
      </c>
      <c r="W295">
        <v>30106160105892</v>
      </c>
      <c r="AC295" t="s">
        <v>1091</v>
      </c>
      <c r="AF295">
        <v>67</v>
      </c>
      <c r="AG295">
        <v>175</v>
      </c>
      <c r="AH295">
        <v>-8</v>
      </c>
    </row>
    <row r="296" spans="1:40" ht="18.75" customHeight="1" x14ac:dyDescent="0.3">
      <c r="A296" s="1">
        <v>2021138300922</v>
      </c>
      <c r="B296" t="s">
        <v>125</v>
      </c>
      <c r="C296" t="s">
        <v>1092</v>
      </c>
      <c r="D296" t="s">
        <v>717</v>
      </c>
      <c r="E296" t="s">
        <v>718</v>
      </c>
      <c r="F296">
        <v>160</v>
      </c>
      <c r="G296">
        <v>44215</v>
      </c>
      <c r="H296">
        <v>45197</v>
      </c>
      <c r="I296">
        <v>45197</v>
      </c>
      <c r="J296">
        <v>45216</v>
      </c>
      <c r="L296" t="s">
        <v>135</v>
      </c>
      <c r="M296" t="s">
        <v>136</v>
      </c>
      <c r="N296" t="s">
        <v>127</v>
      </c>
      <c r="O296" t="s">
        <v>1042</v>
      </c>
      <c r="P296" t="s">
        <v>49</v>
      </c>
      <c r="R296">
        <v>0</v>
      </c>
      <c r="S296">
        <v>0</v>
      </c>
      <c r="T296">
        <v>0</v>
      </c>
      <c r="U296" t="s">
        <v>1093</v>
      </c>
      <c r="V296" t="s">
        <v>1094</v>
      </c>
      <c r="W296">
        <v>30105211803171</v>
      </c>
      <c r="AC296" t="s">
        <v>1095</v>
      </c>
      <c r="AF296">
        <v>71</v>
      </c>
      <c r="AG296">
        <v>170</v>
      </c>
      <c r="AH296">
        <v>1</v>
      </c>
    </row>
    <row r="297" spans="1:40" ht="18.75" customHeight="1" x14ac:dyDescent="0.3">
      <c r="A297" s="1">
        <v>2012138317330</v>
      </c>
      <c r="B297" t="s">
        <v>75</v>
      </c>
      <c r="C297" t="s">
        <v>1096</v>
      </c>
      <c r="D297" t="s">
        <v>849</v>
      </c>
      <c r="E297" t="s">
        <v>850</v>
      </c>
      <c r="F297">
        <v>148</v>
      </c>
      <c r="G297">
        <v>41111</v>
      </c>
      <c r="H297">
        <v>41583</v>
      </c>
      <c r="I297">
        <v>45292</v>
      </c>
      <c r="J297">
        <v>44202</v>
      </c>
      <c r="L297" t="s">
        <v>88</v>
      </c>
      <c r="M297" t="s">
        <v>136</v>
      </c>
      <c r="N297" t="s">
        <v>127</v>
      </c>
      <c r="O297" t="s">
        <v>1097</v>
      </c>
      <c r="Q297" t="s">
        <v>49</v>
      </c>
      <c r="R297">
        <v>7</v>
      </c>
      <c r="S297">
        <v>2</v>
      </c>
      <c r="T297">
        <v>0</v>
      </c>
      <c r="U297" t="s">
        <v>1098</v>
      </c>
      <c r="W297">
        <v>29606061602814</v>
      </c>
      <c r="X297">
        <v>35222</v>
      </c>
      <c r="Y297" t="s">
        <v>51</v>
      </c>
      <c r="AF297">
        <v>82</v>
      </c>
      <c r="AG297">
        <v>180</v>
      </c>
      <c r="AH297">
        <v>2</v>
      </c>
      <c r="AN297" t="s">
        <v>145</v>
      </c>
    </row>
    <row r="298" spans="1:40" ht="18.75" customHeight="1" x14ac:dyDescent="0.3">
      <c r="A298" s="1">
        <v>2009138302099</v>
      </c>
      <c r="B298" t="s">
        <v>57</v>
      </c>
      <c r="C298" t="s">
        <v>1099</v>
      </c>
      <c r="D298" t="s">
        <v>1100</v>
      </c>
      <c r="E298" t="s">
        <v>43</v>
      </c>
      <c r="AH298" t="str">
        <f>IF([2]!Table1[[#This Row],[الوزن]]&lt;&gt;"",[2]!Table1[[#This Row],[الوزن]]-([2]!Table1[[#This Row],[الطول]]-100),"")</f>
        <v/>
      </c>
    </row>
    <row r="299" spans="1:40" ht="18.75" customHeight="1" x14ac:dyDescent="0.3">
      <c r="A299" s="1">
        <v>2011138309785</v>
      </c>
      <c r="B299" t="s">
        <v>75</v>
      </c>
      <c r="C299" t="s">
        <v>1101</v>
      </c>
      <c r="D299" t="s">
        <v>1100</v>
      </c>
      <c r="E299" t="s">
        <v>43</v>
      </c>
      <c r="AH299" t="str">
        <f>IF([2]!Table1[[#This Row],[الوزن]]&lt;&gt;"",[2]!Table1[[#This Row],[الوزن]]-([2]!Table1[[#This Row],[الطول]]-100),"")</f>
        <v/>
      </c>
    </row>
    <row r="300" spans="1:40" ht="18.75" customHeight="1" x14ac:dyDescent="0.3">
      <c r="A300" s="1">
        <v>2013138307503</v>
      </c>
      <c r="B300" t="s">
        <v>75</v>
      </c>
      <c r="C300" t="s">
        <v>1102</v>
      </c>
      <c r="D300" t="s">
        <v>1100</v>
      </c>
      <c r="E300" t="s">
        <v>43</v>
      </c>
      <c r="AH300">
        <f>IF([2]!Table1[[#This Row],[الوزن]]&lt;&gt;"",[2]!Table1[[#This Row],[الوزن]]-([2]!Table1[[#This Row],[الطول]]-100),"")</f>
        <v>-2</v>
      </c>
    </row>
    <row r="301" spans="1:40" ht="18.75" customHeight="1" x14ac:dyDescent="0.3">
      <c r="A301" s="1">
        <v>2003138302009</v>
      </c>
      <c r="B301" t="s">
        <v>210</v>
      </c>
      <c r="C301" t="s">
        <v>1103</v>
      </c>
      <c r="D301" t="s">
        <v>1104</v>
      </c>
      <c r="E301" t="s">
        <v>43</v>
      </c>
      <c r="F301">
        <v>129</v>
      </c>
      <c r="G301">
        <v>37639</v>
      </c>
      <c r="H301">
        <v>38111</v>
      </c>
      <c r="I301">
        <v>45474</v>
      </c>
      <c r="J301">
        <v>45967</v>
      </c>
      <c r="L301" t="s">
        <v>135</v>
      </c>
      <c r="M301" t="s">
        <v>817</v>
      </c>
      <c r="N301" t="s">
        <v>127</v>
      </c>
      <c r="O301" t="s">
        <v>1105</v>
      </c>
      <c r="Q301" t="s">
        <v>49</v>
      </c>
      <c r="R301">
        <v>11</v>
      </c>
      <c r="S301">
        <v>1</v>
      </c>
      <c r="T301">
        <v>0</v>
      </c>
      <c r="U301" t="s">
        <v>1106</v>
      </c>
      <c r="W301">
        <v>28301102503037</v>
      </c>
      <c r="X301">
        <v>30326</v>
      </c>
      <c r="Y301" t="s">
        <v>786</v>
      </c>
      <c r="Z301">
        <v>5</v>
      </c>
      <c r="AA301">
        <v>2</v>
      </c>
      <c r="AB301">
        <v>3</v>
      </c>
      <c r="AC301" t="s">
        <v>43</v>
      </c>
      <c r="AD301" t="s">
        <v>1107</v>
      </c>
      <c r="AF301">
        <v>73</v>
      </c>
      <c r="AG301">
        <v>175</v>
      </c>
      <c r="AH301">
        <f>IF([2]!Table1[[#This Row],[الوزن]]&lt;&gt;"",[2]!Table1[[#This Row],[الوزن]]-([2]!Table1[[#This Row],[الطول]]-100),"")</f>
        <v>0</v>
      </c>
      <c r="AI301" t="s">
        <v>1108</v>
      </c>
      <c r="AN301" t="s">
        <v>145</v>
      </c>
    </row>
    <row r="302" spans="1:40" ht="18.75" customHeight="1" x14ac:dyDescent="0.3">
      <c r="A302" s="1">
        <v>2004138302908</v>
      </c>
      <c r="B302" t="s">
        <v>210</v>
      </c>
      <c r="C302" t="s">
        <v>1109</v>
      </c>
      <c r="D302" t="s">
        <v>1104</v>
      </c>
      <c r="E302" t="s">
        <v>43</v>
      </c>
      <c r="F302">
        <v>131</v>
      </c>
      <c r="G302">
        <v>38185</v>
      </c>
      <c r="H302">
        <v>38667</v>
      </c>
      <c r="I302">
        <v>46023</v>
      </c>
      <c r="J302">
        <v>45249</v>
      </c>
      <c r="L302" t="s">
        <v>135</v>
      </c>
      <c r="M302" t="s">
        <v>817</v>
      </c>
      <c r="N302" t="s">
        <v>127</v>
      </c>
      <c r="O302" t="s">
        <v>1105</v>
      </c>
      <c r="P302" t="s">
        <v>49</v>
      </c>
      <c r="R302">
        <v>7</v>
      </c>
      <c r="S302">
        <v>0</v>
      </c>
      <c r="T302">
        <v>0</v>
      </c>
      <c r="U302" t="s">
        <v>1110</v>
      </c>
      <c r="W302">
        <v>28208171700871</v>
      </c>
      <c r="X302">
        <v>30150</v>
      </c>
      <c r="Y302" t="s">
        <v>103</v>
      </c>
      <c r="Z302">
        <v>4</v>
      </c>
      <c r="AA302">
        <v>2</v>
      </c>
      <c r="AB302">
        <v>2</v>
      </c>
      <c r="AC302" t="s">
        <v>167</v>
      </c>
      <c r="AD302" t="s">
        <v>1111</v>
      </c>
      <c r="AF302">
        <v>90</v>
      </c>
      <c r="AG302">
        <v>190</v>
      </c>
      <c r="AH302" t="str">
        <f>IF([2]!Table1[[#This Row],[الوزن]]&lt;&gt;"",[2]!Table1[[#This Row],[الوزن]]-([2]!Table1[[#This Row],[الطول]]-100),"")</f>
        <v/>
      </c>
      <c r="AI302" t="s">
        <v>1112</v>
      </c>
      <c r="AN302" t="s">
        <v>145</v>
      </c>
    </row>
    <row r="303" spans="1:40" ht="18.75" customHeight="1" x14ac:dyDescent="0.3">
      <c r="A303" s="1">
        <v>2015138321195</v>
      </c>
      <c r="B303" t="s">
        <v>106</v>
      </c>
      <c r="C303" t="s">
        <v>1113</v>
      </c>
      <c r="D303" t="s">
        <v>1104</v>
      </c>
      <c r="E303" t="s">
        <v>43</v>
      </c>
      <c r="F303">
        <v>155</v>
      </c>
      <c r="G303">
        <v>42369</v>
      </c>
      <c r="H303">
        <v>42932</v>
      </c>
      <c r="I303">
        <v>44927</v>
      </c>
      <c r="L303" t="s">
        <v>135</v>
      </c>
      <c r="M303" t="s">
        <v>812</v>
      </c>
      <c r="N303" t="s">
        <v>127</v>
      </c>
      <c r="O303" t="s">
        <v>1114</v>
      </c>
      <c r="P303" t="s">
        <v>49</v>
      </c>
      <c r="R303">
        <v>4</v>
      </c>
      <c r="S303">
        <v>0</v>
      </c>
      <c r="T303">
        <v>0</v>
      </c>
      <c r="U303">
        <v>1021229898</v>
      </c>
      <c r="W303">
        <v>29909232502212</v>
      </c>
      <c r="X303">
        <v>36426</v>
      </c>
      <c r="Y303" t="s">
        <v>51</v>
      </c>
      <c r="Z303">
        <v>1</v>
      </c>
      <c r="AC303" t="s">
        <v>43</v>
      </c>
      <c r="AD303" t="s">
        <v>123</v>
      </c>
      <c r="AH303">
        <f>IF([2]!Table1[[#This Row],[الوزن]]&lt;&gt;"",[2]!Table1[[#This Row],[الوزن]]-([2]!Table1[[#This Row],[الطول]]-100),"")</f>
        <v>0</v>
      </c>
    </row>
    <row r="304" spans="1:40" ht="18.75" customHeight="1" x14ac:dyDescent="0.3">
      <c r="A304" s="1">
        <v>2001138300445</v>
      </c>
      <c r="B304" t="s">
        <v>210</v>
      </c>
      <c r="C304" t="s">
        <v>1115</v>
      </c>
      <c r="D304" t="s">
        <v>1116</v>
      </c>
      <c r="E304" t="s">
        <v>43</v>
      </c>
      <c r="F304">
        <v>125</v>
      </c>
      <c r="G304">
        <v>36915</v>
      </c>
      <c r="H304">
        <v>37377</v>
      </c>
      <c r="I304">
        <v>44927</v>
      </c>
      <c r="J304">
        <v>44276</v>
      </c>
      <c r="L304" t="s">
        <v>135</v>
      </c>
      <c r="M304" t="s">
        <v>812</v>
      </c>
      <c r="N304" t="s">
        <v>127</v>
      </c>
      <c r="O304" t="s">
        <v>1105</v>
      </c>
      <c r="Q304" t="s">
        <v>49</v>
      </c>
      <c r="R304">
        <v>3</v>
      </c>
      <c r="S304">
        <v>1</v>
      </c>
      <c r="T304">
        <v>0</v>
      </c>
      <c r="U304" t="s">
        <v>1117</v>
      </c>
      <c r="V304" t="s">
        <v>1118</v>
      </c>
      <c r="W304">
        <v>28203211703273</v>
      </c>
      <c r="X304">
        <v>30031</v>
      </c>
      <c r="Y304" t="s">
        <v>103</v>
      </c>
      <c r="Z304">
        <v>4</v>
      </c>
      <c r="AA304">
        <v>2</v>
      </c>
      <c r="AB304">
        <v>2</v>
      </c>
      <c r="AC304" t="s">
        <v>167</v>
      </c>
      <c r="AD304" t="s">
        <v>1119</v>
      </c>
      <c r="AF304">
        <v>90</v>
      </c>
      <c r="AG304">
        <v>190</v>
      </c>
      <c r="AH304">
        <f>IF([2]!Table1[[#This Row],[الوزن]]&lt;&gt;"",[2]!Table1[[#This Row],[الوزن]]-([2]!Table1[[#This Row],[الطول]]-100),"")</f>
        <v>-15</v>
      </c>
      <c r="AI304" t="s">
        <v>1120</v>
      </c>
      <c r="AN304" t="s">
        <v>145</v>
      </c>
    </row>
    <row r="305" spans="1:40" ht="18.75" customHeight="1" x14ac:dyDescent="0.3">
      <c r="A305" s="1">
        <v>2003138302231</v>
      </c>
      <c r="B305" t="s">
        <v>210</v>
      </c>
      <c r="C305" t="s">
        <v>1121</v>
      </c>
      <c r="D305" t="s">
        <v>1116</v>
      </c>
      <c r="E305" t="s">
        <v>43</v>
      </c>
      <c r="F305">
        <v>130</v>
      </c>
      <c r="G305">
        <v>37639</v>
      </c>
      <c r="H305">
        <v>38111</v>
      </c>
      <c r="I305">
        <v>45474</v>
      </c>
      <c r="J305">
        <v>43410</v>
      </c>
      <c r="L305" t="s">
        <v>135</v>
      </c>
      <c r="M305" t="s">
        <v>817</v>
      </c>
      <c r="N305" t="s">
        <v>127</v>
      </c>
      <c r="O305" t="s">
        <v>1105</v>
      </c>
      <c r="Q305" t="s">
        <v>49</v>
      </c>
      <c r="R305">
        <v>6</v>
      </c>
      <c r="S305">
        <v>0</v>
      </c>
      <c r="T305">
        <v>0</v>
      </c>
      <c r="U305" t="s">
        <v>1122</v>
      </c>
      <c r="W305">
        <v>28312201701853</v>
      </c>
      <c r="X305">
        <v>30670</v>
      </c>
      <c r="Y305" t="s">
        <v>786</v>
      </c>
      <c r="Z305">
        <v>3</v>
      </c>
      <c r="AA305">
        <v>2</v>
      </c>
      <c r="AB305">
        <v>1</v>
      </c>
      <c r="AC305" t="s">
        <v>167</v>
      </c>
      <c r="AD305" t="s">
        <v>1123</v>
      </c>
      <c r="AF305">
        <v>70</v>
      </c>
      <c r="AG305">
        <v>185</v>
      </c>
      <c r="AH305">
        <f>IF([2]!Table1[[#This Row],[الوزن]]&lt;&gt;"",[2]!Table1[[#This Row],[الوزن]]-([2]!Table1[[#This Row],[الطول]]-100),"")</f>
        <v>10</v>
      </c>
      <c r="AI305" t="s">
        <v>1124</v>
      </c>
      <c r="AN305" t="s">
        <v>145</v>
      </c>
    </row>
    <row r="306" spans="1:40" ht="18.75" customHeight="1" x14ac:dyDescent="0.3">
      <c r="A306" s="1">
        <v>2003138302562</v>
      </c>
      <c r="B306" t="s">
        <v>210</v>
      </c>
      <c r="C306" t="s">
        <v>1125</v>
      </c>
      <c r="D306" t="s">
        <v>1116</v>
      </c>
      <c r="E306" t="s">
        <v>43</v>
      </c>
      <c r="F306">
        <v>130</v>
      </c>
      <c r="G306">
        <v>37639</v>
      </c>
      <c r="H306">
        <v>38111</v>
      </c>
      <c r="I306">
        <v>45474</v>
      </c>
      <c r="J306">
        <v>42372</v>
      </c>
      <c r="L306" t="s">
        <v>135</v>
      </c>
      <c r="M306" t="s">
        <v>136</v>
      </c>
      <c r="N306" t="s">
        <v>127</v>
      </c>
      <c r="O306" t="s">
        <v>1105</v>
      </c>
      <c r="P306" t="s">
        <v>49</v>
      </c>
      <c r="R306">
        <v>13</v>
      </c>
      <c r="S306">
        <v>0</v>
      </c>
      <c r="T306">
        <v>0</v>
      </c>
      <c r="U306" t="s">
        <v>1126</v>
      </c>
      <c r="W306">
        <v>28402181601635</v>
      </c>
      <c r="X306">
        <v>30730</v>
      </c>
      <c r="Y306" t="s">
        <v>103</v>
      </c>
      <c r="Z306">
        <v>4</v>
      </c>
      <c r="AA306">
        <v>2</v>
      </c>
      <c r="AB306">
        <v>2</v>
      </c>
      <c r="AC306" t="s">
        <v>1127</v>
      </c>
      <c r="AD306" t="s">
        <v>1128</v>
      </c>
      <c r="AF306">
        <v>90</v>
      </c>
      <c r="AG306">
        <v>180</v>
      </c>
      <c r="AH306">
        <f>IF([2]!Table1[[#This Row],[الوزن]]&lt;&gt;"",[2]!Table1[[#This Row],[الوزن]]-([2]!Table1[[#This Row],[الطول]]-100),"")</f>
        <v>-15</v>
      </c>
      <c r="AI306" t="s">
        <v>1129</v>
      </c>
      <c r="AN306" t="s">
        <v>145</v>
      </c>
    </row>
    <row r="307" spans="1:40" ht="18.75" customHeight="1" x14ac:dyDescent="0.3">
      <c r="A307" s="1">
        <v>2004138300613</v>
      </c>
      <c r="B307" t="s">
        <v>210</v>
      </c>
      <c r="C307" t="s">
        <v>1130</v>
      </c>
      <c r="D307" t="s">
        <v>1116</v>
      </c>
      <c r="E307" t="s">
        <v>43</v>
      </c>
      <c r="F307">
        <v>131</v>
      </c>
      <c r="G307">
        <v>38003</v>
      </c>
      <c r="H307">
        <v>38475</v>
      </c>
      <c r="I307">
        <v>46023</v>
      </c>
      <c r="J307">
        <v>44496</v>
      </c>
      <c r="L307" t="s">
        <v>135</v>
      </c>
      <c r="M307" t="s">
        <v>817</v>
      </c>
      <c r="N307" t="s">
        <v>127</v>
      </c>
      <c r="O307" t="s">
        <v>1105</v>
      </c>
      <c r="Q307" t="s">
        <v>49</v>
      </c>
      <c r="R307">
        <v>3</v>
      </c>
      <c r="S307">
        <v>2</v>
      </c>
      <c r="T307">
        <v>0</v>
      </c>
      <c r="U307">
        <v>1024036545</v>
      </c>
      <c r="W307">
        <v>28509102500534</v>
      </c>
      <c r="X307">
        <v>31300</v>
      </c>
      <c r="Y307" t="s">
        <v>103</v>
      </c>
      <c r="Z307">
        <v>2</v>
      </c>
      <c r="AA307">
        <v>1</v>
      </c>
      <c r="AB307">
        <v>1</v>
      </c>
      <c r="AC307" t="s">
        <v>43</v>
      </c>
      <c r="AD307" t="s">
        <v>225</v>
      </c>
      <c r="AF307">
        <v>70</v>
      </c>
      <c r="AG307">
        <v>185</v>
      </c>
      <c r="AH307">
        <f>IF([2]!Table1[[#This Row],[الوزن]]&lt;&gt;"",[2]!Table1[[#This Row],[الوزن]]-([2]!Table1[[#This Row],[الطول]]-100),"")</f>
        <v>12</v>
      </c>
      <c r="AI307" t="s">
        <v>1131</v>
      </c>
      <c r="AN307" t="s">
        <v>145</v>
      </c>
    </row>
    <row r="308" spans="1:40" ht="18.75" customHeight="1" x14ac:dyDescent="0.3">
      <c r="A308" s="1">
        <v>2004138300621</v>
      </c>
      <c r="B308" t="s">
        <v>210</v>
      </c>
      <c r="C308" t="s">
        <v>1132</v>
      </c>
      <c r="D308" t="s">
        <v>1116</v>
      </c>
      <c r="E308" t="s">
        <v>43</v>
      </c>
      <c r="F308">
        <v>130</v>
      </c>
      <c r="G308">
        <v>38003</v>
      </c>
      <c r="H308">
        <v>38475</v>
      </c>
      <c r="I308">
        <v>45839</v>
      </c>
      <c r="J308">
        <v>44874</v>
      </c>
      <c r="L308" t="s">
        <v>135</v>
      </c>
      <c r="M308" t="s">
        <v>817</v>
      </c>
      <c r="N308" t="s">
        <v>127</v>
      </c>
      <c r="O308" t="s">
        <v>1105</v>
      </c>
      <c r="Q308" t="s">
        <v>49</v>
      </c>
      <c r="R308">
        <v>6</v>
      </c>
      <c r="S308">
        <v>0</v>
      </c>
      <c r="T308">
        <v>0</v>
      </c>
      <c r="U308" t="s">
        <v>1133</v>
      </c>
      <c r="W308">
        <v>28510012604274</v>
      </c>
      <c r="X308">
        <v>31321</v>
      </c>
      <c r="Y308" t="s">
        <v>786</v>
      </c>
      <c r="Z308">
        <v>5</v>
      </c>
      <c r="AA308">
        <v>3</v>
      </c>
      <c r="AB308">
        <v>2</v>
      </c>
      <c r="AC308" t="s">
        <v>93</v>
      </c>
      <c r="AD308" t="s">
        <v>1134</v>
      </c>
      <c r="AF308">
        <v>90</v>
      </c>
      <c r="AG308">
        <v>178</v>
      </c>
      <c r="AH308">
        <f>IF([2]!Table1[[#This Row],[الوزن]]&lt;&gt;"",[2]!Table1[[#This Row],[الوزن]]-([2]!Table1[[#This Row],[الطول]]-100),"")</f>
        <v>12</v>
      </c>
      <c r="AI308" t="s">
        <v>1135</v>
      </c>
      <c r="AN308" t="s">
        <v>145</v>
      </c>
    </row>
    <row r="309" spans="1:40" ht="18.75" customHeight="1" x14ac:dyDescent="0.3">
      <c r="A309" s="1">
        <v>2007135200282</v>
      </c>
      <c r="B309" t="s">
        <v>57</v>
      </c>
      <c r="C309" t="s">
        <v>1136</v>
      </c>
      <c r="D309" t="s">
        <v>1116</v>
      </c>
      <c r="E309" t="s">
        <v>43</v>
      </c>
      <c r="F309">
        <v>136</v>
      </c>
      <c r="G309">
        <v>39284</v>
      </c>
      <c r="H309">
        <v>39758</v>
      </c>
      <c r="I309">
        <v>45292</v>
      </c>
      <c r="J309">
        <v>46019</v>
      </c>
      <c r="L309" t="s">
        <v>135</v>
      </c>
      <c r="M309" t="s">
        <v>817</v>
      </c>
      <c r="N309" t="s">
        <v>127</v>
      </c>
      <c r="O309" t="s">
        <v>1105</v>
      </c>
      <c r="Q309" t="s">
        <v>49</v>
      </c>
      <c r="R309">
        <v>9</v>
      </c>
      <c r="S309">
        <v>0</v>
      </c>
      <c r="T309">
        <v>0</v>
      </c>
      <c r="U309" t="s">
        <v>1137</v>
      </c>
      <c r="W309">
        <v>29102122100495</v>
      </c>
      <c r="X309">
        <v>33281</v>
      </c>
      <c r="Y309" t="s">
        <v>103</v>
      </c>
      <c r="Z309">
        <v>5</v>
      </c>
      <c r="AA309">
        <v>3</v>
      </c>
      <c r="AB309">
        <v>2</v>
      </c>
      <c r="AC309" t="s">
        <v>1138</v>
      </c>
      <c r="AD309" t="s">
        <v>1139</v>
      </c>
      <c r="AF309">
        <v>90</v>
      </c>
      <c r="AG309">
        <v>178</v>
      </c>
      <c r="AH309">
        <f>IF([2]!Table1[[#This Row],[الوزن]]&lt;&gt;"",[2]!Table1[[#This Row],[الوزن]]-([2]!Table1[[#This Row],[الطول]]-100),"")</f>
        <v>0</v>
      </c>
      <c r="AI309" t="s">
        <v>1140</v>
      </c>
      <c r="AN309" t="s">
        <v>145</v>
      </c>
    </row>
    <row r="310" spans="1:40" ht="18.75" customHeight="1" x14ac:dyDescent="0.3">
      <c r="A310" s="1">
        <v>2007138309205</v>
      </c>
      <c r="B310" t="s">
        <v>57</v>
      </c>
      <c r="C310" t="s">
        <v>1141</v>
      </c>
      <c r="D310" t="s">
        <v>1116</v>
      </c>
      <c r="E310" t="s">
        <v>43</v>
      </c>
      <c r="F310">
        <v>136</v>
      </c>
      <c r="G310">
        <v>39284</v>
      </c>
      <c r="H310">
        <v>39769</v>
      </c>
      <c r="I310">
        <v>45292</v>
      </c>
      <c r="J310">
        <v>45588</v>
      </c>
      <c r="L310" t="s">
        <v>135</v>
      </c>
      <c r="M310" t="s">
        <v>817</v>
      </c>
      <c r="N310" t="s">
        <v>127</v>
      </c>
      <c r="O310" t="s">
        <v>1105</v>
      </c>
      <c r="Q310" t="s">
        <v>49</v>
      </c>
      <c r="R310">
        <v>3</v>
      </c>
      <c r="S310">
        <v>0</v>
      </c>
      <c r="T310">
        <v>0</v>
      </c>
      <c r="U310" t="s">
        <v>1142</v>
      </c>
      <c r="W310">
        <v>28709271801712</v>
      </c>
      <c r="X310">
        <v>32021</v>
      </c>
      <c r="Y310" t="s">
        <v>103</v>
      </c>
      <c r="Z310">
        <v>3</v>
      </c>
      <c r="AA310">
        <v>2</v>
      </c>
      <c r="AB310">
        <v>1</v>
      </c>
      <c r="AC310" t="s">
        <v>54</v>
      </c>
      <c r="AD310" t="s">
        <v>738</v>
      </c>
      <c r="AF310">
        <v>80</v>
      </c>
      <c r="AG310">
        <v>180</v>
      </c>
      <c r="AH310">
        <f>IF([2]!Table1[[#This Row],[الوزن]]&lt;&gt;"",[2]!Table1[[#This Row],[الوزن]]-([2]!Table1[[#This Row],[الطول]]-100),"")</f>
        <v>10</v>
      </c>
      <c r="AI310" t="s">
        <v>1143</v>
      </c>
      <c r="AN310" t="s">
        <v>145</v>
      </c>
    </row>
    <row r="311" spans="1:40" ht="18.75" customHeight="1" x14ac:dyDescent="0.3">
      <c r="A311" s="1">
        <v>2012130402337</v>
      </c>
      <c r="B311" t="s">
        <v>75</v>
      </c>
      <c r="C311" t="s">
        <v>1144</v>
      </c>
      <c r="D311" t="s">
        <v>1116</v>
      </c>
      <c r="E311" t="s">
        <v>43</v>
      </c>
      <c r="F311">
        <v>147</v>
      </c>
      <c r="G311">
        <v>40936</v>
      </c>
      <c r="H311">
        <v>41406</v>
      </c>
      <c r="I311">
        <v>45108</v>
      </c>
      <c r="J311">
        <v>45591</v>
      </c>
      <c r="L311" t="s">
        <v>135</v>
      </c>
      <c r="M311" t="s">
        <v>158</v>
      </c>
      <c r="N311" t="s">
        <v>78</v>
      </c>
      <c r="O311" t="s">
        <v>114</v>
      </c>
      <c r="P311" t="s">
        <v>49</v>
      </c>
      <c r="R311">
        <v>3</v>
      </c>
      <c r="S311">
        <v>0</v>
      </c>
      <c r="T311">
        <v>0</v>
      </c>
      <c r="U311" t="s">
        <v>1145</v>
      </c>
      <c r="W311">
        <v>29106061500792</v>
      </c>
      <c r="X311">
        <v>33395</v>
      </c>
      <c r="Y311" t="s">
        <v>103</v>
      </c>
      <c r="Z311">
        <v>2</v>
      </c>
      <c r="AA311">
        <v>1</v>
      </c>
      <c r="AB311">
        <v>1</v>
      </c>
      <c r="AC311" t="s">
        <v>242</v>
      </c>
      <c r="AD311" t="s">
        <v>1146</v>
      </c>
      <c r="AF311">
        <v>90</v>
      </c>
      <c r="AG311">
        <v>180</v>
      </c>
      <c r="AH311">
        <f>IF([2]!Table1[[#This Row],[الوزن]]&lt;&gt;"",[2]!Table1[[#This Row],[الوزن]]-([2]!Table1[[#This Row],[الطول]]-100),"")</f>
        <v>5</v>
      </c>
      <c r="AI311" t="s">
        <v>1147</v>
      </c>
      <c r="AN311" t="s">
        <v>145</v>
      </c>
    </row>
    <row r="312" spans="1:40" ht="18.75" customHeight="1" x14ac:dyDescent="0.3">
      <c r="A312" s="1">
        <v>2012138304139</v>
      </c>
      <c r="B312" t="s">
        <v>75</v>
      </c>
      <c r="C312" t="s">
        <v>1148</v>
      </c>
      <c r="D312" t="s">
        <v>1116</v>
      </c>
      <c r="E312" t="s">
        <v>43</v>
      </c>
      <c r="F312">
        <v>147</v>
      </c>
      <c r="G312">
        <v>40936</v>
      </c>
      <c r="H312">
        <v>41407</v>
      </c>
      <c r="I312">
        <v>45108</v>
      </c>
      <c r="J312">
        <v>45224</v>
      </c>
      <c r="L312" t="s">
        <v>135</v>
      </c>
      <c r="M312" t="s">
        <v>817</v>
      </c>
      <c r="N312" t="s">
        <v>127</v>
      </c>
      <c r="O312" t="s">
        <v>1149</v>
      </c>
      <c r="Q312" t="s">
        <v>49</v>
      </c>
      <c r="R312">
        <v>5</v>
      </c>
      <c r="S312">
        <v>0</v>
      </c>
      <c r="T312">
        <v>1</v>
      </c>
      <c r="U312" t="s">
        <v>1150</v>
      </c>
      <c r="W312">
        <v>28705021302235</v>
      </c>
      <c r="X312">
        <v>31899</v>
      </c>
      <c r="Y312" t="s">
        <v>153</v>
      </c>
      <c r="Z312">
        <v>0</v>
      </c>
      <c r="AA312">
        <v>0</v>
      </c>
      <c r="AB312">
        <v>0</v>
      </c>
      <c r="AC312" t="s">
        <v>64</v>
      </c>
      <c r="AD312" t="s">
        <v>746</v>
      </c>
      <c r="AF312">
        <v>80</v>
      </c>
      <c r="AG312">
        <v>175</v>
      </c>
      <c r="AH312">
        <f>IF([2]!Table1[[#This Row],[الوزن]]&lt;&gt;"",[2]!Table1[[#This Row],[الوزن]]-([2]!Table1[[#This Row],[الطول]]-100),"")</f>
        <v>-10</v>
      </c>
      <c r="AI312" t="s">
        <v>1151</v>
      </c>
      <c r="AN312" t="s">
        <v>145</v>
      </c>
    </row>
    <row r="313" spans="1:40" ht="18.75" customHeight="1" x14ac:dyDescent="0.3">
      <c r="A313" s="1">
        <v>2013138305151</v>
      </c>
      <c r="B313" t="s">
        <v>75</v>
      </c>
      <c r="C313" t="s">
        <v>1152</v>
      </c>
      <c r="D313" t="s">
        <v>1116</v>
      </c>
      <c r="E313" t="s">
        <v>43</v>
      </c>
      <c r="F313">
        <v>152</v>
      </c>
      <c r="G313">
        <v>41510</v>
      </c>
      <c r="H313">
        <v>42005</v>
      </c>
      <c r="I313">
        <v>45658</v>
      </c>
      <c r="J313">
        <v>44498</v>
      </c>
      <c r="L313" t="s">
        <v>135</v>
      </c>
      <c r="M313" t="s">
        <v>817</v>
      </c>
      <c r="N313" t="s">
        <v>127</v>
      </c>
      <c r="O313" t="s">
        <v>1149</v>
      </c>
      <c r="Q313" t="s">
        <v>49</v>
      </c>
      <c r="R313">
        <v>1</v>
      </c>
      <c r="S313">
        <v>0</v>
      </c>
      <c r="T313">
        <v>0</v>
      </c>
      <c r="U313" t="s">
        <v>1153</v>
      </c>
      <c r="W313">
        <v>29601311800976</v>
      </c>
      <c r="X313">
        <v>35095</v>
      </c>
      <c r="Y313" t="s">
        <v>103</v>
      </c>
      <c r="Z313">
        <v>2</v>
      </c>
      <c r="AA313">
        <v>0</v>
      </c>
      <c r="AB313">
        <v>1</v>
      </c>
      <c r="AC313" t="s">
        <v>54</v>
      </c>
      <c r="AD313" t="s">
        <v>1154</v>
      </c>
      <c r="AF313">
        <v>62</v>
      </c>
      <c r="AG313">
        <v>172</v>
      </c>
      <c r="AH313">
        <f>IF([2]!Table1[[#This Row],[الوزن]]&lt;&gt;"",[2]!Table1[[#This Row],[الوزن]]-([2]!Table1[[#This Row],[الطول]]-100),"")</f>
        <v>5</v>
      </c>
      <c r="AI313" t="s">
        <v>1155</v>
      </c>
      <c r="AN313" t="s">
        <v>145</v>
      </c>
    </row>
    <row r="314" spans="1:40" ht="18.75" customHeight="1" x14ac:dyDescent="0.3">
      <c r="A314" s="1">
        <v>2013138307595</v>
      </c>
      <c r="B314" t="s">
        <v>75</v>
      </c>
      <c r="C314" t="s">
        <v>1156</v>
      </c>
      <c r="D314" t="s">
        <v>1116</v>
      </c>
      <c r="E314" t="s">
        <v>43</v>
      </c>
      <c r="F314">
        <v>152</v>
      </c>
      <c r="G314">
        <v>41510</v>
      </c>
      <c r="H314">
        <v>41992</v>
      </c>
      <c r="I314">
        <v>45658</v>
      </c>
      <c r="J314">
        <v>45592</v>
      </c>
      <c r="L314" t="s">
        <v>135</v>
      </c>
      <c r="M314" t="s">
        <v>817</v>
      </c>
      <c r="N314" t="s">
        <v>127</v>
      </c>
      <c r="O314" t="s">
        <v>1149</v>
      </c>
      <c r="Q314" t="s">
        <v>49</v>
      </c>
      <c r="R314">
        <v>1</v>
      </c>
      <c r="S314">
        <v>0</v>
      </c>
      <c r="T314">
        <v>0</v>
      </c>
      <c r="U314" t="s">
        <v>1157</v>
      </c>
      <c r="W314">
        <v>2013138307595</v>
      </c>
      <c r="X314">
        <v>34226</v>
      </c>
      <c r="Y314" t="s">
        <v>103</v>
      </c>
      <c r="Z314">
        <v>2</v>
      </c>
      <c r="AA314">
        <v>1</v>
      </c>
      <c r="AB314">
        <v>1</v>
      </c>
      <c r="AC314" t="s">
        <v>43</v>
      </c>
      <c r="AD314" t="s">
        <v>1158</v>
      </c>
      <c r="AF314">
        <v>85</v>
      </c>
      <c r="AG314">
        <v>180</v>
      </c>
      <c r="AH314">
        <f>IF([2]!Table1[[#This Row],[الوزن]]&lt;&gt;"",[2]!Table1[[#This Row],[الوزن]]-([2]!Table1[[#This Row],[الطول]]-100),"")</f>
        <v>5</v>
      </c>
      <c r="AI314" t="s">
        <v>1159</v>
      </c>
      <c r="AN314" t="s">
        <v>145</v>
      </c>
    </row>
    <row r="315" spans="1:40" ht="18.75" customHeight="1" x14ac:dyDescent="0.3">
      <c r="A315" s="1">
        <v>2013138316687</v>
      </c>
      <c r="B315" t="s">
        <v>75</v>
      </c>
      <c r="C315" t="s">
        <v>1160</v>
      </c>
      <c r="D315" t="s">
        <v>1116</v>
      </c>
      <c r="E315" t="s">
        <v>43</v>
      </c>
      <c r="F315">
        <v>151</v>
      </c>
      <c r="G315">
        <v>41510</v>
      </c>
      <c r="H315">
        <v>42135</v>
      </c>
      <c r="I315">
        <v>45839</v>
      </c>
      <c r="J315">
        <v>45988</v>
      </c>
      <c r="L315" t="s">
        <v>135</v>
      </c>
      <c r="M315" t="s">
        <v>817</v>
      </c>
      <c r="N315" t="s">
        <v>127</v>
      </c>
      <c r="O315" t="s">
        <v>1149</v>
      </c>
      <c r="Q315" t="s">
        <v>49</v>
      </c>
      <c r="R315">
        <v>0</v>
      </c>
      <c r="S315">
        <v>0</v>
      </c>
      <c r="T315">
        <v>0</v>
      </c>
      <c r="U315" t="s">
        <v>1161</v>
      </c>
      <c r="W315">
        <v>29508011709292</v>
      </c>
      <c r="X315">
        <v>34921</v>
      </c>
      <c r="Y315" t="s">
        <v>51</v>
      </c>
      <c r="Z315">
        <v>0</v>
      </c>
      <c r="AA315">
        <v>0</v>
      </c>
      <c r="AB315">
        <v>0</v>
      </c>
      <c r="AC315" t="s">
        <v>167</v>
      </c>
      <c r="AD315" t="s">
        <v>1111</v>
      </c>
      <c r="AF315">
        <v>80</v>
      </c>
      <c r="AG315">
        <v>175</v>
      </c>
      <c r="AH315">
        <f>IF([2]!Table1[[#This Row],[الوزن]]&lt;&gt;"",[2]!Table1[[#This Row],[الوزن]]-([2]!Table1[[#This Row],[الطول]]-100),"")</f>
        <v>0</v>
      </c>
      <c r="AI315" t="s">
        <v>1162</v>
      </c>
      <c r="AN315" t="s">
        <v>145</v>
      </c>
    </row>
    <row r="316" spans="1:40" ht="18.75" customHeight="1" x14ac:dyDescent="0.3">
      <c r="A316" s="1">
        <v>2015130400533</v>
      </c>
      <c r="B316" t="s">
        <v>106</v>
      </c>
      <c r="C316" t="s">
        <v>1163</v>
      </c>
      <c r="D316" t="s">
        <v>1116</v>
      </c>
      <c r="E316" t="s">
        <v>43</v>
      </c>
      <c r="F316">
        <v>154</v>
      </c>
      <c r="G316">
        <v>42030</v>
      </c>
      <c r="H316">
        <v>42501</v>
      </c>
      <c r="I316">
        <v>44378</v>
      </c>
      <c r="J316">
        <v>44872</v>
      </c>
      <c r="L316" t="s">
        <v>135</v>
      </c>
      <c r="M316" t="s">
        <v>817</v>
      </c>
      <c r="N316" t="s">
        <v>127</v>
      </c>
      <c r="O316" t="s">
        <v>1149</v>
      </c>
      <c r="Q316" t="s">
        <v>49</v>
      </c>
      <c r="R316">
        <v>1</v>
      </c>
      <c r="S316">
        <v>0</v>
      </c>
      <c r="T316">
        <v>0</v>
      </c>
      <c r="U316" t="s">
        <v>1164</v>
      </c>
      <c r="W316">
        <v>29409081801856</v>
      </c>
      <c r="X316">
        <v>34585</v>
      </c>
      <c r="Y316" t="s">
        <v>103</v>
      </c>
      <c r="Z316">
        <v>1</v>
      </c>
      <c r="AA316">
        <v>1</v>
      </c>
      <c r="AB316">
        <v>0</v>
      </c>
      <c r="AC316" t="s">
        <v>54</v>
      </c>
      <c r="AD316" t="s">
        <v>1165</v>
      </c>
      <c r="AF316">
        <v>90</v>
      </c>
      <c r="AG316">
        <v>190</v>
      </c>
      <c r="AH316">
        <f>IF([2]!Table1[[#This Row],[الوزن]]&lt;&gt;"",[2]!Table1[[#This Row],[الوزن]]-([2]!Table1[[#This Row],[الطول]]-100),"")</f>
        <v>0</v>
      </c>
      <c r="AI316" t="s">
        <v>1166</v>
      </c>
      <c r="AN316" t="s">
        <v>145</v>
      </c>
    </row>
    <row r="317" spans="1:40" ht="18.75" customHeight="1" x14ac:dyDescent="0.3">
      <c r="A317" s="1">
        <v>2015138313423</v>
      </c>
      <c r="B317" t="s">
        <v>106</v>
      </c>
      <c r="C317" t="s">
        <v>1167</v>
      </c>
      <c r="D317" t="s">
        <v>1116</v>
      </c>
      <c r="E317" t="s">
        <v>43</v>
      </c>
      <c r="F317">
        <v>154</v>
      </c>
      <c r="G317">
        <v>42224</v>
      </c>
      <c r="H317">
        <v>42790</v>
      </c>
      <c r="I317">
        <v>44743</v>
      </c>
      <c r="J317">
        <v>44865</v>
      </c>
      <c r="L317" t="s">
        <v>135</v>
      </c>
      <c r="M317" t="s">
        <v>817</v>
      </c>
      <c r="N317" t="s">
        <v>127</v>
      </c>
      <c r="O317" t="s">
        <v>1149</v>
      </c>
      <c r="Q317" t="s">
        <v>49</v>
      </c>
      <c r="R317">
        <v>1</v>
      </c>
      <c r="S317">
        <v>0</v>
      </c>
      <c r="T317">
        <v>0</v>
      </c>
      <c r="U317" t="s">
        <v>1168</v>
      </c>
      <c r="W317">
        <v>29507041700111</v>
      </c>
      <c r="X317">
        <v>34884</v>
      </c>
      <c r="Y317" t="s">
        <v>103</v>
      </c>
      <c r="Z317">
        <v>1</v>
      </c>
      <c r="AA317">
        <v>1</v>
      </c>
      <c r="AB317">
        <v>0</v>
      </c>
      <c r="AC317" t="s">
        <v>167</v>
      </c>
      <c r="AD317" t="s">
        <v>397</v>
      </c>
      <c r="AF317">
        <v>90</v>
      </c>
      <c r="AG317">
        <v>190</v>
      </c>
      <c r="AH317">
        <f>IF([2]!Table1[[#This Row],[الوزن]]&lt;&gt;"",[2]!Table1[[#This Row],[الوزن]]-([2]!Table1[[#This Row],[الطول]]-100),"")</f>
        <v>10</v>
      </c>
      <c r="AI317" t="s">
        <v>1169</v>
      </c>
      <c r="AN317" t="s">
        <v>145</v>
      </c>
    </row>
    <row r="318" spans="1:40" ht="18.75" customHeight="1" x14ac:dyDescent="0.3">
      <c r="A318" s="1">
        <v>2016132400018</v>
      </c>
      <c r="B318" t="s">
        <v>106</v>
      </c>
      <c r="C318" t="s">
        <v>1170</v>
      </c>
      <c r="D318" t="s">
        <v>1116</v>
      </c>
      <c r="E318" t="s">
        <v>43</v>
      </c>
      <c r="F318">
        <v>156</v>
      </c>
      <c r="G318">
        <v>42575</v>
      </c>
      <c r="H318">
        <v>43321</v>
      </c>
      <c r="I318">
        <v>45292</v>
      </c>
      <c r="J318">
        <v>44880</v>
      </c>
      <c r="L318" t="s">
        <v>135</v>
      </c>
      <c r="M318" t="s">
        <v>1171</v>
      </c>
      <c r="N318" t="s">
        <v>1172</v>
      </c>
      <c r="O318" t="s">
        <v>1173</v>
      </c>
      <c r="Q318" t="s">
        <v>49</v>
      </c>
      <c r="R318">
        <v>6</v>
      </c>
      <c r="S318">
        <v>0</v>
      </c>
      <c r="T318">
        <v>0</v>
      </c>
      <c r="U318" t="s">
        <v>1174</v>
      </c>
      <c r="W318">
        <v>29904121400893</v>
      </c>
      <c r="X318">
        <v>36262</v>
      </c>
      <c r="Y318" t="s">
        <v>51</v>
      </c>
      <c r="Z318">
        <v>1</v>
      </c>
      <c r="AA318">
        <v>1</v>
      </c>
      <c r="AB318">
        <v>0</v>
      </c>
      <c r="AC318" t="s">
        <v>176</v>
      </c>
      <c r="AD318" t="s">
        <v>396</v>
      </c>
      <c r="AF318">
        <v>85</v>
      </c>
      <c r="AG318">
        <v>175</v>
      </c>
      <c r="AH318" t="str">
        <f>IF([2]!Table1[[#This Row],[الوزن]]&lt;&gt;"",[2]!Table1[[#This Row],[الوزن]]-([2]!Table1[[#This Row],[الطول]]-100),"")</f>
        <v/>
      </c>
      <c r="AI318" t="s">
        <v>1175</v>
      </c>
      <c r="AN318" t="s">
        <v>145</v>
      </c>
    </row>
    <row r="319" spans="1:40" ht="18.75" customHeight="1" x14ac:dyDescent="0.3">
      <c r="A319" s="1">
        <v>2002138300716</v>
      </c>
      <c r="B319" t="s">
        <v>210</v>
      </c>
      <c r="C319" t="s">
        <v>1176</v>
      </c>
      <c r="D319" t="s">
        <v>1177</v>
      </c>
      <c r="E319" t="s">
        <v>43</v>
      </c>
      <c r="AG319" t="s">
        <v>787</v>
      </c>
      <c r="AH319" t="str">
        <f>IF([2]!Table1[[#This Row],[الوزن]]&lt;&gt;"",[2]!Table1[[#This Row],[الوزن]]-([2]!Table1[[#This Row],[الطول]]-100),"")</f>
        <v/>
      </c>
    </row>
    <row r="320" spans="1:40" ht="18.75" customHeight="1" x14ac:dyDescent="0.3">
      <c r="A320" s="1">
        <v>2005132700164</v>
      </c>
      <c r="B320" t="s">
        <v>210</v>
      </c>
      <c r="C320" t="s">
        <v>1178</v>
      </c>
      <c r="D320" t="s">
        <v>1177</v>
      </c>
      <c r="E320" t="s">
        <v>43</v>
      </c>
      <c r="AG320" t="s">
        <v>787</v>
      </c>
      <c r="AH320" t="str">
        <f>IF([2]!Table1[[#This Row],[الوزن]]&lt;&gt;"",[2]!Table1[[#This Row],[الوزن]]-([2]!Table1[[#This Row],[الطول]]-100),"")</f>
        <v/>
      </c>
    </row>
    <row r="321" spans="1:34" ht="18.75" customHeight="1" x14ac:dyDescent="0.3">
      <c r="A321" s="1">
        <v>2008138302372</v>
      </c>
      <c r="B321" t="s">
        <v>57</v>
      </c>
      <c r="C321" t="s">
        <v>1179</v>
      </c>
      <c r="D321" t="s">
        <v>1177</v>
      </c>
      <c r="E321" t="s">
        <v>43</v>
      </c>
      <c r="AG321" t="s">
        <v>787</v>
      </c>
      <c r="AH321" t="str">
        <f>IF([2]!Table1[[#This Row],[الوزن]]&lt;&gt;"",[2]!Table1[[#This Row],[الوزن]]-([2]!Table1[[#This Row],[الطول]]-100),"")</f>
        <v/>
      </c>
    </row>
    <row r="322" spans="1:34" ht="18.75" customHeight="1" x14ac:dyDescent="0.3">
      <c r="A322" s="1">
        <v>2010132700444</v>
      </c>
      <c r="B322" t="s">
        <v>75</v>
      </c>
      <c r="C322" t="s">
        <v>1180</v>
      </c>
      <c r="D322" t="s">
        <v>1177</v>
      </c>
      <c r="E322" t="s">
        <v>43</v>
      </c>
      <c r="AG322" t="s">
        <v>787</v>
      </c>
      <c r="AH322" t="str">
        <f>IF([2]!Table1[[#This Row],[الوزن]]&lt;&gt;"",[2]!Table1[[#This Row],[الوزن]]-([2]!Table1[[#This Row],[الطول]]-100),"")</f>
        <v/>
      </c>
    </row>
    <row r="323" spans="1:34" ht="18.75" customHeight="1" x14ac:dyDescent="0.3">
      <c r="A323" s="1">
        <v>2012142701967</v>
      </c>
      <c r="B323" t="s">
        <v>57</v>
      </c>
      <c r="C323" t="s">
        <v>1181</v>
      </c>
      <c r="D323" t="s">
        <v>1177</v>
      </c>
      <c r="E323" t="s">
        <v>43</v>
      </c>
      <c r="AG323" t="s">
        <v>787</v>
      </c>
      <c r="AH323" t="str">
        <f>IF([2]!Table1[[#This Row],[الوزن]]&lt;&gt;"",[2]!Table1[[#This Row],[الوزن]]-([2]!Table1[[#This Row],[الطول]]-100),"")</f>
        <v/>
      </c>
    </row>
    <row r="324" spans="1:34" ht="18.75" customHeight="1" x14ac:dyDescent="0.3">
      <c r="A324" s="1">
        <v>2013132700315</v>
      </c>
      <c r="B324" t="s">
        <v>75</v>
      </c>
      <c r="C324" t="s">
        <v>1182</v>
      </c>
      <c r="D324" t="s">
        <v>1177</v>
      </c>
      <c r="E324" t="s">
        <v>43</v>
      </c>
      <c r="AG324" t="s">
        <v>787</v>
      </c>
      <c r="AH324" t="str">
        <f>IF([2]!Table1[[#This Row],[الوزن]]&lt;&gt;"",[2]!Table1[[#This Row],[الوزن]]-([2]!Table1[[#This Row],[الطول]]-100),"")</f>
        <v/>
      </c>
    </row>
    <row r="325" spans="1:34" ht="18.75" customHeight="1" x14ac:dyDescent="0.3">
      <c r="A325" s="1">
        <v>2013142701163</v>
      </c>
      <c r="B325" t="s">
        <v>75</v>
      </c>
      <c r="C325" t="s">
        <v>1183</v>
      </c>
      <c r="D325" t="s">
        <v>1177</v>
      </c>
      <c r="E325" t="s">
        <v>43</v>
      </c>
      <c r="AG325" t="s">
        <v>787</v>
      </c>
      <c r="AH325" t="str">
        <f>IF([2]!Table1[[#This Row],[الوزن]]&lt;&gt;"",[2]!Table1[[#This Row],[الوزن]]-([2]!Table1[[#This Row],[الطول]]-100),"")</f>
        <v/>
      </c>
    </row>
    <row r="326" spans="1:34" ht="18.75" customHeight="1" x14ac:dyDescent="0.3">
      <c r="A326" s="1">
        <v>2014142703555</v>
      </c>
      <c r="B326" t="s">
        <v>75</v>
      </c>
      <c r="C326" t="s">
        <v>1184</v>
      </c>
      <c r="D326" t="s">
        <v>1177</v>
      </c>
      <c r="E326" t="s">
        <v>43</v>
      </c>
      <c r="AG326" t="s">
        <v>787</v>
      </c>
      <c r="AH326" t="str">
        <f>IF([2]!Table1[[#This Row],[الوزن]]&lt;&gt;"",[2]!Table1[[#This Row],[الوزن]]-([2]!Table1[[#This Row],[الطول]]-100),"")</f>
        <v/>
      </c>
    </row>
    <row r="327" spans="1:34" ht="18.75" customHeight="1" x14ac:dyDescent="0.3">
      <c r="A327" s="1">
        <v>2014142703638</v>
      </c>
      <c r="B327" t="s">
        <v>75</v>
      </c>
      <c r="C327" t="s">
        <v>1185</v>
      </c>
      <c r="D327" t="s">
        <v>1177</v>
      </c>
      <c r="E327" t="s">
        <v>43</v>
      </c>
      <c r="AG327" t="s">
        <v>787</v>
      </c>
      <c r="AH327" t="str">
        <f>IF([2]!Table1[[#This Row],[الوزن]]&lt;&gt;"",[2]!Table1[[#This Row],[الوزن]]-([2]!Table1[[#This Row],[الطول]]-100),"")</f>
        <v/>
      </c>
    </row>
    <row r="328" spans="1:34" ht="18.75" customHeight="1" x14ac:dyDescent="0.3">
      <c r="A328" s="1">
        <v>2014142703646</v>
      </c>
      <c r="B328" t="s">
        <v>75</v>
      </c>
      <c r="C328" t="s">
        <v>1186</v>
      </c>
      <c r="D328" t="s">
        <v>1177</v>
      </c>
      <c r="E328" t="s">
        <v>43</v>
      </c>
      <c r="AG328" t="s">
        <v>787</v>
      </c>
      <c r="AH328" t="str">
        <f>IF([2]!Table1[[#This Row],[الوزن]]&lt;&gt;"",[2]!Table1[[#This Row],[الوزن]]-([2]!Table1[[#This Row],[الطول]]-100),"")</f>
        <v/>
      </c>
    </row>
    <row r="329" spans="1:34" ht="18.75" customHeight="1" x14ac:dyDescent="0.3">
      <c r="A329" s="1">
        <v>2014142703703</v>
      </c>
      <c r="B329" t="s">
        <v>75</v>
      </c>
      <c r="C329" t="s">
        <v>1187</v>
      </c>
      <c r="D329" t="s">
        <v>1177</v>
      </c>
      <c r="E329" t="s">
        <v>43</v>
      </c>
      <c r="AG329" t="s">
        <v>787</v>
      </c>
      <c r="AH329" t="str">
        <f>IF([2]!Table1[[#This Row],[الوزن]]&lt;&gt;"",[2]!Table1[[#This Row],[الوزن]]-([2]!Table1[[#This Row],[الطول]]-100),"")</f>
        <v/>
      </c>
    </row>
    <row r="330" spans="1:34" ht="18.75" customHeight="1" x14ac:dyDescent="0.3">
      <c r="A330" s="1">
        <v>2014142703711</v>
      </c>
      <c r="B330" t="s">
        <v>75</v>
      </c>
      <c r="C330" t="s">
        <v>1188</v>
      </c>
      <c r="D330" t="s">
        <v>1177</v>
      </c>
      <c r="E330" t="s">
        <v>43</v>
      </c>
      <c r="AG330" t="s">
        <v>787</v>
      </c>
      <c r="AH330" t="str">
        <f>IF([2]!Table1[[#This Row],[الوزن]]&lt;&gt;"",[2]!Table1[[#This Row],[الوزن]]-([2]!Table1[[#This Row],[الطول]]-100),"")</f>
        <v/>
      </c>
    </row>
    <row r="331" spans="1:34" ht="18.75" customHeight="1" x14ac:dyDescent="0.3">
      <c r="A331" s="1">
        <v>2014142703729</v>
      </c>
      <c r="B331" t="s">
        <v>75</v>
      </c>
      <c r="C331" t="s">
        <v>1189</v>
      </c>
      <c r="D331" t="s">
        <v>1177</v>
      </c>
      <c r="E331" t="s">
        <v>43</v>
      </c>
      <c r="AG331" t="s">
        <v>787</v>
      </c>
      <c r="AH331" t="str">
        <f>IF([2]!Table1[[#This Row],[الوزن]]&lt;&gt;"",[2]!Table1[[#This Row],[الوزن]]-([2]!Table1[[#This Row],[الطول]]-100),"")</f>
        <v/>
      </c>
    </row>
    <row r="332" spans="1:34" ht="18.75" customHeight="1" x14ac:dyDescent="0.3">
      <c r="A332" s="1">
        <v>2014142703761</v>
      </c>
      <c r="B332" t="s">
        <v>75</v>
      </c>
      <c r="C332" t="s">
        <v>1190</v>
      </c>
      <c r="D332" t="s">
        <v>1177</v>
      </c>
      <c r="E332" t="s">
        <v>43</v>
      </c>
      <c r="AG332" t="s">
        <v>787</v>
      </c>
      <c r="AH332" t="str">
        <f>IF([2]!Table1[[#This Row],[الوزن]]&lt;&gt;"",[2]!Table1[[#This Row],[الوزن]]-([2]!Table1[[#This Row],[الطول]]-100),"")</f>
        <v/>
      </c>
    </row>
    <row r="333" spans="1:34" ht="18.75" customHeight="1" x14ac:dyDescent="0.3">
      <c r="A333" s="1">
        <v>2014142703779</v>
      </c>
      <c r="B333" t="s">
        <v>75</v>
      </c>
      <c r="C333" t="s">
        <v>1191</v>
      </c>
      <c r="D333" t="s">
        <v>1177</v>
      </c>
      <c r="E333" t="s">
        <v>43</v>
      </c>
      <c r="AG333" t="s">
        <v>787</v>
      </c>
      <c r="AH333" t="str">
        <f>IF([2]!Table1[[#This Row],[الوزن]]&lt;&gt;"",[2]!Table1[[#This Row],[الوزن]]-([2]!Table1[[#This Row],[الطول]]-100),"")</f>
        <v/>
      </c>
    </row>
    <row r="334" spans="1:34" ht="18.75" customHeight="1" x14ac:dyDescent="0.3">
      <c r="A334" s="1">
        <v>2014142703795</v>
      </c>
      <c r="B334" t="s">
        <v>75</v>
      </c>
      <c r="C334" t="s">
        <v>1192</v>
      </c>
      <c r="D334" t="s">
        <v>1177</v>
      </c>
      <c r="E334" t="s">
        <v>43</v>
      </c>
      <c r="AG334" t="s">
        <v>787</v>
      </c>
      <c r="AH334" t="str">
        <f>IF([2]!Table1[[#This Row],[الوزن]]&lt;&gt;"",[2]!Table1[[#This Row],[الوزن]]-([2]!Table1[[#This Row],[الطول]]-100),"")</f>
        <v/>
      </c>
    </row>
    <row r="335" spans="1:34" ht="18.75" customHeight="1" x14ac:dyDescent="0.3">
      <c r="A335" s="1">
        <v>2014142703836</v>
      </c>
      <c r="B335" t="s">
        <v>75</v>
      </c>
      <c r="C335" t="s">
        <v>1193</v>
      </c>
      <c r="D335" t="s">
        <v>1177</v>
      </c>
      <c r="E335" t="s">
        <v>43</v>
      </c>
      <c r="AG335" t="s">
        <v>787</v>
      </c>
      <c r="AH335" t="str">
        <f>IF([2]!Table1[[#This Row],[الوزن]]&lt;&gt;"",[2]!Table1[[#This Row],[الوزن]]-([2]!Table1[[#This Row],[الطول]]-100),"")</f>
        <v/>
      </c>
    </row>
    <row r="336" spans="1:34" ht="18.75" customHeight="1" x14ac:dyDescent="0.3">
      <c r="A336" s="1">
        <v>2014142703901</v>
      </c>
      <c r="B336" t="s">
        <v>75</v>
      </c>
      <c r="C336" t="s">
        <v>1194</v>
      </c>
      <c r="D336" t="s">
        <v>1177</v>
      </c>
      <c r="E336" t="s">
        <v>43</v>
      </c>
      <c r="AG336" t="s">
        <v>787</v>
      </c>
      <c r="AH336" t="str">
        <f>IF([2]!Table1[[#This Row],[الوزن]]&lt;&gt;"",[2]!Table1[[#This Row],[الوزن]]-([2]!Table1[[#This Row],[الطول]]-100),"")</f>
        <v/>
      </c>
    </row>
    <row r="337" spans="1:34" ht="18.75" customHeight="1" x14ac:dyDescent="0.3">
      <c r="A337" s="1">
        <v>2014142703935</v>
      </c>
      <c r="B337" t="s">
        <v>75</v>
      </c>
      <c r="C337" t="s">
        <v>1195</v>
      </c>
      <c r="D337" t="s">
        <v>1177</v>
      </c>
      <c r="E337" t="s">
        <v>43</v>
      </c>
      <c r="AG337" t="s">
        <v>787</v>
      </c>
      <c r="AH337" t="str">
        <f>IF([2]!Table1[[#This Row],[الوزن]]&lt;&gt;"",[2]!Table1[[#This Row],[الوزن]]-([2]!Table1[[#This Row],[الطول]]-100),"")</f>
        <v/>
      </c>
    </row>
    <row r="338" spans="1:34" ht="18.75" customHeight="1" x14ac:dyDescent="0.3">
      <c r="A338" s="1">
        <v>2014142704008</v>
      </c>
      <c r="B338" t="s">
        <v>75</v>
      </c>
      <c r="C338" t="s">
        <v>1196</v>
      </c>
      <c r="D338" t="s">
        <v>1177</v>
      </c>
      <c r="E338" t="s">
        <v>43</v>
      </c>
      <c r="AG338" t="s">
        <v>787</v>
      </c>
      <c r="AH338" t="str">
        <f>IF([2]!Table1[[#This Row],[الوزن]]&lt;&gt;"",[2]!Table1[[#This Row],[الوزن]]-([2]!Table1[[#This Row],[الطول]]-100),"")</f>
        <v/>
      </c>
    </row>
    <row r="339" spans="1:34" ht="18.75" customHeight="1" x14ac:dyDescent="0.3">
      <c r="A339" s="1">
        <v>2014142704024</v>
      </c>
      <c r="B339" t="s">
        <v>75</v>
      </c>
      <c r="C339" t="s">
        <v>1197</v>
      </c>
      <c r="D339" t="s">
        <v>1177</v>
      </c>
      <c r="E339" t="s">
        <v>43</v>
      </c>
      <c r="AG339" t="s">
        <v>787</v>
      </c>
      <c r="AH339" t="str">
        <f>IF([2]!Table1[[#This Row],[الوزن]]&lt;&gt;"",[2]!Table1[[#This Row],[الوزن]]-([2]!Table1[[#This Row],[الطول]]-100),"")</f>
        <v/>
      </c>
    </row>
    <row r="340" spans="1:34" ht="18.75" customHeight="1" x14ac:dyDescent="0.3">
      <c r="A340" s="1">
        <v>2014142704066</v>
      </c>
      <c r="B340" t="s">
        <v>75</v>
      </c>
      <c r="C340" t="s">
        <v>1198</v>
      </c>
      <c r="D340" t="s">
        <v>1177</v>
      </c>
      <c r="E340" t="s">
        <v>43</v>
      </c>
      <c r="AG340" t="s">
        <v>787</v>
      </c>
      <c r="AH340" t="str">
        <f>IF([2]!Table1[[#This Row],[الوزن]]&lt;&gt;"",[2]!Table1[[#This Row],[الوزن]]-([2]!Table1[[#This Row],[الطول]]-100),"")</f>
        <v/>
      </c>
    </row>
    <row r="341" spans="1:34" ht="18.75" customHeight="1" x14ac:dyDescent="0.3">
      <c r="A341" s="1">
        <v>2014142704090</v>
      </c>
      <c r="B341" t="s">
        <v>75</v>
      </c>
      <c r="C341" t="s">
        <v>1199</v>
      </c>
      <c r="D341" t="s">
        <v>1177</v>
      </c>
      <c r="E341" t="s">
        <v>43</v>
      </c>
      <c r="AG341" t="s">
        <v>787</v>
      </c>
      <c r="AH341" t="str">
        <f>IF([2]!Table1[[#This Row],[الوزن]]&lt;&gt;"",[2]!Table1[[#This Row],[الوزن]]-([2]!Table1[[#This Row],[الطول]]-100),"")</f>
        <v/>
      </c>
    </row>
    <row r="342" spans="1:34" ht="18.75" customHeight="1" x14ac:dyDescent="0.3">
      <c r="A342" s="1">
        <v>2014142704107</v>
      </c>
      <c r="B342" t="s">
        <v>75</v>
      </c>
      <c r="C342" t="s">
        <v>1200</v>
      </c>
      <c r="D342" t="s">
        <v>1177</v>
      </c>
      <c r="E342" t="s">
        <v>43</v>
      </c>
      <c r="AG342" t="s">
        <v>787</v>
      </c>
      <c r="AH342" t="str">
        <f>IF([2]!Table1[[#This Row],[الوزن]]&lt;&gt;"",[2]!Table1[[#This Row],[الوزن]]-([2]!Table1[[#This Row],[الطول]]-100),"")</f>
        <v/>
      </c>
    </row>
    <row r="343" spans="1:34" ht="18.75" customHeight="1" x14ac:dyDescent="0.3">
      <c r="A343" s="1">
        <v>2014142704123</v>
      </c>
      <c r="B343" t="s">
        <v>75</v>
      </c>
      <c r="C343" t="s">
        <v>1201</v>
      </c>
      <c r="D343" t="s">
        <v>1177</v>
      </c>
      <c r="E343" t="s">
        <v>43</v>
      </c>
      <c r="AG343" t="s">
        <v>787</v>
      </c>
      <c r="AH343" t="str">
        <f>IF([2]!Table1[[#This Row],[الوزن]]&lt;&gt;"",[2]!Table1[[#This Row],[الوزن]]-([2]!Table1[[#This Row],[الطول]]-100),"")</f>
        <v/>
      </c>
    </row>
    <row r="344" spans="1:34" ht="18.75" customHeight="1" x14ac:dyDescent="0.3">
      <c r="A344" s="1">
        <v>2014142704149</v>
      </c>
      <c r="B344" t="s">
        <v>75</v>
      </c>
      <c r="C344" t="s">
        <v>1202</v>
      </c>
      <c r="D344" t="s">
        <v>1177</v>
      </c>
      <c r="E344" t="s">
        <v>43</v>
      </c>
      <c r="AG344" t="s">
        <v>787</v>
      </c>
      <c r="AH344" t="str">
        <f>IF([2]!Table1[[#This Row],[الوزن]]&lt;&gt;"",[2]!Table1[[#This Row],[الوزن]]-([2]!Table1[[#This Row],[الطول]]-100),"")</f>
        <v/>
      </c>
    </row>
    <row r="345" spans="1:34" ht="18.75" customHeight="1" x14ac:dyDescent="0.3">
      <c r="A345" s="1">
        <v>2015132700725</v>
      </c>
      <c r="B345" t="s">
        <v>75</v>
      </c>
      <c r="C345" t="s">
        <v>1203</v>
      </c>
      <c r="D345" t="s">
        <v>1177</v>
      </c>
      <c r="E345" t="s">
        <v>43</v>
      </c>
      <c r="AG345" t="s">
        <v>787</v>
      </c>
      <c r="AH345" t="str">
        <f>IF([2]!Table1[[#This Row],[الوزن]]&lt;&gt;"",[2]!Table1[[#This Row],[الوزن]]-([2]!Table1[[#This Row],[الطول]]-100),"")</f>
        <v/>
      </c>
    </row>
    <row r="346" spans="1:34" ht="18.75" customHeight="1" x14ac:dyDescent="0.3">
      <c r="A346" s="1">
        <v>2015132702713</v>
      </c>
      <c r="B346" t="s">
        <v>75</v>
      </c>
      <c r="C346" t="s">
        <v>1204</v>
      </c>
      <c r="D346" t="s">
        <v>1177</v>
      </c>
      <c r="E346" t="s">
        <v>43</v>
      </c>
      <c r="AG346" t="s">
        <v>787</v>
      </c>
      <c r="AH346" t="str">
        <f>IF([2]!Table1[[#This Row],[الوزن]]&lt;&gt;"",[2]!Table1[[#This Row],[الوزن]]-([2]!Table1[[#This Row],[الطول]]-100),"")</f>
        <v/>
      </c>
    </row>
    <row r="347" spans="1:34" ht="18.75" customHeight="1" x14ac:dyDescent="0.3">
      <c r="A347" s="1">
        <v>2015142703264</v>
      </c>
      <c r="B347" t="s">
        <v>75</v>
      </c>
      <c r="C347" t="s">
        <v>1205</v>
      </c>
      <c r="D347" t="s">
        <v>1177</v>
      </c>
      <c r="E347" t="s">
        <v>43</v>
      </c>
      <c r="AG347" t="s">
        <v>787</v>
      </c>
      <c r="AH347" t="str">
        <f>IF([2]!Table1[[#This Row],[الوزن]]&lt;&gt;"",[2]!Table1[[#This Row],[الوزن]]-([2]!Table1[[#This Row],[الطول]]-100),"")</f>
        <v/>
      </c>
    </row>
    <row r="348" spans="1:34" ht="18.75" customHeight="1" x14ac:dyDescent="0.3">
      <c r="A348" s="1">
        <v>2015142703305</v>
      </c>
      <c r="B348" t="s">
        <v>75</v>
      </c>
      <c r="C348" t="s">
        <v>1206</v>
      </c>
      <c r="D348" t="s">
        <v>1177</v>
      </c>
      <c r="E348" t="s">
        <v>43</v>
      </c>
      <c r="AG348" t="s">
        <v>787</v>
      </c>
      <c r="AH348" t="str">
        <f>IF([2]!Table1[[#This Row],[الوزن]]&lt;&gt;"",[2]!Table1[[#This Row],[الوزن]]-([2]!Table1[[#This Row],[الطول]]-100),"")</f>
        <v/>
      </c>
    </row>
    <row r="349" spans="1:34" ht="18.75" customHeight="1" x14ac:dyDescent="0.3">
      <c r="A349" s="1">
        <v>2015142703321</v>
      </c>
      <c r="B349" t="s">
        <v>75</v>
      </c>
      <c r="C349" t="s">
        <v>1207</v>
      </c>
      <c r="D349" t="s">
        <v>1177</v>
      </c>
      <c r="E349" t="s">
        <v>43</v>
      </c>
      <c r="AG349" t="s">
        <v>787</v>
      </c>
      <c r="AH349" t="str">
        <f>IF([2]!Table1[[#This Row],[الوزن]]&lt;&gt;"",[2]!Table1[[#This Row],[الوزن]]-([2]!Table1[[#This Row],[الطول]]-100),"")</f>
        <v/>
      </c>
    </row>
    <row r="350" spans="1:34" ht="18.75" customHeight="1" x14ac:dyDescent="0.3">
      <c r="A350" s="1">
        <v>2015142703355</v>
      </c>
      <c r="B350" t="s">
        <v>75</v>
      </c>
      <c r="C350" t="s">
        <v>1208</v>
      </c>
      <c r="D350" t="s">
        <v>1177</v>
      </c>
      <c r="E350" t="s">
        <v>43</v>
      </c>
      <c r="AG350" t="s">
        <v>787</v>
      </c>
      <c r="AH350" t="str">
        <f>IF([2]!Table1[[#This Row],[الوزن]]&lt;&gt;"",[2]!Table1[[#This Row],[الوزن]]-([2]!Table1[[#This Row],[الطول]]-100),"")</f>
        <v/>
      </c>
    </row>
    <row r="351" spans="1:34" ht="18.75" customHeight="1" x14ac:dyDescent="0.3">
      <c r="A351" s="1">
        <v>2015142703438</v>
      </c>
      <c r="B351" t="s">
        <v>75</v>
      </c>
      <c r="C351" t="s">
        <v>1209</v>
      </c>
      <c r="D351" t="s">
        <v>1177</v>
      </c>
      <c r="E351" t="s">
        <v>43</v>
      </c>
      <c r="AG351" t="s">
        <v>787</v>
      </c>
      <c r="AH351" t="str">
        <f>IF([2]!Table1[[#This Row],[الوزن]]&lt;&gt;"",[2]!Table1[[#This Row],[الوزن]]-([2]!Table1[[#This Row],[الطول]]-100),"")</f>
        <v/>
      </c>
    </row>
    <row r="352" spans="1:34" ht="18.75" customHeight="1" x14ac:dyDescent="0.3">
      <c r="A352" s="1">
        <v>2015142703628</v>
      </c>
      <c r="B352" t="s">
        <v>75</v>
      </c>
      <c r="C352" t="s">
        <v>1210</v>
      </c>
      <c r="D352" t="s">
        <v>1177</v>
      </c>
      <c r="E352" t="s">
        <v>43</v>
      </c>
      <c r="AG352" t="s">
        <v>787</v>
      </c>
      <c r="AH352" t="str">
        <f>IF([2]!Table1[[#This Row],[الوزن]]&lt;&gt;"",[2]!Table1[[#This Row],[الوزن]]-([2]!Table1[[#This Row],[الطول]]-100),"")</f>
        <v/>
      </c>
    </row>
    <row r="353" spans="1:34" ht="18.75" customHeight="1" x14ac:dyDescent="0.3">
      <c r="A353" s="1">
        <v>2015142703686</v>
      </c>
      <c r="B353" t="s">
        <v>75</v>
      </c>
      <c r="C353" t="s">
        <v>1211</v>
      </c>
      <c r="D353" t="s">
        <v>1177</v>
      </c>
      <c r="E353" t="s">
        <v>43</v>
      </c>
      <c r="AG353" t="s">
        <v>787</v>
      </c>
      <c r="AH353" t="str">
        <f>IF([2]!Table1[[#This Row],[الوزن]]&lt;&gt;"",[2]!Table1[[#This Row],[الوزن]]-([2]!Table1[[#This Row],[الطول]]-100),"")</f>
        <v/>
      </c>
    </row>
    <row r="354" spans="1:34" ht="18.75" customHeight="1" x14ac:dyDescent="0.3">
      <c r="A354" s="1">
        <v>2015142703751</v>
      </c>
      <c r="B354" t="s">
        <v>75</v>
      </c>
      <c r="C354" t="s">
        <v>1212</v>
      </c>
      <c r="D354" t="s">
        <v>1177</v>
      </c>
      <c r="E354" t="s">
        <v>43</v>
      </c>
      <c r="AG354" t="s">
        <v>787</v>
      </c>
      <c r="AH354" t="str">
        <f>IF([2]!Table1[[#This Row],[الوزن]]&lt;&gt;"",[2]!Table1[[#This Row],[الوزن]]-([2]!Table1[[#This Row],[الطول]]-100),"")</f>
        <v/>
      </c>
    </row>
    <row r="355" spans="1:34" ht="18.75" customHeight="1" x14ac:dyDescent="0.3">
      <c r="A355" s="1">
        <v>2015142703785</v>
      </c>
      <c r="B355" t="s">
        <v>75</v>
      </c>
      <c r="C355" t="s">
        <v>1213</v>
      </c>
      <c r="D355" t="s">
        <v>1177</v>
      </c>
      <c r="E355" t="s">
        <v>43</v>
      </c>
      <c r="AG355" t="s">
        <v>787</v>
      </c>
      <c r="AH355" t="str">
        <f>IF([2]!Table1[[#This Row],[الوزن]]&lt;&gt;"",[2]!Table1[[#This Row],[الوزن]]-([2]!Table1[[#This Row],[الطول]]-100),"")</f>
        <v/>
      </c>
    </row>
    <row r="356" spans="1:34" ht="18.75" customHeight="1" x14ac:dyDescent="0.3">
      <c r="A356" s="1">
        <v>2015142703909</v>
      </c>
      <c r="B356" t="s">
        <v>75</v>
      </c>
      <c r="C356" t="s">
        <v>1214</v>
      </c>
      <c r="D356" t="s">
        <v>1177</v>
      </c>
      <c r="E356" t="s">
        <v>43</v>
      </c>
      <c r="AG356" t="s">
        <v>787</v>
      </c>
      <c r="AH356" t="str">
        <f>IF([2]!Table1[[#This Row],[الوزن]]&lt;&gt;"",[2]!Table1[[#This Row],[الوزن]]-([2]!Table1[[#This Row],[الطول]]-100),"")</f>
        <v/>
      </c>
    </row>
    <row r="357" spans="1:34" ht="18.75" customHeight="1" x14ac:dyDescent="0.3">
      <c r="A357" s="1">
        <v>2016142702446</v>
      </c>
      <c r="B357" t="s">
        <v>75</v>
      </c>
      <c r="C357" t="s">
        <v>1215</v>
      </c>
      <c r="D357" t="s">
        <v>1177</v>
      </c>
      <c r="E357" t="s">
        <v>43</v>
      </c>
      <c r="AG357" t="s">
        <v>787</v>
      </c>
      <c r="AH357" t="str">
        <f>IF([2]!Table1[[#This Row],[الوزن]]&lt;&gt;"",[2]!Table1[[#This Row],[الوزن]]-([2]!Table1[[#This Row],[الطول]]-100),"")</f>
        <v/>
      </c>
    </row>
    <row r="358" spans="1:34" ht="18.75" customHeight="1" x14ac:dyDescent="0.3">
      <c r="A358" s="1">
        <v>2016142703220</v>
      </c>
      <c r="B358" t="s">
        <v>75</v>
      </c>
      <c r="C358" t="s">
        <v>1216</v>
      </c>
      <c r="D358" t="s">
        <v>1177</v>
      </c>
      <c r="E358" t="s">
        <v>43</v>
      </c>
      <c r="AG358" t="s">
        <v>787</v>
      </c>
      <c r="AH358" t="str">
        <f>IF([2]!Table1[[#This Row],[الوزن]]&lt;&gt;"",[2]!Table1[[#This Row],[الوزن]]-([2]!Table1[[#This Row],[الطول]]-100),"")</f>
        <v/>
      </c>
    </row>
    <row r="359" spans="1:34" ht="18.75" customHeight="1" x14ac:dyDescent="0.3">
      <c r="A359" s="1">
        <v>2016142703238</v>
      </c>
      <c r="B359" t="s">
        <v>75</v>
      </c>
      <c r="C359" t="s">
        <v>1217</v>
      </c>
      <c r="D359" t="s">
        <v>1177</v>
      </c>
      <c r="E359" t="s">
        <v>43</v>
      </c>
      <c r="AG359" t="s">
        <v>787</v>
      </c>
      <c r="AH359" t="str">
        <f>IF([2]!Table1[[#This Row],[الوزن]]&lt;&gt;"",[2]!Table1[[#This Row],[الوزن]]-([2]!Table1[[#This Row],[الطول]]-100),"")</f>
        <v/>
      </c>
    </row>
    <row r="360" spans="1:34" ht="18.75" customHeight="1" x14ac:dyDescent="0.3">
      <c r="A360" s="1">
        <v>2017131804227</v>
      </c>
      <c r="B360" t="s">
        <v>106</v>
      </c>
      <c r="C360" t="s">
        <v>1218</v>
      </c>
      <c r="D360" t="s">
        <v>1177</v>
      </c>
      <c r="E360" t="s">
        <v>43</v>
      </c>
      <c r="AG360" t="s">
        <v>787</v>
      </c>
      <c r="AH360" t="str">
        <f>IF([2]!Table1[[#This Row],[الوزن]]&lt;&gt;"",[2]!Table1[[#This Row],[الوزن]]-([2]!Table1[[#This Row],[الطول]]-100),"")</f>
        <v/>
      </c>
    </row>
    <row r="361" spans="1:34" ht="18.75" customHeight="1" x14ac:dyDescent="0.3">
      <c r="A361" s="1">
        <v>2017142701058</v>
      </c>
      <c r="B361" t="s">
        <v>75</v>
      </c>
      <c r="C361" t="s">
        <v>1219</v>
      </c>
      <c r="D361" t="s">
        <v>1177</v>
      </c>
      <c r="E361" t="s">
        <v>43</v>
      </c>
      <c r="AG361" t="s">
        <v>787</v>
      </c>
      <c r="AH361" t="str">
        <f>IF([2]!Table1[[#This Row],[الوزن]]&lt;&gt;"",[2]!Table1[[#This Row],[الوزن]]-([2]!Table1[[#This Row],[الطول]]-100),"")</f>
        <v/>
      </c>
    </row>
    <row r="362" spans="1:34" ht="18.75" customHeight="1" x14ac:dyDescent="0.3">
      <c r="A362" s="1">
        <v>2017142702296</v>
      </c>
      <c r="B362" t="s">
        <v>75</v>
      </c>
      <c r="C362" t="s">
        <v>1220</v>
      </c>
      <c r="D362" t="s">
        <v>1177</v>
      </c>
      <c r="E362" t="s">
        <v>43</v>
      </c>
      <c r="AG362" t="s">
        <v>787</v>
      </c>
      <c r="AH362" t="str">
        <f>IF([2]!Table1[[#This Row],[الوزن]]&lt;&gt;"",[2]!Table1[[#This Row],[الوزن]]-([2]!Table1[[#This Row],[الطول]]-100),"")</f>
        <v/>
      </c>
    </row>
    <row r="363" spans="1:34" ht="18.75" customHeight="1" x14ac:dyDescent="0.3">
      <c r="A363" s="1">
        <v>2017142702303</v>
      </c>
      <c r="B363" t="s">
        <v>75</v>
      </c>
      <c r="C363" t="s">
        <v>1221</v>
      </c>
      <c r="D363" t="s">
        <v>1177</v>
      </c>
      <c r="E363" t="s">
        <v>43</v>
      </c>
      <c r="AG363" t="s">
        <v>787</v>
      </c>
      <c r="AH363" t="str">
        <f>IF([2]!Table1[[#This Row],[الوزن]]&lt;&gt;"",[2]!Table1[[#This Row],[الوزن]]-([2]!Table1[[#This Row],[الطول]]-100),"")</f>
        <v/>
      </c>
    </row>
    <row r="364" spans="1:34" ht="18.75" customHeight="1" x14ac:dyDescent="0.3">
      <c r="A364" s="1">
        <v>2017142702337</v>
      </c>
      <c r="B364" t="s">
        <v>75</v>
      </c>
      <c r="C364" t="s">
        <v>1222</v>
      </c>
      <c r="D364" t="s">
        <v>1177</v>
      </c>
      <c r="E364" t="s">
        <v>43</v>
      </c>
      <c r="AG364" t="s">
        <v>787</v>
      </c>
      <c r="AH364" t="str">
        <f>IF([2]!Table1[[#This Row],[الوزن]]&lt;&gt;"",[2]!Table1[[#This Row],[الوزن]]-([2]!Table1[[#This Row],[الطول]]-100),"")</f>
        <v/>
      </c>
    </row>
    <row r="365" spans="1:34" ht="18.75" customHeight="1" x14ac:dyDescent="0.3">
      <c r="A365" s="1">
        <v>2017142702353</v>
      </c>
      <c r="B365" t="s">
        <v>75</v>
      </c>
      <c r="C365" t="s">
        <v>1223</v>
      </c>
      <c r="D365" t="s">
        <v>1177</v>
      </c>
      <c r="E365" t="s">
        <v>43</v>
      </c>
      <c r="AG365" t="s">
        <v>787</v>
      </c>
      <c r="AH365" t="str">
        <f>IF([2]!Table1[[#This Row],[الوزن]]&lt;&gt;"",[2]!Table1[[#This Row],[الوزن]]-([2]!Table1[[#This Row],[الطول]]-100),"")</f>
        <v/>
      </c>
    </row>
    <row r="366" spans="1:34" ht="18.75" customHeight="1" x14ac:dyDescent="0.3">
      <c r="A366" s="1">
        <v>2017142702361</v>
      </c>
      <c r="B366" t="s">
        <v>75</v>
      </c>
      <c r="C366" t="s">
        <v>1224</v>
      </c>
      <c r="D366" t="s">
        <v>1177</v>
      </c>
      <c r="E366" t="s">
        <v>43</v>
      </c>
      <c r="AG366" t="s">
        <v>787</v>
      </c>
      <c r="AH366" t="str">
        <f>IF([2]!Table1[[#This Row],[الوزن]]&lt;&gt;"",[2]!Table1[[#This Row],[الوزن]]-([2]!Table1[[#This Row],[الطول]]-100),"")</f>
        <v/>
      </c>
    </row>
    <row r="367" spans="1:34" ht="18.75" customHeight="1" x14ac:dyDescent="0.3">
      <c r="A367" s="1">
        <v>2017142702379</v>
      </c>
      <c r="B367" t="s">
        <v>75</v>
      </c>
      <c r="C367" t="s">
        <v>1225</v>
      </c>
      <c r="D367" t="s">
        <v>1177</v>
      </c>
      <c r="E367" t="s">
        <v>43</v>
      </c>
      <c r="AG367" t="s">
        <v>787</v>
      </c>
      <c r="AH367" t="str">
        <f>IF([2]!Table1[[#This Row],[الوزن]]&lt;&gt;"",[2]!Table1[[#This Row],[الوزن]]-([2]!Table1[[#This Row],[الطول]]-100),"")</f>
        <v/>
      </c>
    </row>
    <row r="368" spans="1:34" ht="18.75" customHeight="1" x14ac:dyDescent="0.3">
      <c r="A368" s="1">
        <v>2017142704929</v>
      </c>
      <c r="B368" t="s">
        <v>75</v>
      </c>
      <c r="C368" t="s">
        <v>1226</v>
      </c>
      <c r="D368" t="s">
        <v>1177</v>
      </c>
      <c r="E368" t="s">
        <v>43</v>
      </c>
      <c r="AG368" t="s">
        <v>787</v>
      </c>
      <c r="AH368" t="str">
        <f>IF([2]!Table1[[#This Row],[الوزن]]&lt;&gt;"",[2]!Table1[[#This Row],[الوزن]]-([2]!Table1[[#This Row],[الطول]]-100),"")</f>
        <v/>
      </c>
    </row>
    <row r="369" spans="1:40" ht="18.75" customHeight="1" x14ac:dyDescent="0.3">
      <c r="A369" s="1">
        <v>2018132703054</v>
      </c>
      <c r="B369" t="s">
        <v>75</v>
      </c>
      <c r="C369" t="s">
        <v>1227</v>
      </c>
      <c r="D369" t="s">
        <v>1177</v>
      </c>
      <c r="E369" t="s">
        <v>43</v>
      </c>
      <c r="AG369" t="s">
        <v>787</v>
      </c>
      <c r="AH369" t="str">
        <f>IF([2]!Table1[[#This Row],[الوزن]]&lt;&gt;"",[2]!Table1[[#This Row],[الوزن]]-([2]!Table1[[#This Row],[الطول]]-100),"")</f>
        <v/>
      </c>
    </row>
    <row r="370" spans="1:40" ht="18.75" customHeight="1" x14ac:dyDescent="0.3">
      <c r="A370" s="1">
        <v>2018132703658</v>
      </c>
      <c r="B370" t="s">
        <v>75</v>
      </c>
      <c r="C370" t="s">
        <v>1228</v>
      </c>
      <c r="D370" t="s">
        <v>1177</v>
      </c>
      <c r="E370" t="s">
        <v>43</v>
      </c>
      <c r="AG370" t="s">
        <v>787</v>
      </c>
      <c r="AH370" t="str">
        <f>IF([2]!Table1[[#This Row],[الوزن]]&lt;&gt;"",[2]!Table1[[#This Row],[الوزن]]-([2]!Table1[[#This Row],[الطول]]-100),"")</f>
        <v/>
      </c>
    </row>
    <row r="371" spans="1:40" ht="18.75" customHeight="1" x14ac:dyDescent="0.3">
      <c r="A371" s="1">
        <v>2018142701650</v>
      </c>
      <c r="B371" t="s">
        <v>75</v>
      </c>
      <c r="C371" t="s">
        <v>1229</v>
      </c>
      <c r="D371" t="s">
        <v>1177</v>
      </c>
      <c r="E371" t="s">
        <v>43</v>
      </c>
      <c r="AG371" t="s">
        <v>787</v>
      </c>
      <c r="AH371" t="str">
        <f>IF([2]!Table1[[#This Row],[الوزن]]&lt;&gt;"",[2]!Table1[[#This Row],[الوزن]]-([2]!Table1[[#This Row],[الطول]]-100),"")</f>
        <v/>
      </c>
    </row>
    <row r="372" spans="1:40" ht="18.75" customHeight="1" x14ac:dyDescent="0.3">
      <c r="A372" s="1">
        <v>2018142704240</v>
      </c>
      <c r="B372" t="s">
        <v>75</v>
      </c>
      <c r="C372" t="s">
        <v>1230</v>
      </c>
      <c r="D372" t="s">
        <v>1177</v>
      </c>
      <c r="E372" t="s">
        <v>43</v>
      </c>
      <c r="AG372" t="s">
        <v>787</v>
      </c>
      <c r="AH372" t="str">
        <f>IF([2]!Table1[[#This Row],[الوزن]]&lt;&gt;"",[2]!Table1[[#This Row],[الوزن]]-([2]!Table1[[#This Row],[الطول]]-100),"")</f>
        <v/>
      </c>
    </row>
    <row r="373" spans="1:40" ht="18.75" customHeight="1" x14ac:dyDescent="0.3">
      <c r="A373" s="1">
        <v>2019132702236</v>
      </c>
      <c r="B373" t="s">
        <v>106</v>
      </c>
      <c r="C373" t="s">
        <v>1231</v>
      </c>
      <c r="D373" t="s">
        <v>1177</v>
      </c>
      <c r="E373" t="s">
        <v>43</v>
      </c>
      <c r="AG373" t="s">
        <v>787</v>
      </c>
      <c r="AH373" t="str">
        <f>IF([2]!Table1[[#This Row],[الوزن]]&lt;&gt;"",[2]!Table1[[#This Row],[الوزن]]-([2]!Table1[[#This Row],[الطول]]-100),"")</f>
        <v/>
      </c>
    </row>
    <row r="374" spans="1:40" ht="18.75" customHeight="1" x14ac:dyDescent="0.3">
      <c r="A374" s="1">
        <v>2019132704141</v>
      </c>
      <c r="B374" t="s">
        <v>106</v>
      </c>
      <c r="C374" t="s">
        <v>1232</v>
      </c>
      <c r="D374" t="s">
        <v>1177</v>
      </c>
      <c r="E374" t="s">
        <v>43</v>
      </c>
      <c r="AG374" t="s">
        <v>787</v>
      </c>
      <c r="AH374">
        <f>IF([2]!Table1[[#This Row],[الوزن]]&lt;&gt;"",[2]!Table1[[#This Row],[الوزن]]-([2]!Table1[[#This Row],[الطول]]-100),"")</f>
        <v>-1</v>
      </c>
    </row>
    <row r="375" spans="1:40" ht="18.75" customHeight="1" x14ac:dyDescent="0.3">
      <c r="A375" s="1">
        <v>2006132700641</v>
      </c>
      <c r="B375" t="s">
        <v>210</v>
      </c>
      <c r="C375" t="s">
        <v>1233</v>
      </c>
      <c r="D375" t="s">
        <v>1234</v>
      </c>
      <c r="E375" t="s">
        <v>43</v>
      </c>
      <c r="F375" t="s">
        <v>1235</v>
      </c>
      <c r="G375">
        <v>38976</v>
      </c>
      <c r="H375">
        <v>40087</v>
      </c>
      <c r="I375">
        <v>45474</v>
      </c>
      <c r="L375" t="s">
        <v>1236</v>
      </c>
      <c r="M375" t="s">
        <v>264</v>
      </c>
      <c r="O375" t="s">
        <v>1237</v>
      </c>
      <c r="Q375" t="s">
        <v>49</v>
      </c>
      <c r="R375">
        <v>7</v>
      </c>
      <c r="S375">
        <v>2</v>
      </c>
      <c r="T375">
        <v>0</v>
      </c>
      <c r="U375" t="s">
        <v>1238</v>
      </c>
      <c r="V375" t="s">
        <v>1239</v>
      </c>
      <c r="W375">
        <v>29105232500455</v>
      </c>
      <c r="X375">
        <v>33381</v>
      </c>
      <c r="Y375" t="s">
        <v>103</v>
      </c>
      <c r="AC375" t="s">
        <v>1240</v>
      </c>
      <c r="AD375" t="s">
        <v>225</v>
      </c>
      <c r="AF375">
        <v>77</v>
      </c>
      <c r="AG375">
        <v>178</v>
      </c>
      <c r="AH375">
        <f>IF([2]!Table1[[#This Row],[الوزن]]&lt;&gt;"",[2]!Table1[[#This Row],[الوزن]]-([2]!Table1[[#This Row],[الطول]]-100),"")</f>
        <v>-3</v>
      </c>
      <c r="AI375" t="s">
        <v>1241</v>
      </c>
      <c r="AN375" t="s">
        <v>56</v>
      </c>
    </row>
    <row r="376" spans="1:40" ht="18.75" customHeight="1" x14ac:dyDescent="0.3">
      <c r="A376" s="1">
        <v>2011132700202</v>
      </c>
      <c r="B376" t="s">
        <v>57</v>
      </c>
      <c r="C376" t="s">
        <v>1242</v>
      </c>
      <c r="D376" t="s">
        <v>1234</v>
      </c>
      <c r="E376" t="s">
        <v>43</v>
      </c>
      <c r="F376" t="s">
        <v>1243</v>
      </c>
      <c r="G376">
        <v>40824</v>
      </c>
      <c r="H376">
        <v>41935</v>
      </c>
      <c r="I376">
        <v>45660</v>
      </c>
      <c r="L376" t="s">
        <v>1244</v>
      </c>
      <c r="M376" t="s">
        <v>264</v>
      </c>
      <c r="N376" t="s">
        <v>1245</v>
      </c>
      <c r="O376" t="s">
        <v>1237</v>
      </c>
      <c r="Q376" t="s">
        <v>49</v>
      </c>
      <c r="R376">
        <v>4</v>
      </c>
      <c r="S376">
        <v>0</v>
      </c>
      <c r="T376">
        <v>0</v>
      </c>
      <c r="W376">
        <v>2960601304571</v>
      </c>
      <c r="X376">
        <v>35222</v>
      </c>
      <c r="Y376" t="s">
        <v>103</v>
      </c>
      <c r="Z376">
        <v>2</v>
      </c>
      <c r="AA376">
        <v>1</v>
      </c>
      <c r="AC376" t="s">
        <v>64</v>
      </c>
      <c r="AD376" t="s">
        <v>1246</v>
      </c>
      <c r="AF376">
        <v>71</v>
      </c>
      <c r="AG376">
        <v>174</v>
      </c>
      <c r="AH376">
        <f>IF([2]!Table1[[#This Row],[الوزن]]&lt;&gt;"",[2]!Table1[[#This Row],[الوزن]]-([2]!Table1[[#This Row],[الطول]]-100),"")</f>
        <v>-4</v>
      </c>
      <c r="AN376" t="s">
        <v>56</v>
      </c>
    </row>
    <row r="377" spans="1:40" ht="18.75" customHeight="1" x14ac:dyDescent="0.3">
      <c r="A377" s="1">
        <v>2011132700301</v>
      </c>
      <c r="B377" t="s">
        <v>57</v>
      </c>
      <c r="C377" t="s">
        <v>1247</v>
      </c>
      <c r="D377" t="s">
        <v>1234</v>
      </c>
      <c r="E377" t="s">
        <v>43</v>
      </c>
      <c r="F377" t="s">
        <v>1243</v>
      </c>
      <c r="G377">
        <v>40834</v>
      </c>
      <c r="H377">
        <v>41933</v>
      </c>
      <c r="I377">
        <v>45658</v>
      </c>
      <c r="L377" t="s">
        <v>1248</v>
      </c>
      <c r="M377" t="s">
        <v>264</v>
      </c>
      <c r="N377" t="s">
        <v>1245</v>
      </c>
      <c r="O377" t="s">
        <v>1237</v>
      </c>
      <c r="P377" t="s">
        <v>49</v>
      </c>
      <c r="R377">
        <v>8</v>
      </c>
      <c r="S377">
        <v>0</v>
      </c>
      <c r="T377">
        <v>0</v>
      </c>
      <c r="U377" t="s">
        <v>1249</v>
      </c>
      <c r="V377" t="s">
        <v>1250</v>
      </c>
      <c r="W377">
        <v>29604162180102</v>
      </c>
      <c r="X377">
        <v>35171</v>
      </c>
      <c r="Y377" t="s">
        <v>550</v>
      </c>
      <c r="AC377" t="s">
        <v>93</v>
      </c>
      <c r="AD377" t="s">
        <v>1251</v>
      </c>
      <c r="AF377">
        <v>72</v>
      </c>
      <c r="AG377">
        <v>176</v>
      </c>
      <c r="AH377">
        <f>IF([2]!Table1[[#This Row],[الوزن]]&lt;&gt;"",[2]!Table1[[#This Row],[الوزن]]-([2]!Table1[[#This Row],[الطول]]-100),"")</f>
        <v>11</v>
      </c>
      <c r="AJ377" t="s">
        <v>1252</v>
      </c>
      <c r="AN377" t="s">
        <v>56</v>
      </c>
    </row>
    <row r="378" spans="1:40" ht="18.75" customHeight="1" x14ac:dyDescent="0.3">
      <c r="A378" s="1">
        <v>2014132700264</v>
      </c>
      <c r="B378" t="s">
        <v>75</v>
      </c>
      <c r="C378" t="s">
        <v>1253</v>
      </c>
      <c r="D378" t="s">
        <v>1234</v>
      </c>
      <c r="E378" t="s">
        <v>43</v>
      </c>
      <c r="F378" t="s">
        <v>1254</v>
      </c>
      <c r="G378">
        <v>41930</v>
      </c>
      <c r="H378">
        <v>43040</v>
      </c>
      <c r="I378">
        <v>44927</v>
      </c>
      <c r="L378" t="s">
        <v>1244</v>
      </c>
      <c r="M378" t="s">
        <v>264</v>
      </c>
      <c r="N378" t="s">
        <v>1245</v>
      </c>
      <c r="O378" t="s">
        <v>1237</v>
      </c>
      <c r="Q378" t="s">
        <v>49</v>
      </c>
      <c r="R378">
        <v>3</v>
      </c>
      <c r="S378">
        <v>0</v>
      </c>
      <c r="T378">
        <v>0</v>
      </c>
      <c r="U378" t="s">
        <v>1255</v>
      </c>
      <c r="V378" t="s">
        <v>1256</v>
      </c>
      <c r="W378">
        <v>29810252601075</v>
      </c>
      <c r="X378">
        <v>36093</v>
      </c>
      <c r="Y378" t="s">
        <v>103</v>
      </c>
      <c r="AC378" t="s">
        <v>1257</v>
      </c>
      <c r="AD378" t="s">
        <v>1258</v>
      </c>
      <c r="AF378">
        <v>80</v>
      </c>
      <c r="AG378">
        <v>169</v>
      </c>
      <c r="AH378">
        <f>IF([2]!Table1[[#This Row],[الوزن]]&lt;&gt;"",[2]!Table1[[#This Row],[الوزن]]-([2]!Table1[[#This Row],[الطول]]-100),"")</f>
        <v>15</v>
      </c>
      <c r="AN378" t="s">
        <v>56</v>
      </c>
    </row>
    <row r="379" spans="1:40" ht="18.75" customHeight="1" x14ac:dyDescent="0.3">
      <c r="A379" s="1">
        <v>2015132702705</v>
      </c>
      <c r="B379" t="s">
        <v>75</v>
      </c>
      <c r="C379" t="s">
        <v>1259</v>
      </c>
      <c r="D379" t="s">
        <v>1234</v>
      </c>
      <c r="E379" t="s">
        <v>43</v>
      </c>
      <c r="F379" t="s">
        <v>1260</v>
      </c>
      <c r="G379">
        <v>42309</v>
      </c>
      <c r="H379">
        <v>42236</v>
      </c>
      <c r="I379">
        <v>44927</v>
      </c>
      <c r="L379" t="s">
        <v>1261</v>
      </c>
      <c r="M379" t="s">
        <v>264</v>
      </c>
      <c r="N379" t="s">
        <v>1245</v>
      </c>
      <c r="O379" t="s">
        <v>1237</v>
      </c>
      <c r="Q379" t="s">
        <v>49</v>
      </c>
      <c r="R379">
        <v>1</v>
      </c>
      <c r="S379">
        <v>0</v>
      </c>
      <c r="T379">
        <v>0</v>
      </c>
      <c r="U379" t="s">
        <v>1262</v>
      </c>
      <c r="V379" t="s">
        <v>1263</v>
      </c>
      <c r="W379">
        <v>29709182700418</v>
      </c>
      <c r="X379">
        <v>35691</v>
      </c>
      <c r="Y379" t="s">
        <v>103</v>
      </c>
      <c r="Z379">
        <v>0</v>
      </c>
      <c r="AA379">
        <v>0</v>
      </c>
      <c r="AC379" t="s">
        <v>1264</v>
      </c>
      <c r="AD379" t="s">
        <v>1265</v>
      </c>
      <c r="AF379">
        <v>85</v>
      </c>
      <c r="AG379">
        <v>170</v>
      </c>
      <c r="AH379">
        <f>IF([2]!Table1[[#This Row],[الوزن]]&lt;&gt;"",[2]!Table1[[#This Row],[الوزن]]-([2]!Table1[[#This Row],[الطول]]-100),"")</f>
        <v>-11</v>
      </c>
      <c r="AI379" t="s">
        <v>1266</v>
      </c>
      <c r="AN379" t="s">
        <v>56</v>
      </c>
    </row>
    <row r="380" spans="1:40" ht="18.75" customHeight="1" x14ac:dyDescent="0.3">
      <c r="A380" s="1">
        <v>2015132705212</v>
      </c>
      <c r="B380" t="s">
        <v>75</v>
      </c>
      <c r="C380" t="s">
        <v>1267</v>
      </c>
      <c r="D380" t="s">
        <v>1234</v>
      </c>
      <c r="E380" t="s">
        <v>43</v>
      </c>
      <c r="F380" t="s">
        <v>1260</v>
      </c>
      <c r="G380">
        <v>42309</v>
      </c>
      <c r="H380">
        <v>42236</v>
      </c>
      <c r="I380">
        <v>44927</v>
      </c>
      <c r="L380" t="s">
        <v>1261</v>
      </c>
      <c r="M380" t="s">
        <v>264</v>
      </c>
      <c r="N380" t="s">
        <v>1245</v>
      </c>
      <c r="O380" t="s">
        <v>1237</v>
      </c>
      <c r="Q380" t="s">
        <v>49</v>
      </c>
      <c r="R380">
        <v>1</v>
      </c>
      <c r="S380">
        <v>0</v>
      </c>
      <c r="T380">
        <v>0</v>
      </c>
      <c r="U380" t="s">
        <v>1268</v>
      </c>
      <c r="V380" t="s">
        <v>1269</v>
      </c>
      <c r="W380">
        <v>29512252501231</v>
      </c>
      <c r="X380">
        <v>35058</v>
      </c>
      <c r="Y380" t="s">
        <v>103</v>
      </c>
      <c r="Z380">
        <v>1</v>
      </c>
      <c r="AA380">
        <v>0</v>
      </c>
      <c r="AC380" t="s">
        <v>1240</v>
      </c>
      <c r="AD380" t="s">
        <v>1270</v>
      </c>
      <c r="AF380">
        <v>62</v>
      </c>
      <c r="AG380">
        <v>173</v>
      </c>
      <c r="AH380">
        <f>IF([2]!Table1[[#This Row],[الوزن]]&lt;&gt;"",[2]!Table1[[#This Row],[الوزن]]-([2]!Table1[[#This Row],[الطول]]-100),"")</f>
        <v>-6</v>
      </c>
      <c r="AI380" t="s">
        <v>1271</v>
      </c>
      <c r="AN380" t="s">
        <v>56</v>
      </c>
    </row>
    <row r="381" spans="1:40" ht="18.75" customHeight="1" x14ac:dyDescent="0.3">
      <c r="A381" s="1">
        <v>2015132705262</v>
      </c>
      <c r="B381" t="s">
        <v>75</v>
      </c>
      <c r="C381" t="s">
        <v>1272</v>
      </c>
      <c r="D381" t="s">
        <v>1234</v>
      </c>
      <c r="E381" t="s">
        <v>43</v>
      </c>
      <c r="F381" t="s">
        <v>1260</v>
      </c>
      <c r="G381">
        <v>42309</v>
      </c>
      <c r="H381">
        <v>42236</v>
      </c>
      <c r="I381">
        <v>42967</v>
      </c>
      <c r="L381" t="s">
        <v>1261</v>
      </c>
      <c r="M381" t="s">
        <v>264</v>
      </c>
      <c r="N381" t="s">
        <v>1245</v>
      </c>
      <c r="O381" t="s">
        <v>1237</v>
      </c>
      <c r="Q381" t="s">
        <v>49</v>
      </c>
      <c r="R381">
        <v>1</v>
      </c>
      <c r="S381">
        <v>0</v>
      </c>
      <c r="T381">
        <v>0</v>
      </c>
      <c r="U381" t="s">
        <v>1273</v>
      </c>
      <c r="W381">
        <v>29702122500172</v>
      </c>
      <c r="X381">
        <v>35473</v>
      </c>
      <c r="Y381" t="s">
        <v>103</v>
      </c>
      <c r="Z381">
        <v>1</v>
      </c>
      <c r="AA381">
        <v>0</v>
      </c>
      <c r="AC381" t="s">
        <v>1240</v>
      </c>
      <c r="AD381" t="s">
        <v>1274</v>
      </c>
      <c r="AF381">
        <v>70</v>
      </c>
      <c r="AG381">
        <v>176</v>
      </c>
      <c r="AH381">
        <f>IF([2]!Table1[[#This Row],[الوزن]]&lt;&gt;"",[2]!Table1[[#This Row],[الوزن]]-([2]!Table1[[#This Row],[الطول]]-100),"")</f>
        <v>-1</v>
      </c>
      <c r="AN381" t="s">
        <v>56</v>
      </c>
    </row>
    <row r="382" spans="1:40" ht="18.75" customHeight="1" x14ac:dyDescent="0.3">
      <c r="A382" s="1">
        <v>2015132705303</v>
      </c>
      <c r="B382" t="s">
        <v>75</v>
      </c>
      <c r="C382" t="s">
        <v>1275</v>
      </c>
      <c r="D382" t="s">
        <v>1234</v>
      </c>
      <c r="E382" t="s">
        <v>43</v>
      </c>
      <c r="F382" t="s">
        <v>1260</v>
      </c>
      <c r="G382">
        <v>42309</v>
      </c>
      <c r="H382">
        <v>42236</v>
      </c>
      <c r="I382">
        <v>44927</v>
      </c>
      <c r="L382" t="s">
        <v>1261</v>
      </c>
      <c r="M382" t="s">
        <v>264</v>
      </c>
      <c r="N382" t="s">
        <v>1245</v>
      </c>
      <c r="O382" t="s">
        <v>1237</v>
      </c>
      <c r="Q382" t="s">
        <v>49</v>
      </c>
      <c r="R382">
        <v>2</v>
      </c>
      <c r="S382">
        <v>0</v>
      </c>
      <c r="T382">
        <v>0</v>
      </c>
      <c r="U382" t="s">
        <v>1276</v>
      </c>
      <c r="V382" t="s">
        <v>1277</v>
      </c>
      <c r="W382">
        <v>29706212500096</v>
      </c>
      <c r="X382">
        <v>35602</v>
      </c>
      <c r="Y382" t="s">
        <v>103</v>
      </c>
      <c r="Z382">
        <v>2</v>
      </c>
      <c r="AA382">
        <v>1</v>
      </c>
      <c r="AC382" t="s">
        <v>1240</v>
      </c>
      <c r="AD382" t="s">
        <v>1278</v>
      </c>
      <c r="AF382">
        <v>77</v>
      </c>
      <c r="AG382">
        <v>178</v>
      </c>
      <c r="AH382">
        <f>IF([2]!Table1[[#This Row],[الوزن]]&lt;&gt;"",[2]!Table1[[#This Row],[الوزن]]-([2]!Table1[[#This Row],[الطول]]-100),"")</f>
        <v>2</v>
      </c>
      <c r="AN382" t="s">
        <v>56</v>
      </c>
    </row>
    <row r="383" spans="1:40" ht="18.75" customHeight="1" x14ac:dyDescent="0.3">
      <c r="A383" s="1">
        <v>2016132702125</v>
      </c>
      <c r="B383" t="s">
        <v>75</v>
      </c>
      <c r="C383" t="s">
        <v>1279</v>
      </c>
      <c r="D383" t="s">
        <v>1234</v>
      </c>
      <c r="E383" t="s">
        <v>43</v>
      </c>
      <c r="F383" t="s">
        <v>1280</v>
      </c>
      <c r="G383">
        <v>42662</v>
      </c>
      <c r="H383">
        <v>43321</v>
      </c>
      <c r="I383">
        <v>45292</v>
      </c>
      <c r="L383" t="s">
        <v>1261</v>
      </c>
      <c r="M383" t="s">
        <v>264</v>
      </c>
      <c r="N383" t="s">
        <v>1245</v>
      </c>
      <c r="O383" t="s">
        <v>1237</v>
      </c>
      <c r="Q383" t="s">
        <v>49</v>
      </c>
      <c r="R383">
        <v>1</v>
      </c>
      <c r="S383">
        <v>0</v>
      </c>
      <c r="T383">
        <v>0</v>
      </c>
      <c r="U383" t="s">
        <v>1281</v>
      </c>
      <c r="V383" t="s">
        <v>1282</v>
      </c>
      <c r="W383">
        <v>29709191701052</v>
      </c>
      <c r="X383">
        <v>35692</v>
      </c>
      <c r="Y383" t="s">
        <v>103</v>
      </c>
      <c r="Z383">
        <v>2</v>
      </c>
      <c r="AA383">
        <v>1</v>
      </c>
      <c r="AC383" t="s">
        <v>167</v>
      </c>
      <c r="AD383" t="s">
        <v>1283</v>
      </c>
      <c r="AF383">
        <v>78</v>
      </c>
      <c r="AG383">
        <v>176</v>
      </c>
      <c r="AH383">
        <f>IF([2]!Table1[[#This Row],[الوزن]]&lt;&gt;"",[2]!Table1[[#This Row],[الوزن]]-([2]!Table1[[#This Row],[الطول]]-100),"")</f>
        <v>-11</v>
      </c>
      <c r="AN383" t="s">
        <v>56</v>
      </c>
    </row>
    <row r="384" spans="1:40" ht="18.75" customHeight="1" x14ac:dyDescent="0.3">
      <c r="A384" s="1">
        <v>2017132700284</v>
      </c>
      <c r="B384" t="s">
        <v>75</v>
      </c>
      <c r="C384" t="s">
        <v>1284</v>
      </c>
      <c r="D384" t="s">
        <v>1234</v>
      </c>
      <c r="E384" t="s">
        <v>43</v>
      </c>
      <c r="F384" t="s">
        <v>1285</v>
      </c>
      <c r="G384">
        <v>43040</v>
      </c>
      <c r="H384">
        <v>43683</v>
      </c>
      <c r="I384">
        <v>45658</v>
      </c>
      <c r="L384" t="s">
        <v>1261</v>
      </c>
      <c r="M384" t="s">
        <v>264</v>
      </c>
      <c r="N384" t="s">
        <v>1245</v>
      </c>
      <c r="O384" t="s">
        <v>1237</v>
      </c>
      <c r="Q384" t="s">
        <v>49</v>
      </c>
      <c r="R384">
        <v>0</v>
      </c>
      <c r="S384">
        <v>0</v>
      </c>
      <c r="T384">
        <v>0</v>
      </c>
      <c r="U384" t="s">
        <v>1286</v>
      </c>
      <c r="V384" t="s">
        <v>1287</v>
      </c>
      <c r="W384">
        <v>29709202503037</v>
      </c>
      <c r="X384">
        <v>35693</v>
      </c>
      <c r="Y384" t="s">
        <v>103</v>
      </c>
      <c r="Z384">
        <v>1</v>
      </c>
      <c r="AA384">
        <v>0</v>
      </c>
      <c r="AC384" t="s">
        <v>1240</v>
      </c>
      <c r="AD384" t="s">
        <v>1288</v>
      </c>
      <c r="AF384">
        <v>62</v>
      </c>
      <c r="AG384">
        <v>173</v>
      </c>
      <c r="AH384">
        <f>IF([2]!Table1[[#This Row],[الوزن]]&lt;&gt;"",[2]!Table1[[#This Row],[الوزن]]-([2]!Table1[[#This Row],[الطول]]-100),"")</f>
        <v>1</v>
      </c>
      <c r="AN384" t="s">
        <v>56</v>
      </c>
    </row>
    <row r="385" spans="1:40" ht="18.75" customHeight="1" x14ac:dyDescent="0.3">
      <c r="A385" s="1">
        <v>2019132704638</v>
      </c>
      <c r="B385" t="s">
        <v>106</v>
      </c>
      <c r="C385" t="s">
        <v>1289</v>
      </c>
      <c r="D385" t="s">
        <v>1234</v>
      </c>
      <c r="E385" t="s">
        <v>43</v>
      </c>
      <c r="F385" t="s">
        <v>1290</v>
      </c>
      <c r="G385">
        <v>43775</v>
      </c>
      <c r="H385">
        <v>44500</v>
      </c>
      <c r="I385">
        <v>44500</v>
      </c>
      <c r="L385" t="s">
        <v>1261</v>
      </c>
      <c r="M385" t="s">
        <v>264</v>
      </c>
      <c r="N385" t="s">
        <v>1245</v>
      </c>
      <c r="O385" t="s">
        <v>1237</v>
      </c>
      <c r="Q385" t="s">
        <v>49</v>
      </c>
      <c r="R385">
        <v>1</v>
      </c>
      <c r="S385">
        <v>0</v>
      </c>
      <c r="T385">
        <v>0</v>
      </c>
      <c r="U385" t="s">
        <v>1291</v>
      </c>
      <c r="V385" t="s">
        <v>1292</v>
      </c>
      <c r="W385">
        <v>30107011211996</v>
      </c>
      <c r="X385">
        <v>37073</v>
      </c>
      <c r="Y385" t="s">
        <v>103</v>
      </c>
      <c r="Z385">
        <v>1</v>
      </c>
      <c r="AA385">
        <v>0</v>
      </c>
      <c r="AC385" t="s">
        <v>118</v>
      </c>
      <c r="AD385" t="s">
        <v>1293</v>
      </c>
      <c r="AF385">
        <v>78</v>
      </c>
      <c r="AG385">
        <v>177</v>
      </c>
      <c r="AH385">
        <f>IF([2]!Table1[[#This Row],[الوزن]]&lt;&gt;"",[2]!Table1[[#This Row],[الوزن]]-([2]!Table1[[#This Row],[الطول]]-100),"")</f>
        <v>-1</v>
      </c>
      <c r="AN385" t="s">
        <v>56</v>
      </c>
    </row>
    <row r="386" spans="1:40" ht="18.75" customHeight="1" x14ac:dyDescent="0.3">
      <c r="A386" s="1">
        <v>2021132400405</v>
      </c>
      <c r="B386" t="s">
        <v>125</v>
      </c>
      <c r="C386" t="s">
        <v>1294</v>
      </c>
      <c r="D386" t="s">
        <v>1234</v>
      </c>
      <c r="E386" t="s">
        <v>43</v>
      </c>
      <c r="F386">
        <v>160</v>
      </c>
      <c r="G386">
        <v>44205</v>
      </c>
      <c r="H386">
        <v>45197</v>
      </c>
      <c r="I386">
        <v>45211</v>
      </c>
      <c r="L386" t="s">
        <v>1295</v>
      </c>
      <c r="M386" t="s">
        <v>1296</v>
      </c>
      <c r="O386" t="s">
        <v>1297</v>
      </c>
      <c r="R386">
        <v>1</v>
      </c>
      <c r="S386">
        <v>0</v>
      </c>
      <c r="T386">
        <v>0</v>
      </c>
      <c r="U386" t="s">
        <v>1298</v>
      </c>
      <c r="V386" t="s">
        <v>1299</v>
      </c>
      <c r="W386">
        <v>30002011501955</v>
      </c>
      <c r="X386">
        <v>36557</v>
      </c>
      <c r="Y386" t="s">
        <v>103</v>
      </c>
      <c r="Z386">
        <v>1</v>
      </c>
      <c r="AA386">
        <v>0</v>
      </c>
      <c r="AC386" t="s">
        <v>242</v>
      </c>
      <c r="AD386" t="s">
        <v>1300</v>
      </c>
      <c r="AF386">
        <v>71</v>
      </c>
      <c r="AG386">
        <v>172</v>
      </c>
      <c r="AH386">
        <f>IF([2]!Table1[[#This Row],[الوزن]]&lt;&gt;"",[2]!Table1[[#This Row],[الوزن]]-([2]!Table1[[#This Row],[الطول]]-100),"")</f>
        <v>-2</v>
      </c>
      <c r="AN386" t="s">
        <v>56</v>
      </c>
    </row>
    <row r="387" spans="1:40" ht="18.75" customHeight="1" x14ac:dyDescent="0.3">
      <c r="A387" s="1">
        <v>2019132703094</v>
      </c>
      <c r="B387" t="s">
        <v>106</v>
      </c>
      <c r="C387" t="s">
        <v>1301</v>
      </c>
      <c r="D387" t="s">
        <v>1234</v>
      </c>
      <c r="E387" t="s">
        <v>43</v>
      </c>
      <c r="F387" t="s">
        <v>1290</v>
      </c>
      <c r="H387">
        <v>44482</v>
      </c>
      <c r="I387">
        <v>44482</v>
      </c>
      <c r="L387" t="s">
        <v>1261</v>
      </c>
      <c r="M387" t="s">
        <v>264</v>
      </c>
      <c r="N387" t="s">
        <v>1245</v>
      </c>
      <c r="O387" t="s">
        <v>1237</v>
      </c>
      <c r="P387" t="s">
        <v>49</v>
      </c>
      <c r="R387">
        <v>1</v>
      </c>
      <c r="S387">
        <v>0</v>
      </c>
      <c r="T387">
        <v>0</v>
      </c>
      <c r="U387" t="s">
        <v>1302</v>
      </c>
      <c r="V387" t="s">
        <v>1303</v>
      </c>
      <c r="W387">
        <v>30103212104513</v>
      </c>
      <c r="X387">
        <v>36971</v>
      </c>
      <c r="Y387" t="s">
        <v>550</v>
      </c>
      <c r="AC387" t="s">
        <v>167</v>
      </c>
      <c r="AD387" t="s">
        <v>166</v>
      </c>
      <c r="AF387">
        <v>78</v>
      </c>
      <c r="AG387">
        <v>180</v>
      </c>
      <c r="AH387">
        <f>IF([2]!Table1[[#This Row],[الوزن]]&lt;&gt;"",[2]!Table1[[#This Row],[الوزن]]-([2]!Table1[[#This Row],[الطول]]-100),"")</f>
        <v>-1</v>
      </c>
      <c r="AN387" t="s">
        <v>56</v>
      </c>
    </row>
    <row r="388" spans="1:40" ht="18.75" customHeight="1" x14ac:dyDescent="0.3">
      <c r="A388" s="1">
        <v>2019132704886</v>
      </c>
      <c r="B388" t="s">
        <v>106</v>
      </c>
      <c r="C388" t="s">
        <v>1304</v>
      </c>
      <c r="D388" t="s">
        <v>1234</v>
      </c>
      <c r="E388" t="s">
        <v>43</v>
      </c>
      <c r="F388" t="s">
        <v>1290</v>
      </c>
      <c r="H388">
        <v>44500</v>
      </c>
      <c r="I388">
        <v>44500</v>
      </c>
      <c r="L388" t="s">
        <v>1261</v>
      </c>
      <c r="M388" t="s">
        <v>264</v>
      </c>
      <c r="N388" t="s">
        <v>1245</v>
      </c>
      <c r="O388" t="s">
        <v>1237</v>
      </c>
      <c r="U388" t="s">
        <v>1305</v>
      </c>
      <c r="V388" t="s">
        <v>1306</v>
      </c>
      <c r="W388">
        <v>30012122200453</v>
      </c>
      <c r="X388">
        <v>36872</v>
      </c>
      <c r="Y388" t="s">
        <v>103</v>
      </c>
      <c r="Z388">
        <v>1</v>
      </c>
      <c r="AA388">
        <v>1</v>
      </c>
      <c r="AC388" t="s">
        <v>200</v>
      </c>
      <c r="AD388" t="s">
        <v>1307</v>
      </c>
      <c r="AF388">
        <v>78</v>
      </c>
      <c r="AG388">
        <v>179</v>
      </c>
      <c r="AH388" t="str">
        <f>IF([2]!Table1[[#This Row],[الوزن]]&lt;&gt;"",[2]!Table1[[#This Row],[الوزن]]-([2]!Table1[[#This Row],[الطول]]-100),"")</f>
        <v/>
      </c>
      <c r="AN388" t="s">
        <v>56</v>
      </c>
    </row>
    <row r="389" spans="1:40" ht="18.75" customHeight="1" x14ac:dyDescent="0.3">
      <c r="A389" s="1">
        <v>2003138300251</v>
      </c>
      <c r="B389" t="s">
        <v>210</v>
      </c>
      <c r="C389" t="s">
        <v>1308</v>
      </c>
      <c r="D389" t="s">
        <v>1309</v>
      </c>
      <c r="E389" t="s">
        <v>43</v>
      </c>
      <c r="AG389" t="s">
        <v>787</v>
      </c>
      <c r="AH389" t="str">
        <f>IF([2]!Table1[[#This Row],[الوزن]]&lt;&gt;"",[2]!Table1[[#This Row],[الوزن]]-([2]!Table1[[#This Row],[الطول]]-100),"")</f>
        <v/>
      </c>
      <c r="AN389" t="s">
        <v>56</v>
      </c>
    </row>
    <row r="390" spans="1:40" ht="18.75" customHeight="1" x14ac:dyDescent="0.3">
      <c r="A390" s="1">
        <v>2013131803003</v>
      </c>
      <c r="B390" t="s">
        <v>75</v>
      </c>
      <c r="C390" t="s">
        <v>1310</v>
      </c>
      <c r="D390" t="s">
        <v>1309</v>
      </c>
      <c r="E390" t="s">
        <v>43</v>
      </c>
      <c r="AG390" t="s">
        <v>787</v>
      </c>
      <c r="AH390" t="str">
        <f>IF([2]!Table1[[#This Row],[الوزن]]&lt;&gt;"",[2]!Table1[[#This Row],[الوزن]]-([2]!Table1[[#This Row],[الطول]]-100),"")</f>
        <v/>
      </c>
      <c r="AN390" t="s">
        <v>56</v>
      </c>
    </row>
    <row r="391" spans="1:40" ht="18.75" customHeight="1" x14ac:dyDescent="0.3">
      <c r="A391" s="1">
        <v>2013132400436</v>
      </c>
      <c r="B391" t="s">
        <v>75</v>
      </c>
      <c r="C391" t="s">
        <v>1311</v>
      </c>
      <c r="D391" t="s">
        <v>1309</v>
      </c>
      <c r="E391" t="s">
        <v>43</v>
      </c>
      <c r="AG391" t="s">
        <v>787</v>
      </c>
      <c r="AH391" t="str">
        <f>IF([2]!Table1[[#This Row],[الوزن]]&lt;&gt;"",[2]!Table1[[#This Row],[الوزن]]-([2]!Table1[[#This Row],[الطول]]-100),"")</f>
        <v/>
      </c>
      <c r="AN391" t="s">
        <v>56</v>
      </c>
    </row>
    <row r="392" spans="1:40" ht="18.75" customHeight="1" x14ac:dyDescent="0.3">
      <c r="A392" s="1">
        <v>2014132401268</v>
      </c>
      <c r="B392" t="s">
        <v>106</v>
      </c>
      <c r="C392" t="s">
        <v>1312</v>
      </c>
      <c r="D392" t="s">
        <v>1309</v>
      </c>
      <c r="E392" t="s">
        <v>43</v>
      </c>
      <c r="AG392" t="s">
        <v>787</v>
      </c>
      <c r="AH392" t="str">
        <f>IF([2]!Table1[[#This Row],[الوزن]]&lt;&gt;"",[2]!Table1[[#This Row],[الوزن]]-([2]!Table1[[#This Row],[الطول]]-100),"")</f>
        <v/>
      </c>
      <c r="AN392" t="s">
        <v>56</v>
      </c>
    </row>
    <row r="393" spans="1:40" ht="18.75" customHeight="1" x14ac:dyDescent="0.3">
      <c r="A393" s="1">
        <v>2014138307642</v>
      </c>
      <c r="B393" t="s">
        <v>75</v>
      </c>
      <c r="C393" t="s">
        <v>1313</v>
      </c>
      <c r="D393" t="s">
        <v>1309</v>
      </c>
      <c r="E393" t="s">
        <v>43</v>
      </c>
      <c r="AG393" t="s">
        <v>787</v>
      </c>
      <c r="AH393" t="str">
        <f>IF([2]!Table1[[#This Row],[الوزن]]&lt;&gt;"",[2]!Table1[[#This Row],[الوزن]]-([2]!Table1[[#This Row],[الطول]]-100),"")</f>
        <v/>
      </c>
      <c r="AN393" t="s">
        <v>56</v>
      </c>
    </row>
    <row r="394" spans="1:40" ht="18.75" customHeight="1" x14ac:dyDescent="0.3">
      <c r="A394" s="1">
        <v>2015132400078</v>
      </c>
      <c r="B394" t="s">
        <v>106</v>
      </c>
      <c r="C394" t="s">
        <v>1314</v>
      </c>
      <c r="D394" t="s">
        <v>1309</v>
      </c>
      <c r="E394" t="s">
        <v>43</v>
      </c>
      <c r="X394">
        <v>35505</v>
      </c>
      <c r="AG394" t="s">
        <v>787</v>
      </c>
      <c r="AH394" t="str">
        <f>IF([2]!Table1[[#This Row],[الوزن]]&lt;&gt;"",[2]!Table1[[#This Row],[الوزن]]-([2]!Table1[[#This Row],[الطول]]-100),"")</f>
        <v/>
      </c>
      <c r="AN394" t="s">
        <v>56</v>
      </c>
    </row>
    <row r="395" spans="1:40" ht="18.75" customHeight="1" x14ac:dyDescent="0.3">
      <c r="A395" s="1">
        <v>2015132401290</v>
      </c>
      <c r="B395" t="s">
        <v>106</v>
      </c>
      <c r="C395" t="s">
        <v>1315</v>
      </c>
      <c r="D395" t="s">
        <v>1309</v>
      </c>
      <c r="E395" t="s">
        <v>43</v>
      </c>
      <c r="AG395" t="s">
        <v>787</v>
      </c>
      <c r="AH395" t="str">
        <f>IF([2]!Table1[[#This Row],[الوزن]]&lt;&gt;"",[2]!Table1[[#This Row],[الوزن]]-([2]!Table1[[#This Row],[الطول]]-100),"")</f>
        <v/>
      </c>
      <c r="AN395" t="s">
        <v>56</v>
      </c>
    </row>
    <row r="396" spans="1:40" ht="18.75" customHeight="1" x14ac:dyDescent="0.3">
      <c r="A396" s="1">
        <v>2017132400256</v>
      </c>
      <c r="B396" t="s">
        <v>106</v>
      </c>
      <c r="C396" t="s">
        <v>1316</v>
      </c>
      <c r="D396" t="s">
        <v>1309</v>
      </c>
      <c r="E396" t="s">
        <v>43</v>
      </c>
      <c r="AG396" t="s">
        <v>787</v>
      </c>
      <c r="AH396" t="str">
        <f>IF([2]!Table1[[#This Row],[الوزن]]&lt;&gt;"",[2]!Table1[[#This Row],[الوزن]]-([2]!Table1[[#This Row],[الطول]]-100),"")</f>
        <v/>
      </c>
      <c r="AN396" t="s">
        <v>56</v>
      </c>
    </row>
    <row r="397" spans="1:40" ht="18.75" customHeight="1" x14ac:dyDescent="0.3">
      <c r="A397" s="1">
        <v>2017132400264</v>
      </c>
      <c r="B397" t="s">
        <v>106</v>
      </c>
      <c r="C397" t="s">
        <v>1317</v>
      </c>
      <c r="D397" t="s">
        <v>1309</v>
      </c>
      <c r="E397" t="s">
        <v>43</v>
      </c>
      <c r="AG397" t="s">
        <v>787</v>
      </c>
      <c r="AH397" t="str">
        <f>IF([2]!Table1[[#This Row],[الوزن]]&lt;&gt;"",[2]!Table1[[#This Row],[الوزن]]-([2]!Table1[[#This Row],[الطول]]-100),"")</f>
        <v/>
      </c>
      <c r="AN397" t="s">
        <v>56</v>
      </c>
    </row>
    <row r="398" spans="1:40" ht="18.75" customHeight="1" x14ac:dyDescent="0.3">
      <c r="A398" s="1">
        <v>2018138302032</v>
      </c>
      <c r="B398" t="s">
        <v>106</v>
      </c>
      <c r="C398" t="s">
        <v>1318</v>
      </c>
      <c r="D398" t="s">
        <v>1309</v>
      </c>
      <c r="E398" t="s">
        <v>43</v>
      </c>
      <c r="AG398" t="s">
        <v>787</v>
      </c>
      <c r="AH398" t="str">
        <f>IF([2]!Table1[[#This Row],[الوزن]]&lt;&gt;"",[2]!Table1[[#This Row],[الوزن]]-([2]!Table1[[#This Row],[الطول]]-100),"")</f>
        <v/>
      </c>
      <c r="AN398" t="s">
        <v>56</v>
      </c>
    </row>
    <row r="399" spans="1:40" ht="18.75" customHeight="1" x14ac:dyDescent="0.3">
      <c r="A399" s="1">
        <v>2018138307561</v>
      </c>
      <c r="B399" t="s">
        <v>106</v>
      </c>
      <c r="C399" t="s">
        <v>1319</v>
      </c>
      <c r="D399" t="s">
        <v>1309</v>
      </c>
      <c r="E399" t="s">
        <v>43</v>
      </c>
      <c r="AG399" t="s">
        <v>787</v>
      </c>
      <c r="AH399" t="str">
        <f>IF([2]!Table1[[#This Row],[الوزن]]&lt;&gt;"",[2]!Table1[[#This Row],[الوزن]]-([2]!Table1[[#This Row],[الطول]]-100),"")</f>
        <v/>
      </c>
      <c r="AN399" t="s">
        <v>56</v>
      </c>
    </row>
    <row r="400" spans="1:40" ht="18.75" customHeight="1" x14ac:dyDescent="0.3">
      <c r="A400" s="1">
        <v>2019138302832</v>
      </c>
      <c r="B400" t="s">
        <v>125</v>
      </c>
      <c r="C400" t="s">
        <v>1320</v>
      </c>
      <c r="D400" t="s">
        <v>1309</v>
      </c>
      <c r="E400" t="s">
        <v>43</v>
      </c>
      <c r="AG400" t="s">
        <v>787</v>
      </c>
      <c r="AH400" t="str">
        <f>IF([2]!Table1[[#This Row],[الوزن]]&lt;&gt;"",[2]!Table1[[#This Row],[الوزن]]-([2]!Table1[[#This Row],[الطول]]-100),"")</f>
        <v/>
      </c>
    </row>
    <row r="401" spans="1:40" ht="18.75" customHeight="1" x14ac:dyDescent="0.3">
      <c r="A401" s="1">
        <v>2019138304052</v>
      </c>
      <c r="B401" t="s">
        <v>125</v>
      </c>
      <c r="C401" t="s">
        <v>1321</v>
      </c>
      <c r="D401" t="s">
        <v>1309</v>
      </c>
      <c r="E401" t="s">
        <v>43</v>
      </c>
      <c r="AG401" t="s">
        <v>787</v>
      </c>
      <c r="AH401" t="str">
        <f>IF([2]!Table1[[#This Row],[الوزن]]&lt;&gt;"",[2]!Table1[[#This Row],[الوزن]]-([2]!Table1[[#This Row],[الطول]]-100),"")</f>
        <v/>
      </c>
    </row>
    <row r="402" spans="1:40" ht="18.75" customHeight="1" x14ac:dyDescent="0.3">
      <c r="A402" s="1">
        <v>2019138305068</v>
      </c>
      <c r="B402" t="s">
        <v>125</v>
      </c>
      <c r="C402" t="s">
        <v>1322</v>
      </c>
      <c r="D402" t="s">
        <v>1309</v>
      </c>
      <c r="E402" t="s">
        <v>43</v>
      </c>
      <c r="AG402" t="s">
        <v>787</v>
      </c>
      <c r="AH402" t="str">
        <f>IF([2]!Table1[[#This Row],[الوزن]]&lt;&gt;"",[2]!Table1[[#This Row],[الوزن]]-([2]!Table1[[#This Row],[الطول]]-100),"")</f>
        <v/>
      </c>
    </row>
    <row r="403" spans="1:40" ht="18.75" customHeight="1" x14ac:dyDescent="0.3">
      <c r="A403" s="1">
        <v>2021138306780</v>
      </c>
      <c r="B403" t="s">
        <v>125</v>
      </c>
      <c r="C403" t="s">
        <v>1323</v>
      </c>
      <c r="D403" t="s">
        <v>1309</v>
      </c>
      <c r="E403" t="s">
        <v>43</v>
      </c>
      <c r="AG403" t="s">
        <v>787</v>
      </c>
      <c r="AH403" t="str">
        <f>IF([2]!Table1[[#This Row],[الوزن]]&lt;&gt;"",[2]!Table1[[#This Row],[الوزن]]-([2]!Table1[[#This Row],[الطول]]-100),"")</f>
        <v/>
      </c>
    </row>
    <row r="404" spans="1:40" ht="18.75" customHeight="1" x14ac:dyDescent="0.3">
      <c r="A404" s="1">
        <v>2021138310533</v>
      </c>
      <c r="B404" t="s">
        <v>125</v>
      </c>
      <c r="C404" t="s">
        <v>1324</v>
      </c>
      <c r="D404" t="s">
        <v>1309</v>
      </c>
      <c r="E404" t="s">
        <v>43</v>
      </c>
      <c r="AG404" t="s">
        <v>787</v>
      </c>
      <c r="AH404" t="str">
        <f>IF([2]!Table1[[#This Row],[الوزن]]&lt;&gt;"",[2]!Table1[[#This Row],[الوزن]]-([2]!Table1[[#This Row],[الطول]]-100),"")</f>
        <v/>
      </c>
    </row>
    <row r="405" spans="1:40" ht="18.75" customHeight="1" x14ac:dyDescent="0.3">
      <c r="A405" s="1">
        <v>2012134792289</v>
      </c>
      <c r="B405" t="s">
        <v>1325</v>
      </c>
      <c r="C405" t="s">
        <v>1326</v>
      </c>
      <c r="D405" t="s">
        <v>1327</v>
      </c>
      <c r="E405" t="s">
        <v>43</v>
      </c>
      <c r="AG405" t="s">
        <v>787</v>
      </c>
      <c r="AH405" t="str">
        <f>IF([2]!Table1[[#This Row],[الوزن]]&lt;&gt;"",[2]!Table1[[#This Row],[الوزن]]-([2]!Table1[[#This Row],[الطول]]-100),"")</f>
        <v/>
      </c>
      <c r="AN405" t="s">
        <v>56</v>
      </c>
    </row>
    <row r="406" spans="1:40" ht="18.75" customHeight="1" x14ac:dyDescent="0.3">
      <c r="A406" s="1">
        <v>1998130400117</v>
      </c>
      <c r="B406" t="s">
        <v>210</v>
      </c>
      <c r="C406" t="s">
        <v>1328</v>
      </c>
      <c r="D406" t="s">
        <v>1327</v>
      </c>
      <c r="E406" t="s">
        <v>43</v>
      </c>
      <c r="AG406" t="s">
        <v>787</v>
      </c>
      <c r="AH406" t="str">
        <f>IF([2]!Table1[[#This Row],[الوزن]]&lt;&gt;"",[2]!Table1[[#This Row],[الوزن]]-([2]!Table1[[#This Row],[الطول]]-100),"")</f>
        <v/>
      </c>
      <c r="AN406" t="s">
        <v>56</v>
      </c>
    </row>
    <row r="407" spans="1:40" ht="18.75" customHeight="1" x14ac:dyDescent="0.3">
      <c r="A407" s="1">
        <v>2015134704436</v>
      </c>
      <c r="B407" t="s">
        <v>106</v>
      </c>
      <c r="C407" t="s">
        <v>1329</v>
      </c>
      <c r="D407" t="s">
        <v>1327</v>
      </c>
      <c r="E407" t="s">
        <v>43</v>
      </c>
      <c r="AG407" t="s">
        <v>787</v>
      </c>
      <c r="AH407">
        <f>IF([2]!Table1[[#This Row],[الوزن]]&lt;&gt;"",[2]!Table1[[#This Row],[الوزن]]-([2]!Table1[[#This Row],[الطول]]-100),"")</f>
        <v>1</v>
      </c>
      <c r="AN407" t="s">
        <v>56</v>
      </c>
    </row>
    <row r="408" spans="1:40" ht="18.75" customHeight="1" x14ac:dyDescent="0.3">
      <c r="A408" s="1">
        <v>2011134704070</v>
      </c>
      <c r="B408" t="s">
        <v>57</v>
      </c>
      <c r="C408" t="s">
        <v>1330</v>
      </c>
      <c r="D408" t="s">
        <v>1331</v>
      </c>
      <c r="E408" t="s">
        <v>43</v>
      </c>
      <c r="F408">
        <v>146</v>
      </c>
      <c r="G408">
        <v>40567</v>
      </c>
      <c r="H408">
        <v>40933</v>
      </c>
      <c r="I408">
        <v>44743</v>
      </c>
      <c r="L408" t="s">
        <v>135</v>
      </c>
      <c r="M408" t="s">
        <v>1332</v>
      </c>
      <c r="N408" t="s">
        <v>47</v>
      </c>
      <c r="O408" t="s">
        <v>1333</v>
      </c>
      <c r="P408" t="s">
        <v>49</v>
      </c>
      <c r="R408">
        <v>2</v>
      </c>
      <c r="S408">
        <v>0</v>
      </c>
      <c r="T408">
        <v>0</v>
      </c>
      <c r="U408" t="s">
        <v>1334</v>
      </c>
      <c r="V408" t="s">
        <v>1335</v>
      </c>
      <c r="W408">
        <v>29011051301553</v>
      </c>
      <c r="X408">
        <v>33848</v>
      </c>
      <c r="Y408" t="s">
        <v>103</v>
      </c>
      <c r="Z408">
        <v>3</v>
      </c>
      <c r="AA408">
        <v>2</v>
      </c>
      <c r="AB408">
        <v>1</v>
      </c>
      <c r="AD408" t="s">
        <v>297</v>
      </c>
      <c r="AE408" t="s">
        <v>64</v>
      </c>
      <c r="AF408">
        <v>74</v>
      </c>
      <c r="AG408">
        <v>173</v>
      </c>
      <c r="AH408">
        <f>IF([2]!Table1[[#This Row],[الوزن]]&lt;&gt;"",[2]!Table1[[#This Row],[الوزن]]-([2]!Table1[[#This Row],[الطول]]-100),"")</f>
        <v>1</v>
      </c>
      <c r="AJ408" t="s">
        <v>1336</v>
      </c>
      <c r="AN408" t="s">
        <v>56</v>
      </c>
    </row>
    <row r="409" spans="1:40" ht="18.75" customHeight="1" x14ac:dyDescent="0.3">
      <c r="A409" s="1">
        <v>2012134700927</v>
      </c>
      <c r="B409" t="s">
        <v>57</v>
      </c>
      <c r="C409" t="s">
        <v>1337</v>
      </c>
      <c r="D409" t="s">
        <v>1331</v>
      </c>
      <c r="E409" t="s">
        <v>43</v>
      </c>
      <c r="F409">
        <v>147</v>
      </c>
      <c r="G409">
        <v>40936</v>
      </c>
      <c r="H409">
        <v>41118</v>
      </c>
      <c r="I409">
        <v>43101</v>
      </c>
      <c r="L409" t="s">
        <v>135</v>
      </c>
      <c r="M409" t="s">
        <v>1332</v>
      </c>
      <c r="N409" t="s">
        <v>47</v>
      </c>
      <c r="O409" t="s">
        <v>1333</v>
      </c>
      <c r="P409" t="s">
        <v>49</v>
      </c>
      <c r="R409">
        <v>3</v>
      </c>
      <c r="S409">
        <v>0</v>
      </c>
      <c r="T409">
        <v>0</v>
      </c>
      <c r="U409" t="s">
        <v>1338</v>
      </c>
      <c r="V409" t="s">
        <v>1335</v>
      </c>
      <c r="W409">
        <v>29011051301553</v>
      </c>
      <c r="X409">
        <v>33182</v>
      </c>
      <c r="Y409" t="s">
        <v>103</v>
      </c>
      <c r="Z409">
        <v>2</v>
      </c>
      <c r="AA409">
        <v>1</v>
      </c>
      <c r="AB409">
        <v>1</v>
      </c>
      <c r="AD409" t="s">
        <v>408</v>
      </c>
      <c r="AE409" t="s">
        <v>64</v>
      </c>
      <c r="AF409">
        <v>75</v>
      </c>
      <c r="AG409">
        <v>174</v>
      </c>
      <c r="AH409">
        <f>IF([2]!Table1[[#This Row],[الوزن]]&lt;&gt;"",[2]!Table1[[#This Row],[الوزن]]-([2]!Table1[[#This Row],[الطول]]-100),"")</f>
        <v>1</v>
      </c>
      <c r="AJ409" t="s">
        <v>1339</v>
      </c>
      <c r="AN409" t="s">
        <v>56</v>
      </c>
    </row>
    <row r="410" spans="1:40" ht="18.75" customHeight="1" x14ac:dyDescent="0.3">
      <c r="A410" s="1">
        <v>2013134703713</v>
      </c>
      <c r="B410" t="s">
        <v>75</v>
      </c>
      <c r="C410" t="s">
        <v>1340</v>
      </c>
      <c r="D410" t="s">
        <v>1331</v>
      </c>
      <c r="E410" t="s">
        <v>43</v>
      </c>
      <c r="F410">
        <v>149</v>
      </c>
      <c r="G410">
        <v>41307</v>
      </c>
      <c r="H410">
        <v>41777</v>
      </c>
      <c r="I410">
        <v>45474</v>
      </c>
      <c r="L410" t="s">
        <v>135</v>
      </c>
      <c r="M410" t="s">
        <v>1332</v>
      </c>
      <c r="N410" t="s">
        <v>47</v>
      </c>
      <c r="O410" t="s">
        <v>1341</v>
      </c>
      <c r="P410" t="s">
        <v>49</v>
      </c>
      <c r="R410">
        <v>3</v>
      </c>
      <c r="S410">
        <v>0</v>
      </c>
      <c r="T410">
        <v>0</v>
      </c>
      <c r="U410" t="s">
        <v>1342</v>
      </c>
      <c r="V410" t="s">
        <v>1343</v>
      </c>
      <c r="W410">
        <v>29308192500536</v>
      </c>
      <c r="X410">
        <v>34200</v>
      </c>
      <c r="Y410" t="s">
        <v>103</v>
      </c>
      <c r="Z410">
        <v>3</v>
      </c>
      <c r="AA410">
        <v>3</v>
      </c>
      <c r="AB410">
        <v>0</v>
      </c>
      <c r="AD410" t="s">
        <v>1344</v>
      </c>
      <c r="AE410" t="s">
        <v>1240</v>
      </c>
      <c r="AF410">
        <v>74</v>
      </c>
      <c r="AG410">
        <v>173</v>
      </c>
      <c r="AH410">
        <f>IF([2]!Table1[[#This Row],[الوزن]]&lt;&gt;"",[2]!Table1[[#This Row],[الوزن]]-([2]!Table1[[#This Row],[الطول]]-100),"")</f>
        <v>2</v>
      </c>
      <c r="AJ410" t="s">
        <v>1345</v>
      </c>
      <c r="AN410" t="s">
        <v>56</v>
      </c>
    </row>
    <row r="411" spans="1:40" ht="18.75" customHeight="1" x14ac:dyDescent="0.3">
      <c r="A411" s="1">
        <v>2015138326757</v>
      </c>
      <c r="B411" t="s">
        <v>106</v>
      </c>
      <c r="C411" t="s">
        <v>1346</v>
      </c>
      <c r="D411" t="s">
        <v>1331</v>
      </c>
      <c r="E411" t="s">
        <v>43</v>
      </c>
      <c r="F411">
        <v>155</v>
      </c>
      <c r="G411">
        <v>42369</v>
      </c>
      <c r="H411">
        <v>42932</v>
      </c>
      <c r="I411">
        <v>44927</v>
      </c>
      <c r="L411" t="s">
        <v>135</v>
      </c>
      <c r="M411" t="s">
        <v>1332</v>
      </c>
      <c r="N411" t="s">
        <v>47</v>
      </c>
      <c r="O411" t="s">
        <v>1347</v>
      </c>
      <c r="P411" t="s">
        <v>49</v>
      </c>
      <c r="R411">
        <v>0</v>
      </c>
      <c r="S411">
        <v>0</v>
      </c>
      <c r="T411">
        <v>0</v>
      </c>
      <c r="U411" t="s">
        <v>1348</v>
      </c>
      <c r="V411" t="s">
        <v>1349</v>
      </c>
      <c r="W411">
        <v>29509121301732</v>
      </c>
      <c r="X411">
        <v>34954</v>
      </c>
      <c r="Y411" t="s">
        <v>103</v>
      </c>
      <c r="Z411">
        <v>2</v>
      </c>
      <c r="AA411">
        <v>2</v>
      </c>
      <c r="AB411">
        <v>0</v>
      </c>
      <c r="AD411" t="s">
        <v>1350</v>
      </c>
      <c r="AE411" t="s">
        <v>64</v>
      </c>
      <c r="AF411">
        <v>97</v>
      </c>
      <c r="AG411">
        <v>195</v>
      </c>
      <c r="AH411" t="str">
        <f>IF([2]!Table1[[#This Row],[الوزن]]&lt;&gt;"",[2]!Table1[[#This Row],[الوزن]]-([2]!Table1[[#This Row],[الطول]]-100),"")</f>
        <v/>
      </c>
      <c r="AJ411" t="s">
        <v>1351</v>
      </c>
      <c r="AN411" t="s">
        <v>56</v>
      </c>
    </row>
    <row r="412" spans="1:40" ht="18.75" customHeight="1" x14ac:dyDescent="0.3">
      <c r="A412" s="1">
        <v>2006138304794</v>
      </c>
      <c r="B412" t="s">
        <v>57</v>
      </c>
      <c r="C412" t="s">
        <v>1352</v>
      </c>
      <c r="D412" t="s">
        <v>1353</v>
      </c>
      <c r="E412" t="s">
        <v>1354</v>
      </c>
      <c r="M412" t="s">
        <v>1355</v>
      </c>
      <c r="N412" t="s">
        <v>127</v>
      </c>
      <c r="O412" t="s">
        <v>1097</v>
      </c>
      <c r="AH412" t="s">
        <v>787</v>
      </c>
    </row>
    <row r="413" spans="1:40" ht="18.75" customHeight="1" x14ac:dyDescent="0.3">
      <c r="A413" s="1">
        <v>2019134703456</v>
      </c>
      <c r="B413" t="s">
        <v>125</v>
      </c>
      <c r="C413" t="s">
        <v>1356</v>
      </c>
      <c r="D413" t="s">
        <v>1331</v>
      </c>
      <c r="E413" t="s">
        <v>43</v>
      </c>
      <c r="F413">
        <v>159</v>
      </c>
      <c r="G413">
        <v>43692</v>
      </c>
      <c r="H413">
        <v>44482</v>
      </c>
      <c r="I413">
        <v>44482</v>
      </c>
      <c r="L413" t="s">
        <v>135</v>
      </c>
      <c r="M413" t="s">
        <v>1332</v>
      </c>
      <c r="N413" t="s">
        <v>47</v>
      </c>
      <c r="O413" t="s">
        <v>1333</v>
      </c>
      <c r="P413" t="s">
        <v>49</v>
      </c>
      <c r="R413">
        <v>6</v>
      </c>
      <c r="S413">
        <v>0</v>
      </c>
      <c r="T413">
        <v>0</v>
      </c>
      <c r="U413" t="s">
        <v>1357</v>
      </c>
      <c r="W413">
        <v>30003011602898</v>
      </c>
      <c r="X413">
        <v>36586</v>
      </c>
      <c r="Y413" t="s">
        <v>550</v>
      </c>
      <c r="Z413">
        <v>0</v>
      </c>
      <c r="AA413">
        <v>0</v>
      </c>
      <c r="AB413">
        <v>0</v>
      </c>
      <c r="AD413" t="s">
        <v>271</v>
      </c>
      <c r="AE413" t="s">
        <v>73</v>
      </c>
      <c r="AF413">
        <v>70</v>
      </c>
      <c r="AG413">
        <v>171</v>
      </c>
      <c r="AH413">
        <f>IF([2]!Table1[[#This Row],[الوزن]]&lt;&gt;"",[2]!Table1[[#This Row],[الوزن]]-([2]!Table1[[#This Row],[الطول]]-100),"")</f>
        <v>1</v>
      </c>
      <c r="AJ413" t="s">
        <v>1358</v>
      </c>
      <c r="AN413" t="s">
        <v>56</v>
      </c>
    </row>
    <row r="414" spans="1:40" ht="18.75" customHeight="1" x14ac:dyDescent="0.3">
      <c r="A414" s="1">
        <v>2019138316677</v>
      </c>
      <c r="B414" t="s">
        <v>125</v>
      </c>
      <c r="C414" t="s">
        <v>1359</v>
      </c>
      <c r="D414" t="s">
        <v>1331</v>
      </c>
      <c r="E414" t="s">
        <v>43</v>
      </c>
      <c r="F414">
        <v>159</v>
      </c>
      <c r="G414">
        <v>43692</v>
      </c>
      <c r="H414">
        <v>44482</v>
      </c>
      <c r="I414">
        <v>44482</v>
      </c>
      <c r="L414" t="s">
        <v>135</v>
      </c>
      <c r="M414" t="s">
        <v>1332</v>
      </c>
      <c r="N414" t="s">
        <v>127</v>
      </c>
      <c r="O414" t="s">
        <v>1347</v>
      </c>
      <c r="P414" t="s">
        <v>49</v>
      </c>
      <c r="R414">
        <v>0</v>
      </c>
      <c r="S414">
        <v>0</v>
      </c>
      <c r="T414">
        <v>0</v>
      </c>
      <c r="U414" t="s">
        <v>1360</v>
      </c>
      <c r="W414">
        <v>30210201201577</v>
      </c>
      <c r="X414">
        <v>37549</v>
      </c>
      <c r="Y414" t="s">
        <v>103</v>
      </c>
      <c r="Z414">
        <v>1</v>
      </c>
      <c r="AA414">
        <v>1</v>
      </c>
      <c r="AB414">
        <v>0</v>
      </c>
      <c r="AD414" t="s">
        <v>155</v>
      </c>
      <c r="AE414" t="s">
        <v>118</v>
      </c>
      <c r="AF414">
        <v>74</v>
      </c>
      <c r="AG414">
        <v>173</v>
      </c>
      <c r="AH414">
        <f>IF([2]!Table1[[#This Row],[الوزن]]&lt;&gt;"",[2]!Table1[[#This Row],[الوزن]]-([2]!Table1[[#This Row],[الطول]]-100),"")</f>
        <v>-4</v>
      </c>
      <c r="AJ414" t="s">
        <v>1361</v>
      </c>
      <c r="AN414" t="s">
        <v>56</v>
      </c>
    </row>
    <row r="415" spans="1:40" ht="18.75" customHeight="1" x14ac:dyDescent="0.3">
      <c r="A415" s="1">
        <v>2007134702685</v>
      </c>
      <c r="B415" t="s">
        <v>57</v>
      </c>
      <c r="C415" t="s">
        <v>1362</v>
      </c>
      <c r="D415" t="s">
        <v>1363</v>
      </c>
      <c r="E415" t="s">
        <v>43</v>
      </c>
      <c r="F415">
        <v>138</v>
      </c>
      <c r="G415">
        <v>39284</v>
      </c>
      <c r="H415">
        <v>39759</v>
      </c>
      <c r="I415">
        <v>45474</v>
      </c>
      <c r="L415" t="s">
        <v>45</v>
      </c>
      <c r="M415" t="s">
        <v>342</v>
      </c>
      <c r="N415" t="s">
        <v>47</v>
      </c>
      <c r="O415" t="s">
        <v>372</v>
      </c>
      <c r="P415" t="s">
        <v>49</v>
      </c>
      <c r="R415">
        <v>33</v>
      </c>
      <c r="S415">
        <v>9</v>
      </c>
      <c r="U415" t="s">
        <v>1364</v>
      </c>
      <c r="W415">
        <v>28701190200454</v>
      </c>
      <c r="X415">
        <v>31796</v>
      </c>
      <c r="Y415" t="s">
        <v>338</v>
      </c>
      <c r="Z415">
        <v>4</v>
      </c>
      <c r="AA415">
        <v>1</v>
      </c>
      <c r="AB415">
        <v>3</v>
      </c>
      <c r="AD415" t="s">
        <v>1365</v>
      </c>
      <c r="AE415" t="s">
        <v>1366</v>
      </c>
      <c r="AF415">
        <v>85</v>
      </c>
      <c r="AG415">
        <v>189</v>
      </c>
      <c r="AH415">
        <f>IF([2]!Table1[[#This Row],[الوزن]]&lt;&gt;"",[2]!Table1[[#This Row],[الوزن]]-([2]!Table1[[#This Row],[الطول]]-100),"")</f>
        <v>4</v>
      </c>
      <c r="AJ415" t="s">
        <v>1367</v>
      </c>
      <c r="AN415" t="s">
        <v>56</v>
      </c>
    </row>
    <row r="416" spans="1:40" ht="18.75" customHeight="1" x14ac:dyDescent="0.3">
      <c r="A416" s="1">
        <v>2007135200505</v>
      </c>
      <c r="B416" t="s">
        <v>57</v>
      </c>
      <c r="C416" t="s">
        <v>1368</v>
      </c>
      <c r="D416" t="s">
        <v>334</v>
      </c>
      <c r="E416" t="s">
        <v>335</v>
      </c>
      <c r="F416">
        <v>138</v>
      </c>
      <c r="G416">
        <v>39284</v>
      </c>
      <c r="H416">
        <v>39758</v>
      </c>
      <c r="I416">
        <v>45292</v>
      </c>
      <c r="L416" t="s">
        <v>45</v>
      </c>
      <c r="M416" t="s">
        <v>335</v>
      </c>
      <c r="N416" t="s">
        <v>127</v>
      </c>
      <c r="O416" t="s">
        <v>336</v>
      </c>
      <c r="P416" t="s">
        <v>49</v>
      </c>
      <c r="R416">
        <v>3</v>
      </c>
      <c r="S416">
        <v>1</v>
      </c>
      <c r="U416" t="s">
        <v>1369</v>
      </c>
      <c r="W416">
        <v>29001201604996</v>
      </c>
      <c r="X416">
        <v>32893</v>
      </c>
      <c r="Y416" t="s">
        <v>338</v>
      </c>
      <c r="AB416">
        <v>2</v>
      </c>
      <c r="AF416">
        <v>80</v>
      </c>
      <c r="AG416">
        <v>176</v>
      </c>
      <c r="AH416">
        <v>4</v>
      </c>
      <c r="AJ416" t="s">
        <v>1370</v>
      </c>
    </row>
    <row r="417" spans="1:40" ht="18.75" customHeight="1" x14ac:dyDescent="0.3">
      <c r="A417" s="1">
        <v>2008135200462</v>
      </c>
      <c r="B417" t="s">
        <v>57</v>
      </c>
      <c r="C417" t="s">
        <v>1371</v>
      </c>
      <c r="D417" t="s">
        <v>334</v>
      </c>
      <c r="E417" t="s">
        <v>335</v>
      </c>
      <c r="F417">
        <v>140</v>
      </c>
      <c r="G417">
        <v>39655</v>
      </c>
      <c r="H417">
        <v>40129</v>
      </c>
      <c r="I417">
        <v>45658</v>
      </c>
      <c r="L417" t="s">
        <v>45</v>
      </c>
      <c r="M417" t="s">
        <v>335</v>
      </c>
      <c r="N417" t="s">
        <v>127</v>
      </c>
      <c r="O417" t="s">
        <v>336</v>
      </c>
      <c r="P417" t="s">
        <v>49</v>
      </c>
      <c r="R417">
        <v>2</v>
      </c>
      <c r="U417" t="s">
        <v>1372</v>
      </c>
      <c r="W417">
        <v>29108011706198</v>
      </c>
      <c r="X417">
        <v>33451</v>
      </c>
      <c r="Y417" t="s">
        <v>338</v>
      </c>
      <c r="AB417">
        <v>1</v>
      </c>
      <c r="AF417">
        <v>83</v>
      </c>
      <c r="AG417">
        <v>176</v>
      </c>
      <c r="AH417">
        <v>7</v>
      </c>
      <c r="AJ417" t="s">
        <v>1373</v>
      </c>
    </row>
    <row r="418" spans="1:40" ht="18.75" customHeight="1" x14ac:dyDescent="0.3">
      <c r="A418" s="1">
        <v>2018135200693</v>
      </c>
      <c r="B418" t="s">
        <v>106</v>
      </c>
      <c r="C418" t="s">
        <v>1374</v>
      </c>
      <c r="D418" t="s">
        <v>1375</v>
      </c>
      <c r="E418" t="s">
        <v>335</v>
      </c>
      <c r="G418">
        <v>43279</v>
      </c>
      <c r="H418">
        <v>44117</v>
      </c>
      <c r="I418">
        <v>46023</v>
      </c>
      <c r="J418">
        <v>44416</v>
      </c>
      <c r="K418">
        <v>44417</v>
      </c>
      <c r="L418" t="s">
        <v>135</v>
      </c>
      <c r="M418" t="s">
        <v>335</v>
      </c>
      <c r="N418" t="s">
        <v>127</v>
      </c>
      <c r="O418" t="s">
        <v>336</v>
      </c>
      <c r="P418" t="s">
        <v>49</v>
      </c>
      <c r="R418">
        <v>2</v>
      </c>
      <c r="S418">
        <v>0</v>
      </c>
      <c r="T418">
        <v>0</v>
      </c>
      <c r="W418">
        <v>29809101801511</v>
      </c>
      <c r="X418">
        <v>46266</v>
      </c>
      <c r="Y418" t="s">
        <v>153</v>
      </c>
      <c r="Z418">
        <v>0</v>
      </c>
      <c r="AA418">
        <v>0</v>
      </c>
      <c r="AB418">
        <v>0</v>
      </c>
      <c r="AC418" t="s">
        <v>1376</v>
      </c>
      <c r="AD418" t="s">
        <v>1377</v>
      </c>
      <c r="AE418" t="s">
        <v>54</v>
      </c>
      <c r="AG418" t="s">
        <v>787</v>
      </c>
      <c r="AI418" t="s">
        <v>298</v>
      </c>
      <c r="AN418" t="s">
        <v>145</v>
      </c>
    </row>
    <row r="419" spans="1:40" ht="18.75" customHeight="1" x14ac:dyDescent="0.3">
      <c r="A419" s="1">
        <v>2018135201302</v>
      </c>
      <c r="B419" t="s">
        <v>106</v>
      </c>
      <c r="C419" t="s">
        <v>1378</v>
      </c>
      <c r="D419" t="s">
        <v>1375</v>
      </c>
      <c r="E419" t="s">
        <v>335</v>
      </c>
      <c r="G419">
        <v>43279</v>
      </c>
      <c r="H419">
        <v>44117</v>
      </c>
      <c r="I419">
        <v>46023</v>
      </c>
      <c r="L419" t="s">
        <v>135</v>
      </c>
      <c r="M419" t="s">
        <v>335</v>
      </c>
      <c r="N419" t="s">
        <v>127</v>
      </c>
      <c r="O419" t="s">
        <v>336</v>
      </c>
      <c r="P419" t="s">
        <v>49</v>
      </c>
      <c r="R419">
        <v>0</v>
      </c>
      <c r="S419">
        <v>0</v>
      </c>
      <c r="T419">
        <v>0</v>
      </c>
      <c r="W419">
        <v>30009011710591</v>
      </c>
      <c r="X419">
        <v>36770</v>
      </c>
      <c r="Y419" t="s">
        <v>51</v>
      </c>
      <c r="Z419">
        <v>0</v>
      </c>
      <c r="AA419">
        <v>0</v>
      </c>
      <c r="AB419">
        <v>0</v>
      </c>
      <c r="AD419" t="s">
        <v>1379</v>
      </c>
      <c r="AE419" t="s">
        <v>167</v>
      </c>
      <c r="AG419" t="s">
        <v>787</v>
      </c>
      <c r="AN419" t="s">
        <v>145</v>
      </c>
    </row>
    <row r="420" spans="1:40" ht="18.75" customHeight="1" x14ac:dyDescent="0.3">
      <c r="A420" s="1">
        <v>2012134705290</v>
      </c>
      <c r="B420" t="s">
        <v>57</v>
      </c>
      <c r="C420" t="s">
        <v>1380</v>
      </c>
      <c r="D420" t="s">
        <v>1363</v>
      </c>
      <c r="E420" t="s">
        <v>43</v>
      </c>
      <c r="F420">
        <v>148</v>
      </c>
      <c r="G420">
        <v>41111</v>
      </c>
      <c r="H420">
        <v>41311</v>
      </c>
      <c r="I420">
        <v>45108</v>
      </c>
      <c r="L420" t="s">
        <v>1381</v>
      </c>
      <c r="M420" t="s">
        <v>342</v>
      </c>
      <c r="N420" t="s">
        <v>47</v>
      </c>
      <c r="O420" t="s">
        <v>372</v>
      </c>
      <c r="P420" t="s">
        <v>49</v>
      </c>
      <c r="U420" t="s">
        <v>1382</v>
      </c>
      <c r="W420">
        <v>28905232602773</v>
      </c>
      <c r="X420">
        <v>32651</v>
      </c>
      <c r="Y420" t="s">
        <v>1383</v>
      </c>
      <c r="Z420">
        <v>3</v>
      </c>
      <c r="AA420">
        <v>1</v>
      </c>
      <c r="AB420">
        <v>2</v>
      </c>
      <c r="AE420" t="s">
        <v>803</v>
      </c>
      <c r="AF420">
        <v>69</v>
      </c>
      <c r="AG420">
        <v>168</v>
      </c>
      <c r="AH420">
        <f>IF([2]!Table1[[#This Row],[الوزن]]&lt;&gt;"",[2]!Table1[[#This Row],[الوزن]]-([2]!Table1[[#This Row],[الطول]]-100),"")</f>
        <v>5</v>
      </c>
      <c r="AJ420" t="s">
        <v>1384</v>
      </c>
      <c r="AN420" t="s">
        <v>56</v>
      </c>
    </row>
    <row r="421" spans="1:40" ht="18.75" customHeight="1" x14ac:dyDescent="0.3">
      <c r="A421" s="1">
        <v>2002131100551</v>
      </c>
      <c r="B421" t="s">
        <v>210</v>
      </c>
      <c r="C421" t="s">
        <v>1385</v>
      </c>
      <c r="D421" t="s">
        <v>717</v>
      </c>
      <c r="E421" t="s">
        <v>718</v>
      </c>
      <c r="F421">
        <v>128</v>
      </c>
      <c r="G421">
        <v>37440</v>
      </c>
      <c r="H421">
        <v>37912</v>
      </c>
      <c r="I421">
        <v>45292</v>
      </c>
      <c r="J421">
        <v>45215</v>
      </c>
      <c r="L421" t="s">
        <v>135</v>
      </c>
      <c r="M421" t="s">
        <v>136</v>
      </c>
      <c r="N421" t="s">
        <v>448</v>
      </c>
      <c r="O421" t="s">
        <v>512</v>
      </c>
      <c r="P421" t="s">
        <v>49</v>
      </c>
      <c r="R421">
        <v>10</v>
      </c>
      <c r="S421">
        <v>2</v>
      </c>
      <c r="T421">
        <v>0</v>
      </c>
      <c r="U421" t="s">
        <v>514</v>
      </c>
      <c r="V421" t="s">
        <v>1386</v>
      </c>
      <c r="W421">
        <v>28208142501339</v>
      </c>
      <c r="AC421" t="s">
        <v>1387</v>
      </c>
      <c r="AF421">
        <v>75</v>
      </c>
      <c r="AG421">
        <v>170</v>
      </c>
      <c r="AH421">
        <v>5</v>
      </c>
      <c r="AJ421" t="s">
        <v>1388</v>
      </c>
    </row>
    <row r="422" spans="1:40" ht="18.75" customHeight="1" x14ac:dyDescent="0.3">
      <c r="A422" s="1">
        <v>2021134706900</v>
      </c>
      <c r="B422" t="s">
        <v>125</v>
      </c>
      <c r="C422" t="s">
        <v>1389</v>
      </c>
      <c r="D422" t="s">
        <v>1363</v>
      </c>
      <c r="E422" t="s">
        <v>43</v>
      </c>
      <c r="F422">
        <v>160</v>
      </c>
      <c r="G422">
        <v>44205</v>
      </c>
      <c r="H422">
        <v>45197</v>
      </c>
      <c r="I422">
        <v>45197</v>
      </c>
      <c r="L422" t="s">
        <v>45</v>
      </c>
      <c r="M422" t="s">
        <v>342</v>
      </c>
      <c r="N422" t="s">
        <v>47</v>
      </c>
      <c r="O422" t="s">
        <v>1390</v>
      </c>
      <c r="P422" t="s">
        <v>49</v>
      </c>
      <c r="U422" t="s">
        <v>1391</v>
      </c>
      <c r="W422">
        <v>29909101702054</v>
      </c>
      <c r="X422">
        <v>36413</v>
      </c>
      <c r="Y422" t="s">
        <v>1392</v>
      </c>
      <c r="AD422" t="s">
        <v>1393</v>
      </c>
      <c r="AE422" t="s">
        <v>1394</v>
      </c>
      <c r="AF422">
        <v>79</v>
      </c>
      <c r="AG422">
        <v>180</v>
      </c>
      <c r="AH422">
        <f>IF([2]!Table1[[#This Row],[الوزن]]&lt;&gt;"",[2]!Table1[[#This Row],[الوزن]]-([2]!Table1[[#This Row],[الطول]]-100),"")</f>
        <v>-5</v>
      </c>
      <c r="AJ422" t="s">
        <v>1395</v>
      </c>
      <c r="AN422" t="s">
        <v>56</v>
      </c>
    </row>
    <row r="423" spans="1:40" ht="18.75" customHeight="1" x14ac:dyDescent="0.3">
      <c r="A423" s="1">
        <v>2021134707594</v>
      </c>
      <c r="B423" t="s">
        <v>125</v>
      </c>
      <c r="C423" t="s">
        <v>1396</v>
      </c>
      <c r="D423" t="s">
        <v>1363</v>
      </c>
      <c r="E423" t="s">
        <v>43</v>
      </c>
      <c r="F423">
        <v>160</v>
      </c>
      <c r="G423">
        <v>44509</v>
      </c>
      <c r="H423">
        <v>45197</v>
      </c>
      <c r="I423">
        <v>45292</v>
      </c>
      <c r="L423" t="s">
        <v>45</v>
      </c>
      <c r="M423" t="s">
        <v>342</v>
      </c>
      <c r="N423" t="s">
        <v>47</v>
      </c>
      <c r="O423" t="s">
        <v>372</v>
      </c>
      <c r="P423" t="s">
        <v>49</v>
      </c>
      <c r="R423">
        <v>1</v>
      </c>
      <c r="U423" t="s">
        <v>1397</v>
      </c>
      <c r="W423">
        <v>30105261602335</v>
      </c>
      <c r="X423">
        <v>37037</v>
      </c>
      <c r="Y423" t="s">
        <v>767</v>
      </c>
      <c r="AD423" t="s">
        <v>111</v>
      </c>
      <c r="AE423" t="s">
        <v>1398</v>
      </c>
      <c r="AF423">
        <v>60</v>
      </c>
      <c r="AG423">
        <v>165</v>
      </c>
      <c r="AH423">
        <f>IF([2]!Table1[[#This Row],[الوزن]]&lt;&gt;"",[2]!Table1[[#This Row],[الوزن]]-([2]!Table1[[#This Row],[الطول]]-100),"")</f>
        <v>0</v>
      </c>
      <c r="AN423" t="s">
        <v>56</v>
      </c>
    </row>
    <row r="424" spans="1:40" ht="18.75" customHeight="1" x14ac:dyDescent="0.3">
      <c r="A424" s="1">
        <v>2021134708170</v>
      </c>
      <c r="B424" t="s">
        <v>125</v>
      </c>
      <c r="C424" t="s">
        <v>1399</v>
      </c>
      <c r="D424" t="s">
        <v>1363</v>
      </c>
      <c r="E424" t="s">
        <v>43</v>
      </c>
      <c r="F424">
        <v>160</v>
      </c>
      <c r="G424">
        <v>44205</v>
      </c>
      <c r="H424">
        <v>45197</v>
      </c>
      <c r="I424">
        <v>45197</v>
      </c>
      <c r="L424" t="s">
        <v>45</v>
      </c>
      <c r="M424" t="s">
        <v>342</v>
      </c>
      <c r="N424" t="s">
        <v>47</v>
      </c>
      <c r="O424" t="s">
        <v>372</v>
      </c>
      <c r="P424" t="s">
        <v>49</v>
      </c>
      <c r="U424" t="s">
        <v>1400</v>
      </c>
      <c r="W424">
        <v>29602182700915</v>
      </c>
      <c r="X424">
        <v>35113</v>
      </c>
      <c r="Y424" t="s">
        <v>550</v>
      </c>
      <c r="AD424" t="s">
        <v>1401</v>
      </c>
      <c r="AE424" t="s">
        <v>1402</v>
      </c>
      <c r="AF424">
        <v>81</v>
      </c>
      <c r="AG424">
        <v>181</v>
      </c>
      <c r="AH424">
        <f>IF([2]!Table1[[#This Row],[الوزن]]&lt;&gt;"",[2]!Table1[[#This Row],[الوزن]]-([2]!Table1[[#This Row],[الطول]]-100),"")</f>
        <v>-2</v>
      </c>
      <c r="AJ424" t="s">
        <v>1403</v>
      </c>
      <c r="AN424" t="s">
        <v>56</v>
      </c>
    </row>
    <row r="425" spans="1:40" ht="18.75" customHeight="1" x14ac:dyDescent="0.3">
      <c r="A425" s="1">
        <v>2021134712733</v>
      </c>
      <c r="B425" t="s">
        <v>125</v>
      </c>
      <c r="C425" t="s">
        <v>1404</v>
      </c>
      <c r="D425" t="s">
        <v>1363</v>
      </c>
      <c r="E425" t="s">
        <v>43</v>
      </c>
      <c r="F425">
        <v>161</v>
      </c>
      <c r="G425">
        <v>44546</v>
      </c>
      <c r="H425">
        <v>45292</v>
      </c>
      <c r="I425">
        <v>45658</v>
      </c>
      <c r="L425" t="s">
        <v>45</v>
      </c>
      <c r="M425" t="s">
        <v>342</v>
      </c>
      <c r="N425" t="s">
        <v>47</v>
      </c>
      <c r="O425" t="s">
        <v>372</v>
      </c>
      <c r="P425" t="s">
        <v>49</v>
      </c>
      <c r="U425" t="s">
        <v>1405</v>
      </c>
      <c r="W425">
        <v>30510301400279</v>
      </c>
      <c r="X425">
        <v>38655</v>
      </c>
      <c r="Y425" t="s">
        <v>767</v>
      </c>
      <c r="AD425" t="s">
        <v>1406</v>
      </c>
      <c r="AE425" t="s">
        <v>1407</v>
      </c>
      <c r="AF425">
        <v>78</v>
      </c>
      <c r="AG425">
        <v>180</v>
      </c>
      <c r="AH425">
        <f>IF([2]!Table1[[#This Row],[الوزن]]&lt;&gt;"",[2]!Table1[[#This Row],[الوزن]]-([2]!Table1[[#This Row],[الطول]]-100),"")</f>
        <v>0</v>
      </c>
      <c r="AN425" t="s">
        <v>56</v>
      </c>
    </row>
    <row r="426" spans="1:40" ht="18.75" customHeight="1" x14ac:dyDescent="0.3">
      <c r="A426" s="1">
        <v>2021134714424</v>
      </c>
      <c r="B426" t="s">
        <v>125</v>
      </c>
      <c r="C426" t="s">
        <v>1408</v>
      </c>
      <c r="D426" t="s">
        <v>1363</v>
      </c>
      <c r="E426" t="s">
        <v>43</v>
      </c>
      <c r="F426">
        <v>161</v>
      </c>
      <c r="G426">
        <v>44546</v>
      </c>
      <c r="H426">
        <v>45566</v>
      </c>
      <c r="I426">
        <v>45658</v>
      </c>
      <c r="L426" t="s">
        <v>45</v>
      </c>
      <c r="M426" t="s">
        <v>342</v>
      </c>
      <c r="N426" t="s">
        <v>47</v>
      </c>
      <c r="O426" t="s">
        <v>1409</v>
      </c>
      <c r="P426" t="s">
        <v>49</v>
      </c>
      <c r="U426" t="s">
        <v>1410</v>
      </c>
      <c r="W426">
        <v>30102141801475</v>
      </c>
      <c r="X426">
        <v>36936</v>
      </c>
      <c r="Y426" t="s">
        <v>550</v>
      </c>
      <c r="AD426" t="s">
        <v>1411</v>
      </c>
      <c r="AE426" t="s">
        <v>1412</v>
      </c>
      <c r="AF426">
        <v>75</v>
      </c>
      <c r="AG426">
        <v>175</v>
      </c>
      <c r="AH426">
        <f>IF([2]!Table1[[#This Row],[الوزن]]&lt;&gt;"",[2]!Table1[[#This Row],[الوزن]]-([2]!Table1[[#This Row],[الطول]]-100),"")</f>
        <v>-3</v>
      </c>
      <c r="AN426" t="s">
        <v>56</v>
      </c>
    </row>
    <row r="427" spans="1:40" ht="18.75" customHeight="1" x14ac:dyDescent="0.3">
      <c r="A427" s="1">
        <v>2021134715810</v>
      </c>
      <c r="B427" t="s">
        <v>125</v>
      </c>
      <c r="C427" t="s">
        <v>1413</v>
      </c>
      <c r="D427" t="s">
        <v>1363</v>
      </c>
      <c r="E427" t="s">
        <v>43</v>
      </c>
      <c r="F427">
        <v>161</v>
      </c>
      <c r="G427">
        <v>44546</v>
      </c>
      <c r="H427">
        <v>45292</v>
      </c>
      <c r="I427">
        <v>45658</v>
      </c>
      <c r="L427" t="s">
        <v>45</v>
      </c>
      <c r="M427" t="s">
        <v>342</v>
      </c>
      <c r="N427" t="s">
        <v>47</v>
      </c>
      <c r="O427" t="s">
        <v>491</v>
      </c>
      <c r="P427" t="s">
        <v>49</v>
      </c>
      <c r="U427" t="s">
        <v>1414</v>
      </c>
      <c r="V427" t="s">
        <v>1415</v>
      </c>
      <c r="W427">
        <v>30309011329018</v>
      </c>
      <c r="X427">
        <v>37865</v>
      </c>
      <c r="Y427" t="s">
        <v>550</v>
      </c>
      <c r="Z427">
        <v>0</v>
      </c>
      <c r="AA427">
        <v>0</v>
      </c>
      <c r="AB427">
        <v>0</v>
      </c>
      <c r="AC427" t="s">
        <v>1416</v>
      </c>
      <c r="AD427" t="s">
        <v>1417</v>
      </c>
      <c r="AE427" t="s">
        <v>1418</v>
      </c>
      <c r="AF427">
        <v>75</v>
      </c>
      <c r="AG427">
        <v>178</v>
      </c>
      <c r="AH427">
        <f>IF([2]!Table1[[#This Row],[الوزن]]&lt;&gt;"",[2]!Table1[[#This Row],[الوزن]]-([2]!Table1[[#This Row],[الطول]]-100),"")</f>
        <v>-7</v>
      </c>
      <c r="AN427" t="s">
        <v>56</v>
      </c>
    </row>
    <row r="428" spans="1:40" ht="18.75" customHeight="1" x14ac:dyDescent="0.3">
      <c r="A428" s="1">
        <v>2023134705453</v>
      </c>
      <c r="B428" t="s">
        <v>125</v>
      </c>
      <c r="C428" t="s">
        <v>1419</v>
      </c>
      <c r="D428" t="s">
        <v>1363</v>
      </c>
      <c r="E428" t="s">
        <v>43</v>
      </c>
      <c r="F428">
        <v>162</v>
      </c>
      <c r="G428">
        <v>44941</v>
      </c>
      <c r="H428">
        <v>44941</v>
      </c>
      <c r="I428">
        <v>44941</v>
      </c>
      <c r="L428" t="s">
        <v>1420</v>
      </c>
      <c r="M428" t="s">
        <v>342</v>
      </c>
      <c r="N428" t="s">
        <v>47</v>
      </c>
      <c r="O428" t="s">
        <v>372</v>
      </c>
      <c r="U428" t="s">
        <v>1421</v>
      </c>
      <c r="V428" t="s">
        <v>1422</v>
      </c>
      <c r="W428">
        <v>30007192402858</v>
      </c>
      <c r="X428">
        <v>37268</v>
      </c>
      <c r="Y428" t="s">
        <v>550</v>
      </c>
      <c r="AD428" t="s">
        <v>1423</v>
      </c>
      <c r="AE428" t="s">
        <v>1423</v>
      </c>
      <c r="AF428">
        <v>70</v>
      </c>
      <c r="AG428">
        <v>177</v>
      </c>
      <c r="AH428">
        <f>IF([2]!Table1[[#This Row],[الوزن]]&lt;&gt;"",[2]!Table1[[#This Row],[الوزن]]-([2]!Table1[[#This Row],[الطول]]-100),"")</f>
        <v>-5</v>
      </c>
      <c r="AN428" t="s">
        <v>56</v>
      </c>
    </row>
    <row r="429" spans="1:40" ht="18.75" customHeight="1" x14ac:dyDescent="0.3">
      <c r="A429" s="1">
        <v>2012134790499</v>
      </c>
      <c r="B429" t="s">
        <v>66</v>
      </c>
      <c r="C429" t="s">
        <v>1424</v>
      </c>
      <c r="D429" t="s">
        <v>1363</v>
      </c>
      <c r="E429" t="s">
        <v>43</v>
      </c>
      <c r="F429">
        <v>15</v>
      </c>
      <c r="G429">
        <v>41154</v>
      </c>
      <c r="H429">
        <v>41155</v>
      </c>
      <c r="I429">
        <v>44927</v>
      </c>
      <c r="L429" t="s">
        <v>45</v>
      </c>
      <c r="M429" t="s">
        <v>342</v>
      </c>
      <c r="N429" t="s">
        <v>47</v>
      </c>
      <c r="O429" t="s">
        <v>1425</v>
      </c>
      <c r="P429" t="s">
        <v>49</v>
      </c>
      <c r="R429">
        <v>13</v>
      </c>
      <c r="U429" t="s">
        <v>1426</v>
      </c>
      <c r="W429">
        <v>29511201802591</v>
      </c>
      <c r="X429">
        <v>35023</v>
      </c>
      <c r="Y429" t="s">
        <v>103</v>
      </c>
      <c r="Z429">
        <v>2</v>
      </c>
      <c r="AA429">
        <v>2</v>
      </c>
      <c r="AD429" t="s">
        <v>1427</v>
      </c>
      <c r="AE429" t="s">
        <v>1412</v>
      </c>
      <c r="AF429">
        <v>84</v>
      </c>
      <c r="AG429">
        <v>189</v>
      </c>
      <c r="AH429">
        <f>IF([2]!Table1[[#This Row],[الوزن]]&lt;&gt;"",[2]!Table1[[#This Row],[الوزن]]-([2]!Table1[[#This Row],[الطول]]-100),"")</f>
        <v>-4</v>
      </c>
      <c r="AJ429" t="s">
        <v>1428</v>
      </c>
      <c r="AN429" t="s">
        <v>56</v>
      </c>
    </row>
    <row r="430" spans="1:40" ht="18.75" customHeight="1" x14ac:dyDescent="0.3">
      <c r="A430" s="1">
        <v>2012134791083</v>
      </c>
      <c r="B430" t="s">
        <v>66</v>
      </c>
      <c r="C430" t="s">
        <v>1429</v>
      </c>
      <c r="D430" t="s">
        <v>1363</v>
      </c>
      <c r="E430" t="s">
        <v>43</v>
      </c>
      <c r="F430" t="s">
        <v>1430</v>
      </c>
      <c r="G430">
        <v>41154</v>
      </c>
      <c r="H430">
        <v>41155</v>
      </c>
      <c r="I430">
        <v>44927</v>
      </c>
      <c r="L430" t="s">
        <v>45</v>
      </c>
      <c r="M430" t="s">
        <v>342</v>
      </c>
      <c r="N430" t="s">
        <v>47</v>
      </c>
      <c r="O430" t="s">
        <v>1425</v>
      </c>
      <c r="P430" t="s">
        <v>49</v>
      </c>
      <c r="R430">
        <v>1</v>
      </c>
      <c r="U430" t="s">
        <v>1431</v>
      </c>
      <c r="W430">
        <v>29704011608031</v>
      </c>
      <c r="X430">
        <v>35531</v>
      </c>
      <c r="Y430" t="s">
        <v>767</v>
      </c>
      <c r="AD430" t="s">
        <v>1432</v>
      </c>
      <c r="AE430" t="s">
        <v>1398</v>
      </c>
      <c r="AF430">
        <v>75</v>
      </c>
      <c r="AG430">
        <v>179</v>
      </c>
      <c r="AH430">
        <f>IF([2]!Table1[[#This Row],[الوزن]]&lt;&gt;"",[2]!Table1[[#This Row],[الوزن]]-([2]!Table1[[#This Row],[الطول]]-100),"")</f>
        <v>-9</v>
      </c>
      <c r="AJ430" t="s">
        <v>1433</v>
      </c>
      <c r="AN430" t="s">
        <v>56</v>
      </c>
    </row>
    <row r="431" spans="1:40" ht="18.75" customHeight="1" x14ac:dyDescent="0.3">
      <c r="A431" s="1">
        <v>2014134790544</v>
      </c>
      <c r="B431" t="s">
        <v>66</v>
      </c>
      <c r="C431" t="s">
        <v>1434</v>
      </c>
      <c r="D431" t="s">
        <v>1363</v>
      </c>
      <c r="E431" t="s">
        <v>43</v>
      </c>
      <c r="F431">
        <v>17</v>
      </c>
      <c r="G431">
        <v>41883</v>
      </c>
      <c r="H431">
        <v>41884</v>
      </c>
      <c r="I431">
        <v>45658</v>
      </c>
      <c r="L431" t="s">
        <v>771</v>
      </c>
      <c r="M431" t="s">
        <v>342</v>
      </c>
      <c r="N431" t="s">
        <v>47</v>
      </c>
      <c r="O431" t="s">
        <v>1435</v>
      </c>
      <c r="R431">
        <v>1</v>
      </c>
      <c r="U431" t="s">
        <v>1436</v>
      </c>
      <c r="W431">
        <v>29812021802356</v>
      </c>
      <c r="X431">
        <v>36131</v>
      </c>
      <c r="Y431" t="s">
        <v>338</v>
      </c>
      <c r="Z431">
        <v>1</v>
      </c>
      <c r="AA431">
        <v>1</v>
      </c>
      <c r="AD431" t="s">
        <v>1437</v>
      </c>
      <c r="AE431" t="s">
        <v>1412</v>
      </c>
      <c r="AF431">
        <v>77</v>
      </c>
      <c r="AG431">
        <v>186</v>
      </c>
      <c r="AH431" t="str">
        <f>IF([2]!Table1[[#This Row],[الوزن]]&lt;&gt;"",[2]!Table1[[#This Row],[الوزن]]-([2]!Table1[[#This Row],[الطول]]-100),"")</f>
        <v/>
      </c>
      <c r="AJ431" t="s">
        <v>1438</v>
      </c>
      <c r="AN431" t="s">
        <v>56</v>
      </c>
    </row>
    <row r="432" spans="1:40" ht="18.75" customHeight="1" x14ac:dyDescent="0.3">
      <c r="A432" s="1">
        <v>2018135201609</v>
      </c>
      <c r="B432" t="s">
        <v>106</v>
      </c>
      <c r="C432" t="s">
        <v>1439</v>
      </c>
      <c r="D432" t="s">
        <v>1375</v>
      </c>
      <c r="E432" t="s">
        <v>335</v>
      </c>
      <c r="G432">
        <v>43279</v>
      </c>
      <c r="H432">
        <v>44117</v>
      </c>
      <c r="I432">
        <v>46023</v>
      </c>
      <c r="J432">
        <v>45324</v>
      </c>
      <c r="K432">
        <v>45325</v>
      </c>
      <c r="L432" t="s">
        <v>135</v>
      </c>
      <c r="M432" t="s">
        <v>335</v>
      </c>
      <c r="N432" t="s">
        <v>127</v>
      </c>
      <c r="O432" t="s">
        <v>336</v>
      </c>
      <c r="P432" t="s">
        <v>49</v>
      </c>
      <c r="R432">
        <v>2</v>
      </c>
      <c r="S432">
        <v>0</v>
      </c>
      <c r="T432" t="s">
        <v>439</v>
      </c>
      <c r="W432">
        <v>29912021601231</v>
      </c>
      <c r="X432">
        <v>36496</v>
      </c>
      <c r="Y432" t="s">
        <v>153</v>
      </c>
      <c r="Z432">
        <v>0</v>
      </c>
      <c r="AA432">
        <v>0</v>
      </c>
      <c r="AB432">
        <v>0</v>
      </c>
      <c r="AC432" t="s">
        <v>1440</v>
      </c>
      <c r="AD432" t="s">
        <v>1441</v>
      </c>
      <c r="AE432" t="s">
        <v>73</v>
      </c>
      <c r="AG432" t="s">
        <v>787</v>
      </c>
      <c r="AJ432" t="s">
        <v>1442</v>
      </c>
      <c r="AN432" t="s">
        <v>145</v>
      </c>
    </row>
    <row r="433" spans="1:40" ht="18.75" customHeight="1" x14ac:dyDescent="0.3">
      <c r="A433" s="1">
        <v>2016134703155</v>
      </c>
      <c r="B433" t="s">
        <v>75</v>
      </c>
      <c r="C433" t="s">
        <v>1443</v>
      </c>
      <c r="D433" t="s">
        <v>1363</v>
      </c>
      <c r="E433" t="s">
        <v>43</v>
      </c>
      <c r="F433">
        <v>156</v>
      </c>
      <c r="G433">
        <v>42575</v>
      </c>
      <c r="H433">
        <v>42575</v>
      </c>
      <c r="L433" t="s">
        <v>1444</v>
      </c>
      <c r="M433" t="s">
        <v>342</v>
      </c>
      <c r="N433" t="s">
        <v>47</v>
      </c>
      <c r="O433" t="s">
        <v>1445</v>
      </c>
      <c r="P433" t="s">
        <v>49</v>
      </c>
      <c r="U433" t="s">
        <v>1446</v>
      </c>
      <c r="W433">
        <v>29402251601399</v>
      </c>
      <c r="Y433" t="s">
        <v>338</v>
      </c>
      <c r="Z433">
        <v>2</v>
      </c>
      <c r="AA433">
        <v>2</v>
      </c>
      <c r="AD433" t="s">
        <v>1447</v>
      </c>
      <c r="AE433" t="s">
        <v>1394</v>
      </c>
      <c r="AF433">
        <v>82</v>
      </c>
      <c r="AG433">
        <v>185</v>
      </c>
      <c r="AH433">
        <f>IF([2]!Table1[[#This Row],[الوزن]]&lt;&gt;"",[2]!Table1[[#This Row],[الوزن]]-([2]!Table1[[#This Row],[الطول]]-100),"")</f>
        <v>-4</v>
      </c>
      <c r="AJ433" t="s">
        <v>1448</v>
      </c>
      <c r="AN433" t="s">
        <v>56</v>
      </c>
    </row>
    <row r="434" spans="1:40" ht="18.75" customHeight="1" x14ac:dyDescent="0.3">
      <c r="A434" s="1">
        <v>2017134700563</v>
      </c>
      <c r="B434" t="s">
        <v>75</v>
      </c>
      <c r="C434" t="s">
        <v>1449</v>
      </c>
      <c r="D434" t="s">
        <v>1363</v>
      </c>
      <c r="E434" t="s">
        <v>43</v>
      </c>
      <c r="F434">
        <v>157</v>
      </c>
      <c r="G434">
        <v>42915</v>
      </c>
      <c r="H434">
        <v>42915</v>
      </c>
      <c r="I434">
        <v>43662</v>
      </c>
      <c r="L434" t="s">
        <v>1444</v>
      </c>
      <c r="M434" t="s">
        <v>342</v>
      </c>
      <c r="N434" t="s">
        <v>47</v>
      </c>
      <c r="O434" t="s">
        <v>1450</v>
      </c>
      <c r="P434" t="s">
        <v>49</v>
      </c>
      <c r="R434">
        <v>5</v>
      </c>
      <c r="U434" t="s">
        <v>1451</v>
      </c>
      <c r="W434">
        <v>29708042101739</v>
      </c>
      <c r="X434">
        <v>35646</v>
      </c>
      <c r="Y434" t="s">
        <v>767</v>
      </c>
      <c r="AD434" t="s">
        <v>1452</v>
      </c>
      <c r="AE434" t="s">
        <v>1453</v>
      </c>
      <c r="AF434">
        <v>75</v>
      </c>
      <c r="AG434">
        <v>179</v>
      </c>
      <c r="AH434">
        <f>IF([2]!Table1[[#This Row],[الوزن]]&lt;&gt;"",[2]!Table1[[#This Row],[الوزن]]-([2]!Table1[[#This Row],[الطول]]-100),"")</f>
        <v>-3</v>
      </c>
      <c r="AJ434" t="s">
        <v>1454</v>
      </c>
      <c r="AN434" t="s">
        <v>625</v>
      </c>
    </row>
    <row r="435" spans="1:40" ht="18.75" customHeight="1" x14ac:dyDescent="0.3">
      <c r="A435" s="1">
        <v>2017134705638</v>
      </c>
      <c r="B435" t="s">
        <v>75</v>
      </c>
      <c r="C435" t="s">
        <v>1455</v>
      </c>
      <c r="D435" t="s">
        <v>1363</v>
      </c>
      <c r="E435" t="s">
        <v>43</v>
      </c>
      <c r="F435">
        <v>157</v>
      </c>
      <c r="G435">
        <v>42915</v>
      </c>
      <c r="H435">
        <v>42915</v>
      </c>
      <c r="I435">
        <v>43662</v>
      </c>
      <c r="L435" t="s">
        <v>1444</v>
      </c>
      <c r="M435" t="s">
        <v>342</v>
      </c>
      <c r="N435" t="s">
        <v>47</v>
      </c>
      <c r="O435" t="s">
        <v>1445</v>
      </c>
      <c r="Q435" t="s">
        <v>49</v>
      </c>
      <c r="U435" t="s">
        <v>1456</v>
      </c>
      <c r="W435">
        <v>29802071501394</v>
      </c>
      <c r="Y435" t="s">
        <v>338</v>
      </c>
      <c r="Z435">
        <v>1</v>
      </c>
      <c r="AA435">
        <v>1</v>
      </c>
      <c r="AD435" t="s">
        <v>1457</v>
      </c>
      <c r="AE435" t="s">
        <v>1458</v>
      </c>
      <c r="AF435">
        <v>82</v>
      </c>
      <c r="AG435">
        <v>185</v>
      </c>
      <c r="AH435">
        <f>IF([2]!Table1[[#This Row],[الوزن]]&lt;&gt;"",[2]!Table1[[#This Row],[الوزن]]-([2]!Table1[[#This Row],[الطول]]-100),"")</f>
        <v>-2</v>
      </c>
      <c r="AJ435" t="s">
        <v>1459</v>
      </c>
      <c r="AN435" t="s">
        <v>625</v>
      </c>
    </row>
    <row r="436" spans="1:40" ht="18.75" customHeight="1" x14ac:dyDescent="0.3">
      <c r="A436" s="1">
        <v>2018134703820</v>
      </c>
      <c r="B436" t="s">
        <v>75</v>
      </c>
      <c r="C436" t="s">
        <v>1460</v>
      </c>
      <c r="D436" t="s">
        <v>1363</v>
      </c>
      <c r="E436" t="s">
        <v>43</v>
      </c>
      <c r="F436">
        <v>158</v>
      </c>
      <c r="G436">
        <v>43279</v>
      </c>
      <c r="H436">
        <v>43279</v>
      </c>
      <c r="I436">
        <v>46023</v>
      </c>
      <c r="L436" t="s">
        <v>1420</v>
      </c>
      <c r="M436" t="s">
        <v>342</v>
      </c>
      <c r="N436" t="s">
        <v>47</v>
      </c>
      <c r="O436" t="s">
        <v>1445</v>
      </c>
      <c r="R436">
        <v>5</v>
      </c>
      <c r="S436">
        <v>0</v>
      </c>
      <c r="U436" t="s">
        <v>1461</v>
      </c>
      <c r="W436">
        <v>29602241304131</v>
      </c>
      <c r="X436">
        <v>35119</v>
      </c>
      <c r="Y436" t="s">
        <v>550</v>
      </c>
      <c r="AD436" t="s">
        <v>297</v>
      </c>
      <c r="AE436" t="s">
        <v>1418</v>
      </c>
      <c r="AF436">
        <v>65</v>
      </c>
      <c r="AG436">
        <v>167</v>
      </c>
      <c r="AH436">
        <f>IF([2]!Table1[[#This Row],[الوزن]]&lt;&gt;"",[2]!Table1[[#This Row],[الوزن]]-([2]!Table1[[#This Row],[الطول]]-100),"")</f>
        <v>-3</v>
      </c>
      <c r="AJ436" t="s">
        <v>1462</v>
      </c>
      <c r="AN436" t="s">
        <v>625</v>
      </c>
    </row>
    <row r="437" spans="1:40" ht="18.75" customHeight="1" x14ac:dyDescent="0.3">
      <c r="A437" s="1">
        <v>2018134707129</v>
      </c>
      <c r="B437" t="s">
        <v>75</v>
      </c>
      <c r="C437" t="s">
        <v>1463</v>
      </c>
      <c r="D437" t="s">
        <v>1363</v>
      </c>
      <c r="E437" t="s">
        <v>43</v>
      </c>
      <c r="F437">
        <v>158</v>
      </c>
      <c r="G437">
        <v>43279</v>
      </c>
      <c r="H437">
        <v>43279</v>
      </c>
      <c r="I437">
        <v>44117</v>
      </c>
      <c r="L437" t="s">
        <v>1420</v>
      </c>
      <c r="M437" t="s">
        <v>342</v>
      </c>
      <c r="N437" t="s">
        <v>47</v>
      </c>
      <c r="O437" t="s">
        <v>1445</v>
      </c>
      <c r="P437" t="s">
        <v>49</v>
      </c>
      <c r="R437">
        <v>1</v>
      </c>
      <c r="U437" t="s">
        <v>1464</v>
      </c>
      <c r="W437">
        <v>29810132200573</v>
      </c>
      <c r="X437">
        <v>36081</v>
      </c>
      <c r="Y437" t="s">
        <v>51</v>
      </c>
      <c r="AD437" t="s">
        <v>1465</v>
      </c>
      <c r="AE437" t="s">
        <v>1466</v>
      </c>
      <c r="AF437">
        <v>75</v>
      </c>
      <c r="AG437">
        <v>178</v>
      </c>
      <c r="AH437">
        <f>IF([2]!Table1[[#This Row],[الوزن]]&lt;&gt;"",[2]!Table1[[#This Row],[الوزن]]-([2]!Table1[[#This Row],[الطول]]-100),"")</f>
        <v>-2</v>
      </c>
      <c r="AJ437" t="s">
        <v>1467</v>
      </c>
      <c r="AN437" t="s">
        <v>625</v>
      </c>
    </row>
    <row r="438" spans="1:40" ht="18.75" customHeight="1" x14ac:dyDescent="0.3">
      <c r="A438" s="1">
        <v>2015130401490</v>
      </c>
      <c r="B438" t="s">
        <v>106</v>
      </c>
      <c r="C438" t="s">
        <v>1468</v>
      </c>
      <c r="D438" t="s">
        <v>1363</v>
      </c>
      <c r="E438" t="s">
        <v>43</v>
      </c>
      <c r="F438">
        <v>153</v>
      </c>
      <c r="G438">
        <v>42020</v>
      </c>
      <c r="H438">
        <v>42501</v>
      </c>
      <c r="I438">
        <v>44378</v>
      </c>
      <c r="L438" t="s">
        <v>771</v>
      </c>
      <c r="M438" t="s">
        <v>342</v>
      </c>
      <c r="N438" t="s">
        <v>78</v>
      </c>
      <c r="O438" t="s">
        <v>1469</v>
      </c>
      <c r="P438" t="s">
        <v>49</v>
      </c>
      <c r="U438" t="s">
        <v>1470</v>
      </c>
      <c r="W438">
        <v>25909052702452</v>
      </c>
      <c r="X438">
        <v>34947</v>
      </c>
      <c r="Y438" t="s">
        <v>338</v>
      </c>
      <c r="Z438">
        <v>2</v>
      </c>
      <c r="AA438">
        <v>2</v>
      </c>
      <c r="AD438" t="s">
        <v>1471</v>
      </c>
      <c r="AE438" t="s">
        <v>234</v>
      </c>
      <c r="AF438">
        <v>78</v>
      </c>
      <c r="AG438">
        <v>180</v>
      </c>
      <c r="AH438">
        <f>IF([2]!Table1[[#This Row],[الوزن]]&lt;&gt;"",[2]!Table1[[#This Row],[الوزن]]-([2]!Table1[[#This Row],[الطول]]-100),"")</f>
        <v>3</v>
      </c>
      <c r="AJ438" t="s">
        <v>1472</v>
      </c>
      <c r="AN438" t="s">
        <v>625</v>
      </c>
    </row>
    <row r="439" spans="1:40" ht="18.75" customHeight="1" x14ac:dyDescent="0.3">
      <c r="A439" s="1">
        <v>2015134703024</v>
      </c>
      <c r="B439" t="s">
        <v>106</v>
      </c>
      <c r="C439" t="s">
        <v>1473</v>
      </c>
      <c r="D439" t="s">
        <v>1363</v>
      </c>
      <c r="E439" t="s">
        <v>43</v>
      </c>
      <c r="F439">
        <v>153</v>
      </c>
      <c r="G439">
        <v>42030</v>
      </c>
      <c r="H439">
        <v>42135</v>
      </c>
      <c r="I439">
        <v>44378</v>
      </c>
      <c r="L439" t="s">
        <v>771</v>
      </c>
      <c r="M439" t="s">
        <v>342</v>
      </c>
      <c r="N439" t="s">
        <v>47</v>
      </c>
      <c r="O439" t="s">
        <v>372</v>
      </c>
      <c r="P439" t="s">
        <v>49</v>
      </c>
      <c r="R439">
        <v>5</v>
      </c>
      <c r="S439">
        <v>1</v>
      </c>
      <c r="U439" t="s">
        <v>1474</v>
      </c>
      <c r="W439">
        <v>29611141801811</v>
      </c>
      <c r="X439">
        <v>35383</v>
      </c>
      <c r="Y439" t="s">
        <v>338</v>
      </c>
      <c r="Z439">
        <v>1</v>
      </c>
      <c r="AA439">
        <v>1</v>
      </c>
      <c r="AD439" t="s">
        <v>1427</v>
      </c>
      <c r="AE439" t="s">
        <v>1412</v>
      </c>
      <c r="AF439">
        <v>80</v>
      </c>
      <c r="AG439">
        <v>177</v>
      </c>
      <c r="AH439">
        <f>IF([2]!Table1[[#This Row],[الوزن]]&lt;&gt;"",[2]!Table1[[#This Row],[الوزن]]-([2]!Table1[[#This Row],[الطول]]-100),"")</f>
        <v>0</v>
      </c>
      <c r="AJ439" t="s">
        <v>1475</v>
      </c>
      <c r="AN439" t="s">
        <v>625</v>
      </c>
    </row>
    <row r="440" spans="1:40" ht="18.75" customHeight="1" x14ac:dyDescent="0.3">
      <c r="A440" s="1">
        <v>2015134711465</v>
      </c>
      <c r="B440" t="s">
        <v>106</v>
      </c>
      <c r="C440" t="s">
        <v>1476</v>
      </c>
      <c r="D440" t="s">
        <v>1363</v>
      </c>
      <c r="E440" t="s">
        <v>43</v>
      </c>
      <c r="F440">
        <v>154</v>
      </c>
      <c r="G440" t="s">
        <v>1477</v>
      </c>
      <c r="H440">
        <v>42790</v>
      </c>
      <c r="I440">
        <v>44743</v>
      </c>
      <c r="L440" t="s">
        <v>771</v>
      </c>
      <c r="M440" t="s">
        <v>342</v>
      </c>
      <c r="N440" t="s">
        <v>47</v>
      </c>
      <c r="O440" t="s">
        <v>1478</v>
      </c>
      <c r="P440" t="s">
        <v>49</v>
      </c>
      <c r="R440">
        <v>2</v>
      </c>
      <c r="U440" t="s">
        <v>1479</v>
      </c>
      <c r="W440">
        <v>29601201202593</v>
      </c>
      <c r="X440">
        <v>35084</v>
      </c>
      <c r="Y440" t="s">
        <v>338</v>
      </c>
      <c r="Z440">
        <v>2</v>
      </c>
      <c r="AA440">
        <v>1</v>
      </c>
      <c r="AB440">
        <v>1</v>
      </c>
      <c r="AD440" t="s">
        <v>117</v>
      </c>
      <c r="AE440" t="s">
        <v>1480</v>
      </c>
      <c r="AF440">
        <v>78</v>
      </c>
      <c r="AG440">
        <v>178</v>
      </c>
      <c r="AH440" t="str">
        <f>IF([2]!Table1[[#This Row],[الوزن]]&lt;&gt;"",[2]!Table1[[#This Row],[الوزن]]-([2]!Table1[[#This Row],[الطول]]-100),"")</f>
        <v/>
      </c>
      <c r="AJ440" t="s">
        <v>1481</v>
      </c>
      <c r="AN440" t="s">
        <v>625</v>
      </c>
    </row>
    <row r="441" spans="1:40" ht="18.75" customHeight="1" x14ac:dyDescent="0.3">
      <c r="A441" s="1">
        <v>2018135201964</v>
      </c>
      <c r="B441" t="s">
        <v>106</v>
      </c>
      <c r="C441" t="s">
        <v>1482</v>
      </c>
      <c r="D441" t="s">
        <v>1375</v>
      </c>
      <c r="E441" t="s">
        <v>335</v>
      </c>
      <c r="G441">
        <v>43279</v>
      </c>
      <c r="I441">
        <v>46023</v>
      </c>
      <c r="J441">
        <v>44416</v>
      </c>
      <c r="K441">
        <v>44417</v>
      </c>
      <c r="L441" t="s">
        <v>135</v>
      </c>
      <c r="M441" t="s">
        <v>335</v>
      </c>
      <c r="N441" t="s">
        <v>127</v>
      </c>
      <c r="O441" t="s">
        <v>336</v>
      </c>
      <c r="P441" t="s">
        <v>49</v>
      </c>
      <c r="R441">
        <v>1</v>
      </c>
      <c r="S441">
        <v>0</v>
      </c>
      <c r="T441" t="s">
        <v>439</v>
      </c>
      <c r="W441">
        <v>30301171202196</v>
      </c>
      <c r="X441">
        <v>37638</v>
      </c>
      <c r="Y441" t="s">
        <v>153</v>
      </c>
      <c r="Z441">
        <v>0</v>
      </c>
      <c r="AA441">
        <v>0</v>
      </c>
      <c r="AB441">
        <v>0</v>
      </c>
      <c r="AC441" t="s">
        <v>1483</v>
      </c>
      <c r="AD441" t="s">
        <v>155</v>
      </c>
      <c r="AE441" t="s">
        <v>118</v>
      </c>
      <c r="AG441" t="s">
        <v>787</v>
      </c>
      <c r="AJ441" t="s">
        <v>298</v>
      </c>
      <c r="AN441" t="s">
        <v>145</v>
      </c>
    </row>
    <row r="442" spans="1:40" ht="18.75" customHeight="1" x14ac:dyDescent="0.3">
      <c r="A442" s="1">
        <v>2011130402652</v>
      </c>
      <c r="B442" t="s">
        <v>75</v>
      </c>
      <c r="C442" t="s">
        <v>1484</v>
      </c>
      <c r="D442" t="s">
        <v>1485</v>
      </c>
      <c r="E442" t="s">
        <v>43</v>
      </c>
      <c r="F442">
        <v>146</v>
      </c>
      <c r="G442">
        <v>40726</v>
      </c>
      <c r="H442">
        <v>41223</v>
      </c>
      <c r="I442">
        <v>44927</v>
      </c>
      <c r="L442" t="s">
        <v>135</v>
      </c>
      <c r="M442" t="s">
        <v>1486</v>
      </c>
      <c r="N442" t="s">
        <v>78</v>
      </c>
      <c r="O442" t="s">
        <v>148</v>
      </c>
      <c r="P442" t="s">
        <v>49</v>
      </c>
      <c r="R442">
        <v>11</v>
      </c>
      <c r="S442">
        <v>2</v>
      </c>
      <c r="T442">
        <v>0</v>
      </c>
      <c r="U442" t="s">
        <v>1487</v>
      </c>
      <c r="V442" t="s">
        <v>1488</v>
      </c>
      <c r="W442">
        <v>29409201604898</v>
      </c>
      <c r="X442">
        <v>34597</v>
      </c>
      <c r="Y442" t="s">
        <v>103</v>
      </c>
      <c r="Z442">
        <v>4</v>
      </c>
      <c r="AA442">
        <v>2</v>
      </c>
      <c r="AD442" t="s">
        <v>429</v>
      </c>
      <c r="AE442" t="s">
        <v>73</v>
      </c>
      <c r="AF442">
        <v>80</v>
      </c>
      <c r="AG442">
        <v>184</v>
      </c>
      <c r="AH442">
        <f>IF([2]!Table1[[#This Row],[الوزن]]&lt;&gt;"",[2]!Table1[[#This Row],[الوزن]]-([2]!Table1[[#This Row],[الطول]]-100),"")</f>
        <v>-1</v>
      </c>
      <c r="AJ442" t="s">
        <v>1489</v>
      </c>
    </row>
    <row r="443" spans="1:40" ht="18.75" customHeight="1" x14ac:dyDescent="0.3">
      <c r="A443" s="1">
        <v>2012130402048</v>
      </c>
      <c r="B443" t="s">
        <v>75</v>
      </c>
      <c r="C443" t="s">
        <v>1490</v>
      </c>
      <c r="D443" t="s">
        <v>1485</v>
      </c>
      <c r="E443" t="s">
        <v>43</v>
      </c>
      <c r="F443">
        <v>147</v>
      </c>
      <c r="G443">
        <v>40936</v>
      </c>
      <c r="H443">
        <v>41406</v>
      </c>
      <c r="I443">
        <v>45108</v>
      </c>
      <c r="L443" t="s">
        <v>135</v>
      </c>
      <c r="M443" t="s">
        <v>1486</v>
      </c>
      <c r="N443" t="s">
        <v>78</v>
      </c>
      <c r="O443" t="s">
        <v>148</v>
      </c>
      <c r="Q443" t="s">
        <v>49</v>
      </c>
      <c r="R443">
        <v>0</v>
      </c>
      <c r="S443">
        <v>0</v>
      </c>
      <c r="T443">
        <v>0</v>
      </c>
      <c r="U443" t="s">
        <v>1491</v>
      </c>
      <c r="V443" t="s">
        <v>1492</v>
      </c>
      <c r="W443">
        <v>29312011701079</v>
      </c>
      <c r="X443">
        <v>33939</v>
      </c>
      <c r="Y443" t="s">
        <v>103</v>
      </c>
      <c r="Z443">
        <v>2</v>
      </c>
      <c r="AA443">
        <v>2</v>
      </c>
      <c r="AD443" t="s">
        <v>347</v>
      </c>
      <c r="AE443" t="s">
        <v>1394</v>
      </c>
      <c r="AF443">
        <v>85</v>
      </c>
      <c r="AG443">
        <v>186</v>
      </c>
      <c r="AH443">
        <f>IF([2]!Table1[[#This Row],[الوزن]]&lt;&gt;"",[2]!Table1[[#This Row],[الوزن]]-([2]!Table1[[#This Row],[الطول]]-100),"")</f>
        <v>-2</v>
      </c>
      <c r="AJ443" t="s">
        <v>280</v>
      </c>
    </row>
    <row r="444" spans="1:40" ht="18.75" customHeight="1" x14ac:dyDescent="0.3">
      <c r="A444" s="1">
        <v>2012138314899</v>
      </c>
      <c r="B444" t="s">
        <v>75</v>
      </c>
      <c r="C444" t="s">
        <v>1493</v>
      </c>
      <c r="D444" t="s">
        <v>1485</v>
      </c>
      <c r="E444" t="s">
        <v>43</v>
      </c>
      <c r="F444">
        <v>148</v>
      </c>
      <c r="G444">
        <v>41111</v>
      </c>
      <c r="H444">
        <v>41583</v>
      </c>
      <c r="I444">
        <v>45292</v>
      </c>
      <c r="L444" t="s">
        <v>135</v>
      </c>
      <c r="M444" t="s">
        <v>1486</v>
      </c>
      <c r="N444" t="s">
        <v>127</v>
      </c>
      <c r="P444" t="s">
        <v>49</v>
      </c>
      <c r="R444">
        <v>0</v>
      </c>
      <c r="S444">
        <v>0</v>
      </c>
      <c r="T444">
        <v>0</v>
      </c>
      <c r="U444" t="s">
        <v>1494</v>
      </c>
      <c r="V444" t="s">
        <v>1495</v>
      </c>
      <c r="W444">
        <v>29501021602114</v>
      </c>
      <c r="X444">
        <v>34701</v>
      </c>
      <c r="Y444" t="s">
        <v>103</v>
      </c>
      <c r="Z444">
        <v>2</v>
      </c>
      <c r="AA444">
        <v>2</v>
      </c>
      <c r="AD444" t="s">
        <v>1496</v>
      </c>
      <c r="AE444" t="s">
        <v>73</v>
      </c>
      <c r="AF444">
        <v>82</v>
      </c>
      <c r="AG444">
        <v>184</v>
      </c>
      <c r="AH444">
        <f>IF([2]!Table1[[#This Row],[الوزن]]&lt;&gt;"",[2]!Table1[[#This Row],[الوزن]]-([2]!Table1[[#This Row],[الطول]]-100),"")</f>
        <v>-12</v>
      </c>
      <c r="AJ444" t="s">
        <v>1497</v>
      </c>
    </row>
    <row r="445" spans="1:40" ht="18.75" customHeight="1" x14ac:dyDescent="0.3">
      <c r="A445" s="1">
        <v>2014138304606</v>
      </c>
      <c r="B445" t="s">
        <v>75</v>
      </c>
      <c r="C445" t="s">
        <v>1498</v>
      </c>
      <c r="D445" t="s">
        <v>1485</v>
      </c>
      <c r="E445" t="s">
        <v>43</v>
      </c>
      <c r="F445">
        <v>151</v>
      </c>
      <c r="G445">
        <v>41665</v>
      </c>
      <c r="H445">
        <v>42136</v>
      </c>
      <c r="I445">
        <v>45839</v>
      </c>
      <c r="L445" t="s">
        <v>135</v>
      </c>
      <c r="M445" t="s">
        <v>1486</v>
      </c>
      <c r="N445" t="s">
        <v>127</v>
      </c>
      <c r="O445" t="s">
        <v>1499</v>
      </c>
      <c r="Q445" t="s">
        <v>49</v>
      </c>
      <c r="R445">
        <v>2</v>
      </c>
      <c r="S445">
        <v>0</v>
      </c>
      <c r="T445">
        <v>0</v>
      </c>
      <c r="U445" t="s">
        <v>1500</v>
      </c>
      <c r="V445" t="s">
        <v>1501</v>
      </c>
      <c r="W445">
        <v>29702151701659</v>
      </c>
      <c r="X445">
        <v>35476</v>
      </c>
      <c r="Y445" t="s">
        <v>103</v>
      </c>
      <c r="Z445">
        <v>2</v>
      </c>
      <c r="AD445" t="s">
        <v>1379</v>
      </c>
      <c r="AE445" t="s">
        <v>1394</v>
      </c>
      <c r="AF445">
        <v>70</v>
      </c>
      <c r="AG445">
        <v>182</v>
      </c>
      <c r="AH445">
        <f>IF([2]!Table1[[#This Row],[الوزن]]&lt;&gt;"",[2]!Table1[[#This Row],[الوزن]]-([2]!Table1[[#This Row],[الطول]]-100),"")</f>
        <v>-1</v>
      </c>
      <c r="AJ445" t="s">
        <v>1502</v>
      </c>
    </row>
    <row r="446" spans="1:40" ht="18.75" customHeight="1" x14ac:dyDescent="0.3">
      <c r="A446" s="1">
        <v>2016130401000</v>
      </c>
      <c r="B446" t="s">
        <v>106</v>
      </c>
      <c r="C446" t="s">
        <v>1503</v>
      </c>
      <c r="D446" t="s">
        <v>1485</v>
      </c>
      <c r="E446" t="s">
        <v>43</v>
      </c>
      <c r="F446">
        <v>156</v>
      </c>
      <c r="G446">
        <v>42575</v>
      </c>
      <c r="H446">
        <v>43321</v>
      </c>
      <c r="I446">
        <v>36915</v>
      </c>
      <c r="L446" t="s">
        <v>135</v>
      </c>
      <c r="M446" t="s">
        <v>1486</v>
      </c>
      <c r="N446" t="s">
        <v>78</v>
      </c>
      <c r="O446" t="s">
        <v>148</v>
      </c>
      <c r="Q446" t="s">
        <v>49</v>
      </c>
      <c r="R446">
        <v>0</v>
      </c>
      <c r="S446">
        <v>0</v>
      </c>
      <c r="T446">
        <v>0</v>
      </c>
      <c r="U446" t="s">
        <v>1504</v>
      </c>
      <c r="V446" t="s">
        <v>1505</v>
      </c>
      <c r="W446">
        <v>29808051602273</v>
      </c>
      <c r="X446">
        <v>36012</v>
      </c>
      <c r="Y446" t="s">
        <v>103</v>
      </c>
      <c r="Z446">
        <v>2</v>
      </c>
      <c r="AA446">
        <v>0</v>
      </c>
      <c r="AD446" t="s">
        <v>429</v>
      </c>
      <c r="AE446" t="s">
        <v>73</v>
      </c>
      <c r="AF446">
        <v>76</v>
      </c>
      <c r="AG446">
        <v>177</v>
      </c>
      <c r="AH446">
        <f>IF([2]!Table1[[#This Row],[الوزن]]&lt;&gt;"",[2]!Table1[[#This Row],[الوزن]]-([2]!Table1[[#This Row],[الطول]]-100),"")</f>
        <v>-8</v>
      </c>
      <c r="AJ446" t="s">
        <v>280</v>
      </c>
    </row>
    <row r="447" spans="1:40" ht="18.75" customHeight="1" x14ac:dyDescent="0.3">
      <c r="A447" s="1">
        <v>2016138300981</v>
      </c>
      <c r="B447" t="s">
        <v>106</v>
      </c>
      <c r="C447" t="s">
        <v>1506</v>
      </c>
      <c r="D447" t="s">
        <v>1485</v>
      </c>
      <c r="E447" t="s">
        <v>43</v>
      </c>
      <c r="F447">
        <v>156</v>
      </c>
      <c r="G447">
        <v>42575</v>
      </c>
      <c r="H447">
        <v>43321</v>
      </c>
      <c r="I447">
        <v>45292</v>
      </c>
      <c r="L447" t="s">
        <v>135</v>
      </c>
      <c r="M447" t="s">
        <v>1486</v>
      </c>
      <c r="N447" t="s">
        <v>127</v>
      </c>
      <c r="O447" t="s">
        <v>1507</v>
      </c>
      <c r="P447" t="s">
        <v>49</v>
      </c>
      <c r="R447">
        <v>2</v>
      </c>
      <c r="S447">
        <v>0</v>
      </c>
      <c r="T447">
        <v>0</v>
      </c>
      <c r="U447" t="s">
        <v>1508</v>
      </c>
      <c r="V447" t="s">
        <v>1509</v>
      </c>
      <c r="W447">
        <v>2970231800057</v>
      </c>
      <c r="X447">
        <v>35726</v>
      </c>
      <c r="Y447" t="s">
        <v>103</v>
      </c>
      <c r="Z447">
        <v>1</v>
      </c>
      <c r="AA447">
        <v>0</v>
      </c>
      <c r="AD447" t="s">
        <v>470</v>
      </c>
      <c r="AE447" t="s">
        <v>54</v>
      </c>
      <c r="AF447">
        <v>75</v>
      </c>
      <c r="AG447">
        <v>183</v>
      </c>
      <c r="AH447">
        <f>IF([2]!Table1[[#This Row],[الوزن]]&lt;&gt;"",[2]!Table1[[#This Row],[الوزن]]-([2]!Table1[[#This Row],[الطول]]-100),"")</f>
        <v>-1</v>
      </c>
      <c r="AJ447" t="s">
        <v>1510</v>
      </c>
    </row>
    <row r="448" spans="1:40" ht="18.75" customHeight="1" x14ac:dyDescent="0.3">
      <c r="A448" s="1">
        <v>2017138312843</v>
      </c>
      <c r="B448" t="s">
        <v>106</v>
      </c>
      <c r="C448" t="s">
        <v>1511</v>
      </c>
      <c r="D448" t="s">
        <v>1485</v>
      </c>
      <c r="E448" t="s">
        <v>43</v>
      </c>
      <c r="F448">
        <v>157</v>
      </c>
      <c r="G448">
        <v>42912</v>
      </c>
      <c r="H448">
        <v>43663</v>
      </c>
      <c r="I448">
        <v>45658</v>
      </c>
      <c r="L448" t="s">
        <v>135</v>
      </c>
      <c r="M448" t="s">
        <v>1486</v>
      </c>
      <c r="N448" t="s">
        <v>127</v>
      </c>
      <c r="O448" t="s">
        <v>1512</v>
      </c>
      <c r="Q448" t="s">
        <v>49</v>
      </c>
      <c r="R448">
        <v>3</v>
      </c>
      <c r="S448">
        <v>0</v>
      </c>
      <c r="T448">
        <v>0</v>
      </c>
      <c r="U448" t="s">
        <v>1513</v>
      </c>
      <c r="V448" t="s">
        <v>1514</v>
      </c>
      <c r="W448">
        <v>30106121700473</v>
      </c>
      <c r="X448">
        <v>37054</v>
      </c>
      <c r="Y448" t="s">
        <v>103</v>
      </c>
      <c r="Z448">
        <v>1</v>
      </c>
      <c r="AA448">
        <v>1</v>
      </c>
      <c r="AD448" t="s">
        <v>1379</v>
      </c>
      <c r="AE448" t="s">
        <v>167</v>
      </c>
      <c r="AF448">
        <v>80</v>
      </c>
      <c r="AG448">
        <v>181</v>
      </c>
      <c r="AH448">
        <f>IF([2]!Table1[[#This Row],[الوزن]]&lt;&gt;"",[2]!Table1[[#This Row],[الوزن]]-([2]!Table1[[#This Row],[الطول]]-100),"")</f>
        <v>-1</v>
      </c>
      <c r="AJ448" t="s">
        <v>1515</v>
      </c>
    </row>
    <row r="449" spans="1:40" ht="18.75" customHeight="1" x14ac:dyDescent="0.3">
      <c r="A449" s="1">
        <v>2018138308030</v>
      </c>
      <c r="B449" t="s">
        <v>106</v>
      </c>
      <c r="C449" t="s">
        <v>1516</v>
      </c>
      <c r="D449" t="s">
        <v>1485</v>
      </c>
      <c r="E449" t="s">
        <v>43</v>
      </c>
      <c r="F449">
        <v>158</v>
      </c>
      <c r="G449">
        <v>43279</v>
      </c>
      <c r="H449">
        <v>44117</v>
      </c>
      <c r="I449">
        <v>44117</v>
      </c>
      <c r="L449" t="s">
        <v>135</v>
      </c>
      <c r="M449" t="s">
        <v>1486</v>
      </c>
      <c r="N449" t="s">
        <v>127</v>
      </c>
      <c r="O449" t="s">
        <v>1517</v>
      </c>
      <c r="P449" t="s">
        <v>49</v>
      </c>
      <c r="R449">
        <v>0</v>
      </c>
      <c r="S449">
        <v>0</v>
      </c>
      <c r="T449">
        <v>0</v>
      </c>
      <c r="U449" t="s">
        <v>1518</v>
      </c>
      <c r="V449" t="s">
        <v>1519</v>
      </c>
      <c r="W449">
        <v>29906032201219</v>
      </c>
      <c r="X449">
        <v>36314</v>
      </c>
      <c r="Y449" t="s">
        <v>51</v>
      </c>
      <c r="Z449">
        <v>0</v>
      </c>
      <c r="AA449">
        <v>0</v>
      </c>
      <c r="AD449" t="s">
        <v>1520</v>
      </c>
      <c r="AE449" t="s">
        <v>200</v>
      </c>
      <c r="AF449">
        <v>76</v>
      </c>
      <c r="AG449">
        <v>177</v>
      </c>
      <c r="AH449">
        <f>IF([2]!Table1[[#This Row],[الوزن]]&lt;&gt;"",[2]!Table1[[#This Row],[الوزن]]-([2]!Table1[[#This Row],[الطول]]-100),"")</f>
        <v>-2</v>
      </c>
      <c r="AJ449" t="s">
        <v>280</v>
      </c>
    </row>
    <row r="450" spans="1:40" ht="18.75" customHeight="1" x14ac:dyDescent="0.3">
      <c r="A450" s="1">
        <v>2019138300513</v>
      </c>
      <c r="B450" t="s">
        <v>125</v>
      </c>
      <c r="C450" t="s">
        <v>1521</v>
      </c>
      <c r="D450" t="s">
        <v>1485</v>
      </c>
      <c r="E450" t="s">
        <v>43</v>
      </c>
      <c r="F450">
        <v>159</v>
      </c>
      <c r="G450">
        <v>43692</v>
      </c>
      <c r="H450">
        <v>44482</v>
      </c>
      <c r="I450">
        <v>44481</v>
      </c>
      <c r="L450" t="s">
        <v>135</v>
      </c>
      <c r="M450" t="s">
        <v>1486</v>
      </c>
      <c r="N450" t="s">
        <v>127</v>
      </c>
      <c r="O450" t="s">
        <v>1517</v>
      </c>
      <c r="P450" t="s">
        <v>49</v>
      </c>
      <c r="R450">
        <v>0</v>
      </c>
      <c r="S450">
        <v>0</v>
      </c>
      <c r="T450">
        <v>0</v>
      </c>
      <c r="U450" t="s">
        <v>1522</v>
      </c>
      <c r="V450" t="s">
        <v>1523</v>
      </c>
      <c r="W450">
        <v>29803171400036</v>
      </c>
      <c r="X450">
        <v>35871</v>
      </c>
      <c r="Y450" t="s">
        <v>153</v>
      </c>
      <c r="Z450">
        <v>0</v>
      </c>
      <c r="AA450">
        <v>0</v>
      </c>
      <c r="AD450" t="s">
        <v>1524</v>
      </c>
      <c r="AE450" t="s">
        <v>176</v>
      </c>
      <c r="AF450">
        <v>78</v>
      </c>
      <c r="AG450">
        <v>180</v>
      </c>
      <c r="AH450">
        <f>IF([2]!Table1[[#This Row],[الوزن]]&lt;&gt;"",[2]!Table1[[#This Row],[الوزن]]-([2]!Table1[[#This Row],[الطول]]-100),"")</f>
        <v>-11</v>
      </c>
      <c r="AJ450" t="s">
        <v>1525</v>
      </c>
    </row>
    <row r="451" spans="1:40" ht="18.75" customHeight="1" x14ac:dyDescent="0.3">
      <c r="A451" s="1">
        <v>2019138317120</v>
      </c>
      <c r="B451" t="s">
        <v>125</v>
      </c>
      <c r="C451" t="s">
        <v>1526</v>
      </c>
      <c r="D451" t="s">
        <v>1485</v>
      </c>
      <c r="E451" t="s">
        <v>43</v>
      </c>
      <c r="F451">
        <v>159</v>
      </c>
      <c r="G451">
        <v>43692</v>
      </c>
      <c r="H451">
        <v>44482</v>
      </c>
      <c r="I451">
        <v>44481</v>
      </c>
      <c r="L451" t="s">
        <v>135</v>
      </c>
      <c r="M451" t="s">
        <v>1486</v>
      </c>
      <c r="N451" t="s">
        <v>127</v>
      </c>
      <c r="O451" t="s">
        <v>1527</v>
      </c>
      <c r="P451" t="s">
        <v>49</v>
      </c>
      <c r="R451">
        <v>0</v>
      </c>
      <c r="S451">
        <v>0</v>
      </c>
      <c r="T451">
        <v>0</v>
      </c>
      <c r="U451" t="s">
        <v>1528</v>
      </c>
      <c r="V451" t="s">
        <v>1529</v>
      </c>
      <c r="W451">
        <v>30107112200618</v>
      </c>
      <c r="X451">
        <v>37083</v>
      </c>
      <c r="Y451" t="s">
        <v>103</v>
      </c>
      <c r="Z451">
        <v>1</v>
      </c>
      <c r="AA451">
        <v>0</v>
      </c>
      <c r="AD451" t="s">
        <v>1530</v>
      </c>
      <c r="AE451" t="s">
        <v>200</v>
      </c>
      <c r="AF451">
        <v>67</v>
      </c>
      <c r="AG451">
        <v>178</v>
      </c>
      <c r="AH451">
        <f>IF([2]!Table1[[#This Row],[الوزن]]&lt;&gt;"",[2]!Table1[[#This Row],[الوزن]]-([2]!Table1[[#This Row],[الطول]]-100),"")</f>
        <v>-2</v>
      </c>
      <c r="AJ451" t="s">
        <v>280</v>
      </c>
    </row>
    <row r="452" spans="1:40" ht="18.75" customHeight="1" x14ac:dyDescent="0.3">
      <c r="A452" s="1">
        <v>2021138301516</v>
      </c>
      <c r="B452" t="s">
        <v>125</v>
      </c>
      <c r="C452" t="s">
        <v>1531</v>
      </c>
      <c r="D452" t="s">
        <v>1485</v>
      </c>
      <c r="E452" t="s">
        <v>43</v>
      </c>
      <c r="F452">
        <v>160</v>
      </c>
      <c r="G452">
        <v>44219</v>
      </c>
      <c r="H452">
        <v>45197</v>
      </c>
      <c r="I452">
        <v>45197</v>
      </c>
      <c r="L452" t="s">
        <v>135</v>
      </c>
      <c r="M452" t="s">
        <v>1486</v>
      </c>
      <c r="N452" t="s">
        <v>127</v>
      </c>
      <c r="O452" t="s">
        <v>1527</v>
      </c>
      <c r="P452" t="s">
        <v>49</v>
      </c>
      <c r="R452">
        <v>0</v>
      </c>
      <c r="S452">
        <v>0</v>
      </c>
      <c r="T452">
        <v>0</v>
      </c>
      <c r="U452" t="s">
        <v>1532</v>
      </c>
      <c r="V452" t="s">
        <v>1533</v>
      </c>
      <c r="W452">
        <v>29805101303192</v>
      </c>
      <c r="X452">
        <v>35925</v>
      </c>
      <c r="Y452" t="s">
        <v>51</v>
      </c>
      <c r="Z452">
        <v>0</v>
      </c>
      <c r="AA452">
        <v>0</v>
      </c>
      <c r="AD452" t="s">
        <v>1534</v>
      </c>
      <c r="AE452" t="s">
        <v>64</v>
      </c>
      <c r="AF452">
        <v>81</v>
      </c>
      <c r="AG452">
        <v>183</v>
      </c>
      <c r="AH452">
        <f>IF([2]!Table1[[#This Row],[الوزن]]&lt;&gt;"",[2]!Table1[[#This Row],[الوزن]]-([2]!Table1[[#This Row],[الطول]]-100),"")</f>
        <v>-4</v>
      </c>
      <c r="AJ452" t="s">
        <v>280</v>
      </c>
    </row>
    <row r="453" spans="1:40" ht="18.75" customHeight="1" x14ac:dyDescent="0.3">
      <c r="A453" s="1">
        <v>2023135700337</v>
      </c>
      <c r="B453" t="s">
        <v>125</v>
      </c>
      <c r="C453" t="s">
        <v>1535</v>
      </c>
      <c r="D453" t="s">
        <v>1485</v>
      </c>
      <c r="E453" t="s">
        <v>43</v>
      </c>
      <c r="F453">
        <v>162</v>
      </c>
      <c r="G453">
        <v>44941</v>
      </c>
      <c r="H453">
        <v>45976</v>
      </c>
      <c r="I453">
        <v>45976</v>
      </c>
      <c r="L453" t="s">
        <v>135</v>
      </c>
      <c r="M453" t="s">
        <v>1486</v>
      </c>
      <c r="N453" t="s">
        <v>127</v>
      </c>
      <c r="P453" t="s">
        <v>49</v>
      </c>
      <c r="R453">
        <v>0</v>
      </c>
      <c r="S453">
        <v>0</v>
      </c>
      <c r="T453">
        <v>0</v>
      </c>
      <c r="U453" t="s">
        <v>1536</v>
      </c>
      <c r="V453" t="s">
        <v>1537</v>
      </c>
      <c r="W453">
        <v>30610011201617</v>
      </c>
      <c r="X453">
        <v>38991</v>
      </c>
      <c r="Y453" t="s">
        <v>153</v>
      </c>
      <c r="Z453">
        <v>0</v>
      </c>
      <c r="AA453">
        <v>0</v>
      </c>
      <c r="AD453" t="s">
        <v>1293</v>
      </c>
      <c r="AE453" t="s">
        <v>118</v>
      </c>
      <c r="AF453">
        <v>82</v>
      </c>
      <c r="AG453">
        <v>186</v>
      </c>
      <c r="AH453">
        <f>IF([2]!Table1[[#This Row],[الوزن]]&lt;&gt;"",[2]!Table1[[#This Row],[الوزن]]-([2]!Table1[[#This Row],[الطول]]-100),"")</f>
        <v>-4</v>
      </c>
      <c r="AJ453" t="s">
        <v>280</v>
      </c>
    </row>
    <row r="454" spans="1:40" ht="18.75" customHeight="1" x14ac:dyDescent="0.3">
      <c r="A454" s="1">
        <v>2023138305415</v>
      </c>
      <c r="B454" t="s">
        <v>125</v>
      </c>
      <c r="C454" t="s">
        <v>1538</v>
      </c>
      <c r="D454" t="s">
        <v>1485</v>
      </c>
      <c r="E454" t="s">
        <v>43</v>
      </c>
      <c r="F454">
        <v>162</v>
      </c>
      <c r="G454">
        <v>44941</v>
      </c>
      <c r="H454">
        <v>45976</v>
      </c>
      <c r="I454">
        <v>45976</v>
      </c>
      <c r="L454" t="s">
        <v>135</v>
      </c>
      <c r="M454" t="s">
        <v>1486</v>
      </c>
      <c r="N454" t="s">
        <v>127</v>
      </c>
      <c r="P454" t="s">
        <v>49</v>
      </c>
      <c r="R454">
        <v>0</v>
      </c>
      <c r="S454">
        <v>0</v>
      </c>
      <c r="T454">
        <v>0</v>
      </c>
      <c r="U454" t="s">
        <v>1539</v>
      </c>
      <c r="V454" t="s">
        <v>1540</v>
      </c>
      <c r="W454">
        <v>30410211602358</v>
      </c>
      <c r="X454">
        <v>38281</v>
      </c>
      <c r="Y454" t="s">
        <v>153</v>
      </c>
      <c r="Z454">
        <v>0</v>
      </c>
      <c r="AA454">
        <v>0</v>
      </c>
      <c r="AD454" t="s">
        <v>200</v>
      </c>
      <c r="AE454" t="s">
        <v>200</v>
      </c>
      <c r="AF454">
        <v>73</v>
      </c>
      <c r="AG454">
        <v>177</v>
      </c>
      <c r="AH454">
        <f>IF([2]!Table1[[#This Row],[الوزن]]&lt;&gt;"",[2]!Table1[[#This Row],[الوزن]]-([2]!Table1[[#This Row],[الطول]]-100),"")</f>
        <v>0</v>
      </c>
      <c r="AJ454" t="s">
        <v>280</v>
      </c>
    </row>
    <row r="455" spans="1:40" ht="18.75" customHeight="1" x14ac:dyDescent="0.3">
      <c r="A455" s="1">
        <v>2023138307932</v>
      </c>
      <c r="B455" t="s">
        <v>125</v>
      </c>
      <c r="C455" t="s">
        <v>1541</v>
      </c>
      <c r="D455" t="s">
        <v>1485</v>
      </c>
      <c r="E455" t="s">
        <v>43</v>
      </c>
      <c r="F455">
        <v>162</v>
      </c>
      <c r="G455">
        <v>44941</v>
      </c>
      <c r="H455">
        <v>45976</v>
      </c>
      <c r="I455">
        <v>45976</v>
      </c>
      <c r="L455" t="s">
        <v>135</v>
      </c>
      <c r="N455" t="s">
        <v>127</v>
      </c>
      <c r="P455" t="s">
        <v>49</v>
      </c>
      <c r="R455">
        <v>0</v>
      </c>
      <c r="S455">
        <v>0</v>
      </c>
      <c r="T455">
        <v>0</v>
      </c>
      <c r="U455" t="s">
        <v>1542</v>
      </c>
      <c r="V455" t="s">
        <v>1543</v>
      </c>
      <c r="W455">
        <v>30304031700675</v>
      </c>
      <c r="X455">
        <v>37714</v>
      </c>
      <c r="Y455" t="s">
        <v>153</v>
      </c>
      <c r="Z455">
        <v>0</v>
      </c>
      <c r="AA455">
        <v>0</v>
      </c>
      <c r="AD455" t="s">
        <v>166</v>
      </c>
      <c r="AE455" t="s">
        <v>167</v>
      </c>
      <c r="AF455">
        <v>75</v>
      </c>
      <c r="AG455">
        <v>175</v>
      </c>
      <c r="AH455">
        <f>IF([2]!Table1[[#This Row],[الوزن]]&lt;&gt;"",[2]!Table1[[#This Row],[الوزن]]-([2]!Table1[[#This Row],[الطول]]-100),"")</f>
        <v>-1</v>
      </c>
      <c r="AJ455" t="s">
        <v>280</v>
      </c>
    </row>
    <row r="456" spans="1:40" ht="18.75" customHeight="1" x14ac:dyDescent="0.3">
      <c r="A456" s="1">
        <v>2008134703243</v>
      </c>
      <c r="B456" t="s">
        <v>210</v>
      </c>
      <c r="C456" t="s">
        <v>1544</v>
      </c>
      <c r="D456" t="s">
        <v>1545</v>
      </c>
      <c r="E456" t="s">
        <v>43</v>
      </c>
      <c r="F456">
        <v>140</v>
      </c>
      <c r="G456">
        <v>39655</v>
      </c>
      <c r="H456">
        <v>39855</v>
      </c>
      <c r="I456">
        <v>45108</v>
      </c>
      <c r="L456" t="s">
        <v>88</v>
      </c>
      <c r="M456" t="s">
        <v>1546</v>
      </c>
      <c r="N456" t="s">
        <v>47</v>
      </c>
      <c r="O456" t="s">
        <v>1547</v>
      </c>
      <c r="P456" t="s">
        <v>49</v>
      </c>
      <c r="R456">
        <v>12</v>
      </c>
      <c r="S456">
        <v>0</v>
      </c>
      <c r="T456">
        <v>0</v>
      </c>
      <c r="U456" t="s">
        <v>1548</v>
      </c>
      <c r="V456" t="s">
        <v>1549</v>
      </c>
      <c r="W456">
        <v>2905291700358</v>
      </c>
      <c r="X456">
        <v>33022</v>
      </c>
      <c r="Y456" t="s">
        <v>103</v>
      </c>
      <c r="Z456">
        <v>4</v>
      </c>
      <c r="AA456">
        <v>1</v>
      </c>
      <c r="AD456" t="s">
        <v>1550</v>
      </c>
      <c r="AE456" t="s">
        <v>1127</v>
      </c>
      <c r="AF456">
        <v>77</v>
      </c>
      <c r="AG456">
        <v>178</v>
      </c>
      <c r="AH456">
        <f>IF([2]!Table1[[#This Row],[الوزن]]&lt;&gt;"",[2]!Table1[[#This Row],[الوزن]]-([2]!Table1[[#This Row],[الطول]]-100),"")</f>
        <v>10</v>
      </c>
      <c r="AJ456" t="s">
        <v>1551</v>
      </c>
      <c r="AN456" t="s">
        <v>145</v>
      </c>
    </row>
    <row r="457" spans="1:40" ht="18.75" customHeight="1" x14ac:dyDescent="0.3">
      <c r="A457" s="1">
        <v>2012134703393</v>
      </c>
      <c r="B457" t="s">
        <v>57</v>
      </c>
      <c r="C457" t="s">
        <v>1552</v>
      </c>
      <c r="D457" t="s">
        <v>1545</v>
      </c>
      <c r="E457" t="s">
        <v>43</v>
      </c>
      <c r="F457">
        <v>148</v>
      </c>
      <c r="G457">
        <v>41111</v>
      </c>
      <c r="H457">
        <v>41310</v>
      </c>
      <c r="I457">
        <v>45292</v>
      </c>
      <c r="L457" t="s">
        <v>88</v>
      </c>
      <c r="M457" t="s">
        <v>1546</v>
      </c>
      <c r="N457" t="s">
        <v>47</v>
      </c>
      <c r="O457" t="s">
        <v>1553</v>
      </c>
      <c r="P457" t="s">
        <v>49</v>
      </c>
      <c r="R457">
        <v>4</v>
      </c>
      <c r="S457">
        <v>0</v>
      </c>
      <c r="T457">
        <v>0</v>
      </c>
      <c r="U457" t="s">
        <v>1554</v>
      </c>
      <c r="V457" t="s">
        <v>1555</v>
      </c>
      <c r="W457">
        <v>29306131400137</v>
      </c>
      <c r="X457">
        <v>34133</v>
      </c>
      <c r="Y457" t="s">
        <v>103</v>
      </c>
      <c r="Z457">
        <v>1</v>
      </c>
      <c r="AA457">
        <v>0</v>
      </c>
      <c r="AD457" t="s">
        <v>1556</v>
      </c>
      <c r="AE457" t="s">
        <v>176</v>
      </c>
      <c r="AF457">
        <v>85</v>
      </c>
      <c r="AG457">
        <v>175</v>
      </c>
      <c r="AH457">
        <f>IF([2]!Table1[[#This Row],[الوزن]]&lt;&gt;"",[2]!Table1[[#This Row],[الوزن]]-([2]!Table1[[#This Row],[الطول]]-100),"")</f>
        <v>10</v>
      </c>
      <c r="AJ457" t="s">
        <v>1557</v>
      </c>
      <c r="AN457" t="s">
        <v>145</v>
      </c>
    </row>
    <row r="458" spans="1:40" ht="18.75" customHeight="1" x14ac:dyDescent="0.3">
      <c r="A458" s="1">
        <v>2014138307535</v>
      </c>
      <c r="B458" t="s">
        <v>75</v>
      </c>
      <c r="C458" t="s">
        <v>1558</v>
      </c>
      <c r="D458" t="s">
        <v>1545</v>
      </c>
      <c r="E458" t="s">
        <v>43</v>
      </c>
      <c r="F458">
        <v>151</v>
      </c>
      <c r="G458">
        <v>41665</v>
      </c>
      <c r="H458">
        <v>42370</v>
      </c>
      <c r="I458">
        <v>45839</v>
      </c>
      <c r="L458" t="s">
        <v>135</v>
      </c>
      <c r="M458" t="s">
        <v>1546</v>
      </c>
      <c r="N458" t="s">
        <v>127</v>
      </c>
      <c r="O458" t="s">
        <v>1559</v>
      </c>
      <c r="Q458" t="s">
        <v>49</v>
      </c>
      <c r="R458">
        <v>2</v>
      </c>
      <c r="S458">
        <v>0</v>
      </c>
      <c r="T458">
        <v>0</v>
      </c>
      <c r="U458" t="s">
        <v>1560</v>
      </c>
      <c r="V458" t="s">
        <v>1561</v>
      </c>
      <c r="W458">
        <v>29606011606134</v>
      </c>
      <c r="X458">
        <v>35217</v>
      </c>
      <c r="Y458" t="s">
        <v>103</v>
      </c>
      <c r="Z458">
        <v>2</v>
      </c>
      <c r="AA458">
        <v>1</v>
      </c>
      <c r="AD458" t="s">
        <v>217</v>
      </c>
      <c r="AE458" t="s">
        <v>73</v>
      </c>
      <c r="AF458">
        <v>88</v>
      </c>
      <c r="AG458">
        <v>178</v>
      </c>
      <c r="AH458">
        <f>IF([2]!Table1[[#This Row],[الوزن]]&lt;&gt;"",[2]!Table1[[#This Row],[الوزن]]-([2]!Table1[[#This Row],[الطول]]-100),"")</f>
        <v>158</v>
      </c>
      <c r="AJ458" t="s">
        <v>1562</v>
      </c>
      <c r="AN458" t="s">
        <v>145</v>
      </c>
    </row>
    <row r="459" spans="1:40" ht="18.75" customHeight="1" x14ac:dyDescent="0.3">
      <c r="A459" s="1">
        <v>2010135200938</v>
      </c>
      <c r="B459" t="s">
        <v>75</v>
      </c>
      <c r="C459" t="s">
        <v>1563</v>
      </c>
      <c r="D459" t="s">
        <v>334</v>
      </c>
      <c r="E459" t="s">
        <v>335</v>
      </c>
      <c r="F459">
        <v>144</v>
      </c>
      <c r="G459">
        <v>40376</v>
      </c>
      <c r="H459">
        <v>40849</v>
      </c>
      <c r="I459">
        <v>44562</v>
      </c>
      <c r="L459" t="s">
        <v>771</v>
      </c>
      <c r="M459" t="s">
        <v>335</v>
      </c>
      <c r="N459" t="s">
        <v>127</v>
      </c>
      <c r="O459" t="s">
        <v>336</v>
      </c>
      <c r="P459" t="s">
        <v>49</v>
      </c>
      <c r="U459" t="s">
        <v>1564</v>
      </c>
      <c r="W459">
        <v>28901041701491</v>
      </c>
      <c r="X459">
        <v>32512</v>
      </c>
      <c r="Y459" t="s">
        <v>338</v>
      </c>
      <c r="AF459">
        <v>74</v>
      </c>
      <c r="AG459">
        <v>16</v>
      </c>
      <c r="AH459">
        <v>158</v>
      </c>
      <c r="AJ459" t="s">
        <v>1565</v>
      </c>
    </row>
    <row r="460" spans="1:40" ht="18.75" customHeight="1" x14ac:dyDescent="0.3">
      <c r="A460" s="1">
        <v>2010135200962</v>
      </c>
      <c r="B460" t="s">
        <v>75</v>
      </c>
      <c r="C460" t="s">
        <v>1566</v>
      </c>
      <c r="D460" t="s">
        <v>334</v>
      </c>
      <c r="E460" t="s">
        <v>335</v>
      </c>
      <c r="F460">
        <v>144</v>
      </c>
      <c r="G460">
        <v>40376</v>
      </c>
      <c r="H460">
        <v>40849</v>
      </c>
      <c r="I460">
        <v>44562</v>
      </c>
      <c r="L460" t="s">
        <v>771</v>
      </c>
      <c r="M460" t="s">
        <v>335</v>
      </c>
      <c r="N460" t="s">
        <v>127</v>
      </c>
      <c r="O460" t="s">
        <v>336</v>
      </c>
      <c r="P460" t="s">
        <v>49</v>
      </c>
      <c r="R460">
        <v>5</v>
      </c>
      <c r="U460" t="s">
        <v>1567</v>
      </c>
      <c r="W460">
        <v>29310171202432</v>
      </c>
      <c r="X460">
        <v>34259</v>
      </c>
      <c r="Y460" t="s">
        <v>338</v>
      </c>
      <c r="AF460">
        <v>74</v>
      </c>
      <c r="AG460">
        <v>173</v>
      </c>
      <c r="AH460">
        <v>1</v>
      </c>
      <c r="AJ460" t="s">
        <v>1568</v>
      </c>
    </row>
    <row r="461" spans="1:40" ht="18.75" customHeight="1" x14ac:dyDescent="0.3">
      <c r="A461" s="1">
        <v>2016138300064</v>
      </c>
      <c r="B461" t="s">
        <v>106</v>
      </c>
      <c r="C461" t="s">
        <v>1569</v>
      </c>
      <c r="D461" t="s">
        <v>1570</v>
      </c>
      <c r="E461" t="s">
        <v>43</v>
      </c>
      <c r="F461">
        <v>156</v>
      </c>
      <c r="G461">
        <v>42575</v>
      </c>
      <c r="H461">
        <v>43321</v>
      </c>
      <c r="I461">
        <v>45292</v>
      </c>
      <c r="L461" t="s">
        <v>135</v>
      </c>
      <c r="M461" t="s">
        <v>1571</v>
      </c>
      <c r="N461" t="s">
        <v>127</v>
      </c>
      <c r="O461" t="s">
        <v>1572</v>
      </c>
      <c r="P461" t="s">
        <v>49</v>
      </c>
      <c r="R461">
        <v>14</v>
      </c>
      <c r="S461">
        <v>0</v>
      </c>
      <c r="T461">
        <v>0</v>
      </c>
      <c r="U461" t="s">
        <v>1573</v>
      </c>
      <c r="V461" t="s">
        <v>1574</v>
      </c>
      <c r="W461">
        <v>30008061403235</v>
      </c>
      <c r="X461">
        <v>36744</v>
      </c>
      <c r="Y461" t="s">
        <v>550</v>
      </c>
      <c r="Z461">
        <v>0</v>
      </c>
      <c r="AA461">
        <v>0</v>
      </c>
      <c r="AB461">
        <v>0</v>
      </c>
      <c r="AD461" t="s">
        <v>175</v>
      </c>
      <c r="AE461" t="s">
        <v>176</v>
      </c>
      <c r="AF461">
        <v>73</v>
      </c>
      <c r="AG461">
        <v>174</v>
      </c>
      <c r="AH461">
        <f>IF([2]!Table1[[#This Row],[الوزن]]&lt;&gt;"",[2]!Table1[[#This Row],[الوزن]]-([2]!Table1[[#This Row],[الطول]]-100),"")</f>
        <v>11</v>
      </c>
      <c r="AJ461" t="s">
        <v>1575</v>
      </c>
      <c r="AN461" t="s">
        <v>145</v>
      </c>
    </row>
    <row r="462" spans="1:40" ht="18.75" customHeight="1" x14ac:dyDescent="0.3">
      <c r="A462" s="1">
        <v>2017138302373</v>
      </c>
      <c r="B462" t="s">
        <v>106</v>
      </c>
      <c r="C462" t="s">
        <v>1576</v>
      </c>
      <c r="D462" t="s">
        <v>1570</v>
      </c>
      <c r="E462" t="s">
        <v>43</v>
      </c>
      <c r="F462">
        <v>157</v>
      </c>
      <c r="G462">
        <v>42915</v>
      </c>
      <c r="H462">
        <v>43663</v>
      </c>
      <c r="I462">
        <v>45658</v>
      </c>
      <c r="L462" t="s">
        <v>135</v>
      </c>
      <c r="M462" t="s">
        <v>1571</v>
      </c>
      <c r="N462" t="s">
        <v>127</v>
      </c>
      <c r="O462" t="s">
        <v>1577</v>
      </c>
      <c r="P462" t="s">
        <v>49</v>
      </c>
      <c r="R462">
        <v>2</v>
      </c>
      <c r="S462">
        <v>0</v>
      </c>
      <c r="T462">
        <v>0</v>
      </c>
      <c r="U462" t="s">
        <v>1578</v>
      </c>
      <c r="V462" t="s">
        <v>1579</v>
      </c>
      <c r="W462">
        <v>29912221600914</v>
      </c>
      <c r="X462">
        <v>36516</v>
      </c>
      <c r="Y462" t="s">
        <v>153</v>
      </c>
      <c r="Z462">
        <v>0</v>
      </c>
      <c r="AA462">
        <v>0</v>
      </c>
      <c r="AB462">
        <v>0</v>
      </c>
      <c r="AD462" t="s">
        <v>252</v>
      </c>
      <c r="AE462" t="s">
        <v>73</v>
      </c>
      <c r="AF462">
        <v>102</v>
      </c>
      <c r="AG462">
        <v>191</v>
      </c>
      <c r="AH462">
        <f>IF([2]!Table1[[#This Row],[الوزن]]&lt;&gt;"",[2]!Table1[[#This Row],[الوزن]]-([2]!Table1[[#This Row],[الطول]]-100),"")</f>
        <v>-3</v>
      </c>
      <c r="AJ462" t="s">
        <v>1580</v>
      </c>
      <c r="AN462" t="s">
        <v>145</v>
      </c>
    </row>
    <row r="463" spans="1:40" ht="18.75" customHeight="1" x14ac:dyDescent="0.3">
      <c r="A463" s="1">
        <v>2015132705220</v>
      </c>
      <c r="B463" t="s">
        <v>75</v>
      </c>
      <c r="C463" t="s">
        <v>1581</v>
      </c>
      <c r="D463" t="s">
        <v>1582</v>
      </c>
      <c r="E463" t="s">
        <v>43</v>
      </c>
      <c r="F463" t="s">
        <v>1260</v>
      </c>
      <c r="G463">
        <v>42309</v>
      </c>
      <c r="H463">
        <v>42967</v>
      </c>
      <c r="I463">
        <v>44927</v>
      </c>
      <c r="L463" t="s">
        <v>263</v>
      </c>
      <c r="M463" t="s">
        <v>264</v>
      </c>
      <c r="N463" t="s">
        <v>127</v>
      </c>
      <c r="O463" t="s">
        <v>1237</v>
      </c>
      <c r="P463" t="s">
        <v>49</v>
      </c>
      <c r="R463">
        <v>1</v>
      </c>
      <c r="S463">
        <v>0</v>
      </c>
      <c r="T463">
        <v>0</v>
      </c>
      <c r="U463" t="s">
        <v>1583</v>
      </c>
      <c r="V463" t="s">
        <v>1584</v>
      </c>
      <c r="W463">
        <v>29701012501991</v>
      </c>
      <c r="X463">
        <v>35431</v>
      </c>
      <c r="Y463" t="s">
        <v>103</v>
      </c>
      <c r="Z463">
        <v>1</v>
      </c>
      <c r="AA463">
        <v>0</v>
      </c>
      <c r="AB463">
        <v>1</v>
      </c>
      <c r="AD463" t="s">
        <v>225</v>
      </c>
      <c r="AE463" t="s">
        <v>43</v>
      </c>
      <c r="AF463">
        <v>75</v>
      </c>
      <c r="AG463">
        <v>178</v>
      </c>
      <c r="AH463">
        <f>IF([2]!Table1[[#This Row],[الوزن]]&lt;&gt;"",[2]!Table1[[#This Row],[الوزن]]-([2]!Table1[[#This Row],[الطول]]-100),"")</f>
        <v>0</v>
      </c>
      <c r="AJ463" t="s">
        <v>1585</v>
      </c>
      <c r="AN463" t="s">
        <v>145</v>
      </c>
    </row>
    <row r="464" spans="1:40" ht="18.75" customHeight="1" x14ac:dyDescent="0.3">
      <c r="A464" s="1">
        <v>2017132703337</v>
      </c>
      <c r="B464" t="s">
        <v>75</v>
      </c>
      <c r="C464" t="s">
        <v>1586</v>
      </c>
      <c r="D464" t="s">
        <v>1582</v>
      </c>
      <c r="E464" t="s">
        <v>43</v>
      </c>
      <c r="F464" t="s">
        <v>1285</v>
      </c>
      <c r="G464">
        <v>43040</v>
      </c>
      <c r="H464">
        <v>43683</v>
      </c>
      <c r="I464">
        <v>45658</v>
      </c>
      <c r="L464" t="s">
        <v>263</v>
      </c>
      <c r="M464" t="s">
        <v>264</v>
      </c>
      <c r="N464" t="s">
        <v>127</v>
      </c>
      <c r="O464" t="s">
        <v>1237</v>
      </c>
      <c r="P464" t="s">
        <v>49</v>
      </c>
      <c r="R464">
        <v>2</v>
      </c>
      <c r="S464">
        <v>0</v>
      </c>
      <c r="T464">
        <v>0</v>
      </c>
      <c r="U464" t="s">
        <v>1587</v>
      </c>
      <c r="V464" t="s">
        <v>1588</v>
      </c>
      <c r="W464">
        <v>29907201603514</v>
      </c>
      <c r="X464">
        <v>36361</v>
      </c>
      <c r="Y464" t="s">
        <v>153</v>
      </c>
      <c r="Z464">
        <v>0</v>
      </c>
      <c r="AA464">
        <v>0</v>
      </c>
      <c r="AB464">
        <v>0</v>
      </c>
      <c r="AD464" t="s">
        <v>217</v>
      </c>
      <c r="AE464" t="s">
        <v>73</v>
      </c>
      <c r="AF464">
        <v>80</v>
      </c>
      <c r="AG464">
        <v>180</v>
      </c>
      <c r="AH464">
        <f>IF([2]!Table1[[#This Row],[الوزن]]&lt;&gt;"",[2]!Table1[[#This Row],[الوزن]]-([2]!Table1[[#This Row],[الطول]]-100),"")</f>
        <v>-3</v>
      </c>
      <c r="AJ464" t="s">
        <v>1589</v>
      </c>
      <c r="AN464" t="s">
        <v>145</v>
      </c>
    </row>
    <row r="465" spans="1:40" ht="18.75" customHeight="1" x14ac:dyDescent="0.3">
      <c r="A465" s="1">
        <v>1984134704811</v>
      </c>
      <c r="B465" t="s">
        <v>210</v>
      </c>
      <c r="C465" t="s">
        <v>1590</v>
      </c>
      <c r="D465" t="s">
        <v>1591</v>
      </c>
      <c r="E465" t="s">
        <v>43</v>
      </c>
      <c r="F465">
        <v>129</v>
      </c>
      <c r="G465">
        <v>37639</v>
      </c>
      <c r="H465">
        <v>38111</v>
      </c>
      <c r="I465">
        <v>44861</v>
      </c>
      <c r="L465" t="s">
        <v>77</v>
      </c>
      <c r="M465" t="s">
        <v>1592</v>
      </c>
      <c r="N465" t="s">
        <v>127</v>
      </c>
      <c r="O465" t="s">
        <v>1593</v>
      </c>
      <c r="P465" t="s">
        <v>49</v>
      </c>
      <c r="R465">
        <v>7</v>
      </c>
      <c r="S465">
        <v>2</v>
      </c>
      <c r="T465">
        <v>0</v>
      </c>
      <c r="U465" t="s">
        <v>1594</v>
      </c>
      <c r="V465" t="s">
        <v>1595</v>
      </c>
      <c r="W465">
        <v>28303141602673</v>
      </c>
      <c r="X465" t="s">
        <v>1596</v>
      </c>
      <c r="Y465" t="s">
        <v>103</v>
      </c>
      <c r="Z465">
        <v>2</v>
      </c>
      <c r="AA465">
        <v>1</v>
      </c>
      <c r="AB465">
        <v>1</v>
      </c>
      <c r="AD465" t="s">
        <v>429</v>
      </c>
      <c r="AE465" t="s">
        <v>73</v>
      </c>
      <c r="AF465">
        <v>72</v>
      </c>
      <c r="AG465">
        <v>175</v>
      </c>
      <c r="AH465">
        <f>IF([2]!Table1[[#This Row],[الوزن]]&lt;&gt;"",[2]!Table1[[#This Row],[الوزن]]-([2]!Table1[[#This Row],[الطول]]-100),"")</f>
        <v>-9</v>
      </c>
      <c r="AJ465" t="s">
        <v>1597</v>
      </c>
      <c r="AN465" t="s">
        <v>145</v>
      </c>
    </row>
    <row r="466" spans="1:40" ht="18.75" customHeight="1" x14ac:dyDescent="0.3">
      <c r="A466" s="1">
        <v>2005134701342</v>
      </c>
      <c r="B466" t="s">
        <v>57</v>
      </c>
      <c r="C466" t="s">
        <v>1598</v>
      </c>
      <c r="D466" t="s">
        <v>1591</v>
      </c>
      <c r="E466" t="s">
        <v>43</v>
      </c>
      <c r="F466">
        <v>133</v>
      </c>
      <c r="G466">
        <v>38376</v>
      </c>
      <c r="H466">
        <v>38845</v>
      </c>
      <c r="L466" t="s">
        <v>1599</v>
      </c>
      <c r="M466" t="s">
        <v>1592</v>
      </c>
      <c r="N466" t="s">
        <v>47</v>
      </c>
      <c r="O466" t="s">
        <v>1547</v>
      </c>
      <c r="P466" t="s">
        <v>49</v>
      </c>
      <c r="R466">
        <v>0</v>
      </c>
      <c r="S466">
        <v>0</v>
      </c>
      <c r="T466">
        <v>0</v>
      </c>
      <c r="U466" t="s">
        <v>1600</v>
      </c>
      <c r="V466" t="s">
        <v>1601</v>
      </c>
      <c r="W466" t="s">
        <v>1602</v>
      </c>
      <c r="X466">
        <v>33995</v>
      </c>
      <c r="Y466" t="s">
        <v>103</v>
      </c>
      <c r="Z466">
        <v>2</v>
      </c>
      <c r="AA466">
        <v>2</v>
      </c>
      <c r="AB466">
        <v>0</v>
      </c>
      <c r="AD466" t="s">
        <v>1603</v>
      </c>
      <c r="AE466" t="s">
        <v>176</v>
      </c>
      <c r="AF466">
        <v>70</v>
      </c>
      <c r="AG466">
        <v>179</v>
      </c>
      <c r="AH466">
        <f>IF([2]!Table1[[#This Row],[الوزن]]&lt;&gt;"",[2]!Table1[[#This Row],[الوزن]]-([2]!Table1[[#This Row],[الطول]]-100),"")</f>
        <v>-9</v>
      </c>
      <c r="AJ466" t="s">
        <v>1604</v>
      </c>
      <c r="AN466" t="s">
        <v>145</v>
      </c>
    </row>
    <row r="467" spans="1:40" ht="18.75" customHeight="1" x14ac:dyDescent="0.3">
      <c r="A467" s="1">
        <v>2013134700446</v>
      </c>
      <c r="B467" t="s">
        <v>57</v>
      </c>
      <c r="C467" t="s">
        <v>1605</v>
      </c>
      <c r="D467" t="s">
        <v>1591</v>
      </c>
      <c r="E467" t="s">
        <v>43</v>
      </c>
      <c r="F467">
        <v>149</v>
      </c>
      <c r="G467">
        <v>41307</v>
      </c>
      <c r="H467">
        <v>41503</v>
      </c>
      <c r="L467" t="s">
        <v>1606</v>
      </c>
      <c r="M467" t="s">
        <v>1592</v>
      </c>
      <c r="N467" t="s">
        <v>47</v>
      </c>
      <c r="O467" t="s">
        <v>1547</v>
      </c>
      <c r="P467" t="s">
        <v>49</v>
      </c>
      <c r="R467">
        <v>0</v>
      </c>
      <c r="S467">
        <v>0</v>
      </c>
      <c r="T467">
        <v>0</v>
      </c>
      <c r="U467" t="s">
        <v>1600</v>
      </c>
      <c r="V467" t="s">
        <v>1601</v>
      </c>
      <c r="W467">
        <v>29301261400196</v>
      </c>
      <c r="X467">
        <v>33995</v>
      </c>
      <c r="Y467" t="s">
        <v>103</v>
      </c>
      <c r="Z467">
        <v>2</v>
      </c>
      <c r="AA467">
        <v>2</v>
      </c>
      <c r="AB467">
        <v>0</v>
      </c>
      <c r="AD467" t="s">
        <v>1603</v>
      </c>
      <c r="AE467" t="s">
        <v>176</v>
      </c>
      <c r="AF467">
        <v>70</v>
      </c>
      <c r="AG467">
        <v>179</v>
      </c>
      <c r="AH467">
        <f>IF([2]!Table1[[#This Row],[الوزن]]&lt;&gt;"",[2]!Table1[[#This Row],[الوزن]]-([2]!Table1[[#This Row],[الطول]]-100),"")</f>
        <v>-6</v>
      </c>
      <c r="AJ467" t="s">
        <v>1607</v>
      </c>
      <c r="AN467" t="s">
        <v>145</v>
      </c>
    </row>
    <row r="468" spans="1:40" ht="18.75" customHeight="1" x14ac:dyDescent="0.3">
      <c r="A468" s="1">
        <v>2015134711259</v>
      </c>
      <c r="B468" t="s">
        <v>106</v>
      </c>
      <c r="C468" t="s">
        <v>1608</v>
      </c>
      <c r="D468" t="s">
        <v>1591</v>
      </c>
      <c r="E468" t="s">
        <v>43</v>
      </c>
      <c r="F468">
        <v>154</v>
      </c>
      <c r="G468">
        <v>42224</v>
      </c>
      <c r="H468" t="s">
        <v>1609</v>
      </c>
      <c r="L468" t="s">
        <v>77</v>
      </c>
      <c r="M468" t="s">
        <v>1592</v>
      </c>
      <c r="N468" t="s">
        <v>47</v>
      </c>
      <c r="O468" t="s">
        <v>1610</v>
      </c>
      <c r="P468" t="s">
        <v>49</v>
      </c>
      <c r="R468">
        <v>0</v>
      </c>
      <c r="S468">
        <v>0</v>
      </c>
      <c r="T468">
        <v>0</v>
      </c>
      <c r="U468" t="s">
        <v>1611</v>
      </c>
      <c r="V468" t="s">
        <v>1612</v>
      </c>
      <c r="W468">
        <v>29712131201175</v>
      </c>
      <c r="X468">
        <v>35777</v>
      </c>
      <c r="Y468" t="s">
        <v>103</v>
      </c>
      <c r="Z468">
        <v>1</v>
      </c>
      <c r="AA468">
        <v>0</v>
      </c>
      <c r="AB468">
        <v>1</v>
      </c>
      <c r="AD468" t="s">
        <v>155</v>
      </c>
      <c r="AE468" t="s">
        <v>118</v>
      </c>
      <c r="AF468">
        <v>59</v>
      </c>
      <c r="AG468">
        <v>165</v>
      </c>
      <c r="AH468">
        <f>IF([2]!Table1[[#This Row],[الوزن]]&lt;&gt;"",[2]!Table1[[#This Row],[الوزن]]-([2]!Table1[[#This Row],[الطول]]-100),"")</f>
        <v>0</v>
      </c>
      <c r="AJ468" t="s">
        <v>1613</v>
      </c>
      <c r="AN468" t="s">
        <v>145</v>
      </c>
    </row>
    <row r="469" spans="1:40" ht="18.75" customHeight="1" x14ac:dyDescent="0.3">
      <c r="A469" s="1">
        <v>2012134703806</v>
      </c>
      <c r="B469" t="s">
        <v>57</v>
      </c>
      <c r="C469" t="s">
        <v>1614</v>
      </c>
      <c r="D469" t="s">
        <v>1591</v>
      </c>
      <c r="E469" t="s">
        <v>43</v>
      </c>
      <c r="F469">
        <v>148</v>
      </c>
      <c r="G469">
        <v>41111</v>
      </c>
      <c r="H469">
        <v>41311</v>
      </c>
      <c r="I469">
        <v>44861</v>
      </c>
      <c r="L469" t="s">
        <v>1606</v>
      </c>
      <c r="M469" t="s">
        <v>1592</v>
      </c>
      <c r="N469" t="s">
        <v>47</v>
      </c>
      <c r="O469" t="s">
        <v>1615</v>
      </c>
      <c r="P469" t="s">
        <v>49</v>
      </c>
      <c r="R469">
        <v>5</v>
      </c>
      <c r="S469">
        <v>0</v>
      </c>
      <c r="T469">
        <v>0</v>
      </c>
      <c r="U469" t="s">
        <v>1616</v>
      </c>
      <c r="V469" t="s">
        <v>1617</v>
      </c>
      <c r="W469">
        <v>29309261401959</v>
      </c>
      <c r="X469">
        <v>34238</v>
      </c>
      <c r="Y469" t="s">
        <v>103</v>
      </c>
      <c r="Z469">
        <v>3</v>
      </c>
      <c r="AA469">
        <v>1</v>
      </c>
      <c r="AB469">
        <v>2</v>
      </c>
      <c r="AD469" t="s">
        <v>1618</v>
      </c>
      <c r="AE469" t="s">
        <v>1619</v>
      </c>
      <c r="AF469">
        <v>83</v>
      </c>
      <c r="AG469">
        <v>183</v>
      </c>
      <c r="AH469">
        <f>IF([2]!Table1[[#This Row],[الوزن]]&lt;&gt;"",[2]!Table1[[#This Row],[الوزن]]-([2]!Table1[[#This Row],[الطول]]-100),"")</f>
        <v>-8</v>
      </c>
      <c r="AJ469" t="s">
        <v>1620</v>
      </c>
      <c r="AN469" t="s">
        <v>145</v>
      </c>
    </row>
    <row r="470" spans="1:40" ht="18.75" customHeight="1" x14ac:dyDescent="0.3">
      <c r="A470" s="1">
        <v>2014131101710</v>
      </c>
      <c r="B470" t="s">
        <v>75</v>
      </c>
      <c r="C470" t="s">
        <v>1621</v>
      </c>
      <c r="D470" t="s">
        <v>717</v>
      </c>
      <c r="E470" t="s">
        <v>718</v>
      </c>
      <c r="F470">
        <v>152</v>
      </c>
      <c r="G470">
        <v>41853</v>
      </c>
      <c r="H470">
        <v>42326</v>
      </c>
      <c r="I470">
        <v>46023</v>
      </c>
      <c r="J470">
        <v>45228</v>
      </c>
      <c r="L470" t="s">
        <v>135</v>
      </c>
      <c r="M470" t="s">
        <v>136</v>
      </c>
      <c r="N470" t="s">
        <v>448</v>
      </c>
      <c r="O470" t="s">
        <v>512</v>
      </c>
      <c r="P470" t="s">
        <v>49</v>
      </c>
      <c r="R470">
        <v>10</v>
      </c>
      <c r="S470">
        <v>1</v>
      </c>
      <c r="T470">
        <v>0</v>
      </c>
      <c r="U470" t="s">
        <v>1622</v>
      </c>
      <c r="V470" t="s">
        <v>1623</v>
      </c>
      <c r="W470">
        <v>29411085200714</v>
      </c>
      <c r="AC470" t="s">
        <v>1624</v>
      </c>
      <c r="AF470">
        <v>66</v>
      </c>
      <c r="AG470">
        <v>174</v>
      </c>
      <c r="AH470">
        <v>-8</v>
      </c>
      <c r="AJ470" t="s">
        <v>1625</v>
      </c>
    </row>
    <row r="471" spans="1:40" ht="18.75" customHeight="1" x14ac:dyDescent="0.3">
      <c r="A471" s="1">
        <v>2017134700414</v>
      </c>
      <c r="B471" t="s">
        <v>75</v>
      </c>
      <c r="C471" t="s">
        <v>1626</v>
      </c>
      <c r="D471" t="s">
        <v>1591</v>
      </c>
      <c r="E471" t="s">
        <v>43</v>
      </c>
      <c r="F471">
        <v>157</v>
      </c>
      <c r="G471">
        <v>42945</v>
      </c>
      <c r="H471">
        <v>42933</v>
      </c>
      <c r="I471">
        <v>44861</v>
      </c>
      <c r="L471" t="s">
        <v>1606</v>
      </c>
      <c r="M471" t="s">
        <v>1592</v>
      </c>
      <c r="N471" t="s">
        <v>47</v>
      </c>
      <c r="O471" t="s">
        <v>1610</v>
      </c>
      <c r="P471" t="s">
        <v>49</v>
      </c>
      <c r="R471">
        <v>1</v>
      </c>
      <c r="S471">
        <v>0</v>
      </c>
      <c r="T471">
        <v>0</v>
      </c>
      <c r="U471" t="s">
        <v>1627</v>
      </c>
      <c r="V471" t="s">
        <v>1628</v>
      </c>
      <c r="W471">
        <v>29401010105491</v>
      </c>
      <c r="X471">
        <v>34335</v>
      </c>
      <c r="Y471" t="s">
        <v>103</v>
      </c>
      <c r="Z471">
        <v>1</v>
      </c>
      <c r="AA471">
        <v>1</v>
      </c>
      <c r="AB471">
        <v>0</v>
      </c>
      <c r="AD471" t="s">
        <v>1629</v>
      </c>
      <c r="AE471" t="s">
        <v>167</v>
      </c>
      <c r="AF471">
        <v>82</v>
      </c>
      <c r="AG471">
        <v>191</v>
      </c>
      <c r="AH471">
        <f>IF([2]!Table1[[#This Row],[الوزن]]&lt;&gt;"",[2]!Table1[[#This Row],[الوزن]]-([2]!Table1[[#This Row],[الطول]]-100),"")</f>
        <v>0</v>
      </c>
      <c r="AJ471" t="s">
        <v>1630</v>
      </c>
      <c r="AN471" t="s">
        <v>145</v>
      </c>
    </row>
    <row r="472" spans="1:40" ht="18.75" customHeight="1" x14ac:dyDescent="0.3">
      <c r="A472" s="1">
        <v>2010134702076</v>
      </c>
      <c r="B472" t="s">
        <v>210</v>
      </c>
      <c r="C472" t="s">
        <v>1631</v>
      </c>
      <c r="D472" t="s">
        <v>1591</v>
      </c>
      <c r="E472" t="s">
        <v>43</v>
      </c>
      <c r="F472">
        <v>143</v>
      </c>
      <c r="G472">
        <v>40194</v>
      </c>
      <c r="H472">
        <v>40394</v>
      </c>
      <c r="L472" t="s">
        <v>1606</v>
      </c>
      <c r="M472" t="s">
        <v>1592</v>
      </c>
      <c r="N472" t="s">
        <v>47</v>
      </c>
      <c r="O472" t="s">
        <v>1610</v>
      </c>
      <c r="P472" t="s">
        <v>49</v>
      </c>
      <c r="R472">
        <v>0</v>
      </c>
      <c r="S472">
        <v>0</v>
      </c>
      <c r="T472">
        <v>0</v>
      </c>
      <c r="U472" t="s">
        <v>1632</v>
      </c>
      <c r="V472" t="s">
        <v>1633</v>
      </c>
      <c r="W472">
        <v>29001011212251</v>
      </c>
      <c r="X472">
        <v>32874</v>
      </c>
      <c r="Y472" t="s">
        <v>103</v>
      </c>
      <c r="Z472">
        <v>3</v>
      </c>
      <c r="AA472">
        <v>0</v>
      </c>
      <c r="AB472">
        <v>3</v>
      </c>
      <c r="AD472" t="s">
        <v>155</v>
      </c>
      <c r="AE472" t="s">
        <v>118</v>
      </c>
      <c r="AF472">
        <v>86</v>
      </c>
      <c r="AG472">
        <v>186</v>
      </c>
      <c r="AH472">
        <f>IF([2]!Table1[[#This Row],[الوزن]]&lt;&gt;"",[2]!Table1[[#This Row],[الوزن]]-([2]!Table1[[#This Row],[الطول]]-100),"")</f>
        <v>-1</v>
      </c>
      <c r="AJ472" t="s">
        <v>1634</v>
      </c>
      <c r="AN472" t="s">
        <v>145</v>
      </c>
    </row>
    <row r="473" spans="1:40" ht="18.75" customHeight="1" x14ac:dyDescent="0.3">
      <c r="A473" s="1">
        <v>2004134701071</v>
      </c>
      <c r="B473" t="s">
        <v>210</v>
      </c>
      <c r="C473" t="s">
        <v>1635</v>
      </c>
      <c r="D473" t="s">
        <v>1591</v>
      </c>
      <c r="E473" t="s">
        <v>43</v>
      </c>
      <c r="F473">
        <v>131</v>
      </c>
      <c r="G473">
        <v>38003</v>
      </c>
      <c r="H473">
        <v>38476</v>
      </c>
      <c r="I473">
        <v>44859</v>
      </c>
      <c r="L473" t="s">
        <v>77</v>
      </c>
      <c r="M473" t="s">
        <v>1592</v>
      </c>
      <c r="N473" t="s">
        <v>47</v>
      </c>
      <c r="O473" t="s">
        <v>1636</v>
      </c>
      <c r="P473" t="s">
        <v>49</v>
      </c>
      <c r="R473">
        <v>5</v>
      </c>
      <c r="S473">
        <v>1</v>
      </c>
      <c r="T473">
        <v>0</v>
      </c>
      <c r="U473" t="s">
        <v>1637</v>
      </c>
      <c r="V473" t="s">
        <v>1638</v>
      </c>
      <c r="W473">
        <v>28110151602334</v>
      </c>
      <c r="X473">
        <v>29874</v>
      </c>
      <c r="Y473" t="s">
        <v>103</v>
      </c>
      <c r="Z473">
        <v>2</v>
      </c>
      <c r="AA473">
        <v>1</v>
      </c>
      <c r="AB473">
        <v>1</v>
      </c>
      <c r="AD473" t="s">
        <v>217</v>
      </c>
      <c r="AE473" t="s">
        <v>73</v>
      </c>
      <c r="AF473">
        <v>70</v>
      </c>
      <c r="AG473">
        <v>171</v>
      </c>
      <c r="AH473">
        <f>IF([2]!Table1[[#This Row],[الوزن]]&lt;&gt;"",[2]!Table1[[#This Row],[الوزن]]-([2]!Table1[[#This Row],[الطول]]-100),"")</f>
        <v>5</v>
      </c>
      <c r="AJ473" t="s">
        <v>1639</v>
      </c>
      <c r="AN473" t="s">
        <v>145</v>
      </c>
    </row>
    <row r="474" spans="1:40" ht="18.75" customHeight="1" x14ac:dyDescent="0.3">
      <c r="A474" s="1">
        <v>2001134701126</v>
      </c>
      <c r="B474" t="s">
        <v>210</v>
      </c>
      <c r="C474" t="s">
        <v>1640</v>
      </c>
      <c r="D474" t="s">
        <v>1591</v>
      </c>
      <c r="E474" t="s">
        <v>43</v>
      </c>
      <c r="F474">
        <v>124</v>
      </c>
      <c r="G474">
        <v>36911</v>
      </c>
      <c r="H474">
        <v>37381</v>
      </c>
      <c r="I474">
        <v>45230</v>
      </c>
      <c r="L474" t="s">
        <v>77</v>
      </c>
      <c r="M474" t="s">
        <v>1592</v>
      </c>
      <c r="N474" t="s">
        <v>47</v>
      </c>
      <c r="O474" t="s">
        <v>1641</v>
      </c>
      <c r="P474" t="s">
        <v>49</v>
      </c>
      <c r="R474">
        <v>9</v>
      </c>
      <c r="S474">
        <v>1</v>
      </c>
      <c r="T474">
        <v>0</v>
      </c>
      <c r="U474" t="s">
        <v>1642</v>
      </c>
      <c r="V474" t="s">
        <v>1643</v>
      </c>
      <c r="W474">
        <v>28411211601553</v>
      </c>
      <c r="X474">
        <v>31007</v>
      </c>
      <c r="Y474" t="s">
        <v>103</v>
      </c>
      <c r="Z474">
        <v>3</v>
      </c>
      <c r="AA474">
        <v>3</v>
      </c>
      <c r="AB474">
        <v>0</v>
      </c>
      <c r="AD474" t="s">
        <v>217</v>
      </c>
      <c r="AE474" t="s">
        <v>73</v>
      </c>
      <c r="AF474">
        <v>75</v>
      </c>
      <c r="AG474">
        <v>170</v>
      </c>
      <c r="AH474">
        <f>IF([2]!Table1[[#This Row],[الوزن]]&lt;&gt;"",[2]!Table1[[#This Row],[الوزن]]-([2]!Table1[[#This Row],[الطول]]-100),"")</f>
        <v>-2</v>
      </c>
      <c r="AJ474" t="s">
        <v>1644</v>
      </c>
      <c r="AN474" t="s">
        <v>145</v>
      </c>
    </row>
    <row r="475" spans="1:40" ht="18.75" customHeight="1" x14ac:dyDescent="0.3">
      <c r="A475" s="1">
        <v>2005134703918</v>
      </c>
      <c r="B475" t="s">
        <v>57</v>
      </c>
      <c r="C475" t="s">
        <v>1645</v>
      </c>
      <c r="D475" t="s">
        <v>1591</v>
      </c>
      <c r="E475" t="s">
        <v>43</v>
      </c>
      <c r="F475">
        <v>134</v>
      </c>
      <c r="G475">
        <v>38549</v>
      </c>
      <c r="H475">
        <v>39021</v>
      </c>
      <c r="I475">
        <v>44502</v>
      </c>
      <c r="L475" t="s">
        <v>45</v>
      </c>
      <c r="M475" t="s">
        <v>1592</v>
      </c>
      <c r="N475" t="s">
        <v>47</v>
      </c>
      <c r="O475" t="s">
        <v>1646</v>
      </c>
      <c r="P475" t="s">
        <v>49</v>
      </c>
      <c r="R475">
        <v>0</v>
      </c>
      <c r="S475">
        <v>0</v>
      </c>
      <c r="T475">
        <v>0</v>
      </c>
      <c r="U475" t="s">
        <v>1647</v>
      </c>
      <c r="V475" t="s">
        <v>1648</v>
      </c>
      <c r="W475">
        <v>28506251802455</v>
      </c>
      <c r="X475">
        <v>31223</v>
      </c>
      <c r="Y475" t="s">
        <v>103</v>
      </c>
      <c r="Z475">
        <v>3</v>
      </c>
      <c r="AA475">
        <v>0</v>
      </c>
      <c r="AB475">
        <v>3</v>
      </c>
      <c r="AD475" t="s">
        <v>1649</v>
      </c>
      <c r="AE475" t="s">
        <v>54</v>
      </c>
      <c r="AF475">
        <v>73</v>
      </c>
      <c r="AG475">
        <v>175</v>
      </c>
      <c r="AH475">
        <f>IF([2]!Table1[[#This Row],[الوزن]]&lt;&gt;"",[2]!Table1[[#This Row],[الوزن]]-([2]!Table1[[#This Row],[الطول]]-100),"")</f>
        <v>-5</v>
      </c>
      <c r="AJ475" t="s">
        <v>1650</v>
      </c>
      <c r="AN475" t="s">
        <v>145</v>
      </c>
    </row>
    <row r="476" spans="1:40" ht="18.75" customHeight="1" x14ac:dyDescent="0.3">
      <c r="A476" s="1">
        <v>2018138301430</v>
      </c>
      <c r="B476" t="s">
        <v>106</v>
      </c>
      <c r="C476" t="s">
        <v>1651</v>
      </c>
      <c r="D476" t="s">
        <v>1591</v>
      </c>
      <c r="E476" t="s">
        <v>43</v>
      </c>
      <c r="F476">
        <v>158</v>
      </c>
      <c r="G476">
        <v>43279</v>
      </c>
      <c r="H476">
        <v>44117</v>
      </c>
      <c r="I476">
        <v>45980</v>
      </c>
      <c r="L476" t="s">
        <v>77</v>
      </c>
      <c r="M476" t="s">
        <v>1592</v>
      </c>
      <c r="N476" t="s">
        <v>127</v>
      </c>
      <c r="O476" t="s">
        <v>1652</v>
      </c>
      <c r="P476" t="s">
        <v>49</v>
      </c>
      <c r="R476">
        <v>3</v>
      </c>
      <c r="S476">
        <v>0</v>
      </c>
      <c r="T476">
        <v>0</v>
      </c>
      <c r="U476" t="s">
        <v>1653</v>
      </c>
      <c r="V476" t="s">
        <v>1654</v>
      </c>
      <c r="W476">
        <v>30106102300758</v>
      </c>
      <c r="X476">
        <v>37052</v>
      </c>
      <c r="Y476" t="s">
        <v>51</v>
      </c>
      <c r="Z476">
        <v>0</v>
      </c>
      <c r="AA476">
        <v>0</v>
      </c>
      <c r="AB476">
        <v>0</v>
      </c>
      <c r="AD476" t="s">
        <v>1655</v>
      </c>
      <c r="AE476" t="s">
        <v>1138</v>
      </c>
      <c r="AF476">
        <v>71</v>
      </c>
      <c r="AG476">
        <v>176</v>
      </c>
      <c r="AH476">
        <f>IF([2]!Table1[[#This Row],[الوزن]]&lt;&gt;"",[2]!Table1[[#This Row],[الوزن]]-([2]!Table1[[#This Row],[الطول]]-100),"")</f>
        <v>-9</v>
      </c>
      <c r="AJ476" t="s">
        <v>298</v>
      </c>
      <c r="AN476" t="s">
        <v>145</v>
      </c>
    </row>
    <row r="477" spans="1:40" ht="18.75" customHeight="1" x14ac:dyDescent="0.3">
      <c r="A477" s="1">
        <v>2019134703654</v>
      </c>
      <c r="B477" t="s">
        <v>125</v>
      </c>
      <c r="C477" t="s">
        <v>1656</v>
      </c>
      <c r="D477" t="s">
        <v>1591</v>
      </c>
      <c r="E477" t="s">
        <v>43</v>
      </c>
      <c r="F477">
        <v>195</v>
      </c>
      <c r="G477">
        <v>43692</v>
      </c>
      <c r="H477">
        <v>44482</v>
      </c>
      <c r="I477">
        <v>44854</v>
      </c>
      <c r="L477" t="s">
        <v>77</v>
      </c>
      <c r="M477" t="s">
        <v>1592</v>
      </c>
      <c r="N477" t="s">
        <v>47</v>
      </c>
      <c r="O477" t="s">
        <v>1657</v>
      </c>
      <c r="Q477" t="s">
        <v>49</v>
      </c>
      <c r="R477">
        <v>2</v>
      </c>
      <c r="S477">
        <v>0</v>
      </c>
      <c r="T477">
        <v>0</v>
      </c>
      <c r="U477" t="s">
        <v>1658</v>
      </c>
      <c r="V477" t="s">
        <v>1659</v>
      </c>
      <c r="W477">
        <v>29802021703018</v>
      </c>
      <c r="X477">
        <v>35828</v>
      </c>
      <c r="Y477" t="s">
        <v>550</v>
      </c>
      <c r="AD477" t="s">
        <v>1379</v>
      </c>
      <c r="AE477" t="s">
        <v>167</v>
      </c>
      <c r="AF477">
        <v>70</v>
      </c>
      <c r="AG477">
        <v>179</v>
      </c>
      <c r="AH477">
        <f>IF([2]!Table1[[#This Row],[الوزن]]&lt;&gt;"",[2]!Table1[[#This Row],[الوزن]]-([2]!Table1[[#This Row],[الطول]]-100),"")</f>
        <v>-1</v>
      </c>
      <c r="AJ477" t="s">
        <v>1660</v>
      </c>
      <c r="AN477" t="s">
        <v>145</v>
      </c>
    </row>
    <row r="478" spans="1:40" ht="18.75" customHeight="1" x14ac:dyDescent="0.3">
      <c r="A478" s="1">
        <v>2013134790827</v>
      </c>
      <c r="B478" t="s">
        <v>66</v>
      </c>
      <c r="C478" t="s">
        <v>1661</v>
      </c>
      <c r="D478" t="s">
        <v>1591</v>
      </c>
      <c r="E478" t="s">
        <v>43</v>
      </c>
      <c r="F478" t="s">
        <v>1662</v>
      </c>
      <c r="G478">
        <v>41519</v>
      </c>
      <c r="H478">
        <v>41519</v>
      </c>
      <c r="I478">
        <v>45230</v>
      </c>
      <c r="L478" t="s">
        <v>1663</v>
      </c>
      <c r="M478" t="s">
        <v>1592</v>
      </c>
      <c r="N478" t="s">
        <v>47</v>
      </c>
      <c r="O478" t="s">
        <v>1664</v>
      </c>
      <c r="P478" t="s">
        <v>49</v>
      </c>
      <c r="R478">
        <v>27</v>
      </c>
      <c r="S478">
        <v>0</v>
      </c>
      <c r="T478">
        <v>0</v>
      </c>
      <c r="U478" t="s">
        <v>1665</v>
      </c>
      <c r="V478" t="s">
        <v>1666</v>
      </c>
      <c r="W478">
        <v>29801161300634</v>
      </c>
      <c r="X478">
        <v>36105</v>
      </c>
      <c r="Y478" t="s">
        <v>103</v>
      </c>
      <c r="Z478">
        <v>2</v>
      </c>
      <c r="AA478">
        <v>2</v>
      </c>
      <c r="AB478">
        <v>0</v>
      </c>
      <c r="AD478" t="s">
        <v>1667</v>
      </c>
      <c r="AE478" t="s">
        <v>64</v>
      </c>
      <c r="AF478">
        <v>69</v>
      </c>
      <c r="AG478">
        <v>170</v>
      </c>
      <c r="AH478">
        <f>IF([2]!Table1[[#This Row],[الوزن]]&lt;&gt;"",[2]!Table1[[#This Row],[الوزن]]-([2]!Table1[[#This Row],[الطول]]-100),"")</f>
        <v>-6</v>
      </c>
      <c r="AJ478" t="s">
        <v>1668</v>
      </c>
      <c r="AN478" t="s">
        <v>145</v>
      </c>
    </row>
    <row r="479" spans="1:40" ht="18.75" customHeight="1" x14ac:dyDescent="0.3">
      <c r="A479" s="1">
        <v>2021134708253</v>
      </c>
      <c r="B479" t="s">
        <v>125</v>
      </c>
      <c r="C479" t="s">
        <v>1669</v>
      </c>
      <c r="D479" t="s">
        <v>1591</v>
      </c>
      <c r="E479" t="s">
        <v>43</v>
      </c>
      <c r="F479">
        <v>160</v>
      </c>
      <c r="G479">
        <v>44205</v>
      </c>
      <c r="H479">
        <v>45197</v>
      </c>
      <c r="I479">
        <v>45206</v>
      </c>
      <c r="L479" t="s">
        <v>77</v>
      </c>
      <c r="M479" t="s">
        <v>1592</v>
      </c>
      <c r="N479" t="s">
        <v>47</v>
      </c>
      <c r="O479" t="s">
        <v>1670</v>
      </c>
      <c r="Q479" t="s">
        <v>49</v>
      </c>
      <c r="R479">
        <v>0</v>
      </c>
      <c r="S479">
        <v>0</v>
      </c>
      <c r="T479">
        <v>0</v>
      </c>
      <c r="U479" t="s">
        <v>1671</v>
      </c>
      <c r="V479" t="s">
        <v>1672</v>
      </c>
      <c r="W479">
        <v>29802072700838</v>
      </c>
      <c r="X479">
        <v>35833</v>
      </c>
      <c r="Y479" t="s">
        <v>550</v>
      </c>
      <c r="AD479" t="s">
        <v>1673</v>
      </c>
      <c r="AE479" t="s">
        <v>234</v>
      </c>
      <c r="AF479">
        <v>64</v>
      </c>
      <c r="AG479">
        <v>170</v>
      </c>
      <c r="AH479">
        <f>IF([2]!Table1[[#This Row],[الوزن]]&lt;&gt;"",[2]!Table1[[#This Row],[الوزن]]-([2]!Table1[[#This Row],[الطول]]-100),"")</f>
        <v>-8</v>
      </c>
      <c r="AN479" t="s">
        <v>145</v>
      </c>
    </row>
    <row r="480" spans="1:40" ht="18.75" customHeight="1" x14ac:dyDescent="0.3">
      <c r="A480" s="1">
        <v>2021134716470</v>
      </c>
      <c r="B480" t="s">
        <v>125</v>
      </c>
      <c r="C480" t="s">
        <v>1674</v>
      </c>
      <c r="D480" t="s">
        <v>1591</v>
      </c>
      <c r="E480" t="s">
        <v>43</v>
      </c>
      <c r="F480">
        <v>161</v>
      </c>
      <c r="G480">
        <v>44556</v>
      </c>
      <c r="H480">
        <v>45581</v>
      </c>
      <c r="I480">
        <v>45583</v>
      </c>
      <c r="L480" t="s">
        <v>77</v>
      </c>
      <c r="M480" t="s">
        <v>1592</v>
      </c>
      <c r="N480" t="s">
        <v>47</v>
      </c>
      <c r="O480" t="s">
        <v>1675</v>
      </c>
      <c r="Q480" t="s">
        <v>49</v>
      </c>
      <c r="R480">
        <v>0</v>
      </c>
      <c r="S480">
        <v>0</v>
      </c>
      <c r="T480">
        <v>0</v>
      </c>
      <c r="U480" t="s">
        <v>1676</v>
      </c>
      <c r="V480" t="s">
        <v>1672</v>
      </c>
      <c r="W480">
        <v>30212261700354</v>
      </c>
      <c r="X480">
        <v>37616</v>
      </c>
      <c r="Y480" t="s">
        <v>550</v>
      </c>
      <c r="AD480" t="s">
        <v>347</v>
      </c>
      <c r="AE480" t="s">
        <v>167</v>
      </c>
      <c r="AF480">
        <v>60</v>
      </c>
      <c r="AG480">
        <v>168</v>
      </c>
      <c r="AH480">
        <f>IF([2]!Table1[[#This Row],[الوزن]]&lt;&gt;"",[2]!Table1[[#This Row],[الوزن]]-([2]!Table1[[#This Row],[الطول]]-100),"")</f>
        <v>-4</v>
      </c>
      <c r="AN480" t="s">
        <v>145</v>
      </c>
    </row>
    <row r="481" spans="1:40" ht="18.75" customHeight="1" x14ac:dyDescent="0.3">
      <c r="A481" s="1">
        <v>2021134719002</v>
      </c>
      <c r="B481" t="s">
        <v>125</v>
      </c>
      <c r="C481" t="s">
        <v>1677</v>
      </c>
      <c r="D481" t="s">
        <v>1591</v>
      </c>
      <c r="E481" t="s">
        <v>43</v>
      </c>
      <c r="F481">
        <v>161</v>
      </c>
      <c r="G481">
        <v>44546</v>
      </c>
      <c r="H481">
        <v>45581</v>
      </c>
      <c r="I481">
        <v>45583</v>
      </c>
      <c r="L481" t="s">
        <v>77</v>
      </c>
      <c r="M481" t="s">
        <v>1592</v>
      </c>
      <c r="N481" t="s">
        <v>47</v>
      </c>
      <c r="O481" t="s">
        <v>1678</v>
      </c>
      <c r="Q481" t="s">
        <v>49</v>
      </c>
      <c r="R481">
        <v>0</v>
      </c>
      <c r="S481">
        <v>0</v>
      </c>
      <c r="T481">
        <v>0</v>
      </c>
      <c r="U481" t="s">
        <v>1679</v>
      </c>
      <c r="V481" t="s">
        <v>1680</v>
      </c>
      <c r="W481">
        <v>30507011203274</v>
      </c>
      <c r="X481">
        <v>38534</v>
      </c>
      <c r="Y481" t="s">
        <v>550</v>
      </c>
      <c r="AD481" t="s">
        <v>1681</v>
      </c>
      <c r="AE481" t="s">
        <v>118</v>
      </c>
      <c r="AF481">
        <v>70</v>
      </c>
      <c r="AG481">
        <v>174</v>
      </c>
      <c r="AH481">
        <f>IF([2]!Table1[[#This Row],[الوزن]]&lt;&gt;"",[2]!Table1[[#This Row],[الوزن]]-([2]!Table1[[#This Row],[الطول]]-100),"")</f>
        <v>-4</v>
      </c>
      <c r="AN481" t="s">
        <v>56</v>
      </c>
    </row>
    <row r="482" spans="1:40" ht="18.75" customHeight="1" x14ac:dyDescent="0.3">
      <c r="A482" s="1">
        <v>2023134704877</v>
      </c>
      <c r="B482" t="s">
        <v>125</v>
      </c>
      <c r="C482" t="s">
        <v>1682</v>
      </c>
      <c r="D482" t="s">
        <v>1591</v>
      </c>
      <c r="E482" t="s">
        <v>43</v>
      </c>
      <c r="F482">
        <v>162</v>
      </c>
      <c r="G482">
        <v>44941</v>
      </c>
      <c r="H482">
        <v>45976</v>
      </c>
      <c r="I482">
        <v>45967</v>
      </c>
      <c r="L482" t="s">
        <v>77</v>
      </c>
      <c r="M482" t="s">
        <v>1592</v>
      </c>
      <c r="N482" t="s">
        <v>47</v>
      </c>
      <c r="O482" t="s">
        <v>1657</v>
      </c>
      <c r="Q482" t="s">
        <v>49</v>
      </c>
      <c r="R482">
        <v>0</v>
      </c>
      <c r="S482">
        <v>0</v>
      </c>
      <c r="T482">
        <v>0</v>
      </c>
      <c r="U482" t="s">
        <v>1683</v>
      </c>
      <c r="V482" t="s">
        <v>1684</v>
      </c>
      <c r="W482">
        <v>30411031201351</v>
      </c>
      <c r="X482">
        <v>38291</v>
      </c>
      <c r="Y482" t="s">
        <v>550</v>
      </c>
      <c r="AD482" t="s">
        <v>155</v>
      </c>
      <c r="AE482" t="s">
        <v>118</v>
      </c>
      <c r="AF482">
        <v>70</v>
      </c>
      <c r="AG482">
        <v>174</v>
      </c>
      <c r="AH482">
        <f>IF([2]!Table1[[#This Row],[الوزن]]&lt;&gt;"",[2]!Table1[[#This Row],[الوزن]]-([2]!Table1[[#This Row],[الطول]]-100),"")</f>
        <v>5</v>
      </c>
      <c r="AN482" t="s">
        <v>56</v>
      </c>
    </row>
    <row r="483" spans="1:40" ht="18.75" customHeight="1" x14ac:dyDescent="0.3">
      <c r="A483" s="1">
        <v>2005138300207</v>
      </c>
      <c r="B483" t="s">
        <v>57</v>
      </c>
      <c r="C483" t="s">
        <v>1685</v>
      </c>
      <c r="D483" t="s">
        <v>1686</v>
      </c>
      <c r="E483" t="s">
        <v>447</v>
      </c>
      <c r="F483">
        <v>133</v>
      </c>
      <c r="G483">
        <v>38376</v>
      </c>
      <c r="H483">
        <v>38838</v>
      </c>
      <c r="I483">
        <v>44743</v>
      </c>
      <c r="K483">
        <v>45700</v>
      </c>
      <c r="L483" t="s">
        <v>135</v>
      </c>
      <c r="M483" t="s">
        <v>554</v>
      </c>
      <c r="N483" t="s">
        <v>127</v>
      </c>
      <c r="O483" t="s">
        <v>579</v>
      </c>
      <c r="P483" t="s">
        <v>49</v>
      </c>
      <c r="R483">
        <v>5</v>
      </c>
      <c r="S483">
        <v>0</v>
      </c>
      <c r="T483">
        <v>0</v>
      </c>
      <c r="U483" t="s">
        <v>1687</v>
      </c>
      <c r="W483" t="s">
        <v>1688</v>
      </c>
      <c r="X483">
        <v>31305</v>
      </c>
      <c r="Y483" t="s">
        <v>103</v>
      </c>
      <c r="Z483">
        <v>3</v>
      </c>
      <c r="AF483">
        <v>89</v>
      </c>
      <c r="AG483">
        <v>184</v>
      </c>
      <c r="AH483">
        <f>IF([2]!Table1[[#This Row],[الوزن]]&lt;&gt;"",[2]!Table1[[#This Row],[الوزن]]-([2]!Table1[[#This Row],[الطول]]-100),"")</f>
        <v>1</v>
      </c>
      <c r="AK483" t="s">
        <v>1689</v>
      </c>
      <c r="AN483" t="s">
        <v>625</v>
      </c>
    </row>
    <row r="484" spans="1:40" ht="18.75" customHeight="1" x14ac:dyDescent="0.3">
      <c r="A484" s="1">
        <v>2014138323218</v>
      </c>
      <c r="B484" t="s">
        <v>75</v>
      </c>
      <c r="C484" t="s">
        <v>1690</v>
      </c>
      <c r="D484" t="s">
        <v>1686</v>
      </c>
      <c r="E484" t="s">
        <v>447</v>
      </c>
      <c r="F484">
        <v>152</v>
      </c>
      <c r="G484">
        <v>41853</v>
      </c>
      <c r="H484">
        <v>42326</v>
      </c>
      <c r="I484">
        <v>46023</v>
      </c>
      <c r="K484">
        <v>45588</v>
      </c>
      <c r="L484" t="s">
        <v>135</v>
      </c>
      <c r="M484" t="s">
        <v>554</v>
      </c>
      <c r="N484" t="s">
        <v>127</v>
      </c>
      <c r="O484" t="s">
        <v>579</v>
      </c>
      <c r="Q484" t="s">
        <v>49</v>
      </c>
      <c r="R484">
        <v>1</v>
      </c>
      <c r="S484">
        <v>0</v>
      </c>
      <c r="T484">
        <v>0</v>
      </c>
      <c r="U484" t="s">
        <v>1691</v>
      </c>
      <c r="W484">
        <v>29809101600915</v>
      </c>
      <c r="X484">
        <v>36048</v>
      </c>
      <c r="Y484" t="s">
        <v>103</v>
      </c>
      <c r="Z484">
        <v>1</v>
      </c>
      <c r="AF484">
        <v>85</v>
      </c>
      <c r="AG484">
        <v>184</v>
      </c>
      <c r="AH484">
        <f>IF([2]!Table1[[#This Row],[الوزن]]&lt;&gt;"",[2]!Table1[[#This Row],[الوزن]]-([2]!Table1[[#This Row],[الطول]]-100),"")</f>
        <v>0</v>
      </c>
      <c r="AL484" t="s">
        <v>1692</v>
      </c>
      <c r="AN484" t="s">
        <v>625</v>
      </c>
    </row>
    <row r="485" spans="1:40" ht="18.75" customHeight="1" x14ac:dyDescent="0.3">
      <c r="A485" s="1">
        <v>2015138307872</v>
      </c>
      <c r="B485" t="s">
        <v>106</v>
      </c>
      <c r="C485" t="s">
        <v>1693</v>
      </c>
      <c r="D485" t="s">
        <v>1686</v>
      </c>
      <c r="E485" t="s">
        <v>447</v>
      </c>
      <c r="F485">
        <v>154</v>
      </c>
      <c r="G485">
        <v>42224</v>
      </c>
      <c r="H485">
        <v>42790</v>
      </c>
      <c r="I485">
        <v>44743</v>
      </c>
      <c r="K485">
        <v>44860</v>
      </c>
      <c r="L485" t="s">
        <v>135</v>
      </c>
      <c r="M485" t="s">
        <v>554</v>
      </c>
      <c r="N485" t="s">
        <v>127</v>
      </c>
      <c r="O485" t="s">
        <v>579</v>
      </c>
      <c r="P485" t="s">
        <v>49</v>
      </c>
      <c r="R485">
        <v>9</v>
      </c>
      <c r="S485">
        <v>0</v>
      </c>
      <c r="T485">
        <v>0</v>
      </c>
      <c r="U485" t="s">
        <v>1694</v>
      </c>
      <c r="W485">
        <v>29902021803939</v>
      </c>
      <c r="X485">
        <v>36193</v>
      </c>
      <c r="Y485" t="s">
        <v>153</v>
      </c>
      <c r="Z485">
        <v>0</v>
      </c>
      <c r="AF485">
        <v>85</v>
      </c>
      <c r="AG485">
        <v>185</v>
      </c>
      <c r="AH485">
        <f>IF([2]!Table1[[#This Row],[الوزن]]&lt;&gt;"",[2]!Table1[[#This Row],[الوزن]]-([2]!Table1[[#This Row],[الطول]]-100),"")</f>
        <v>0</v>
      </c>
      <c r="AN485" t="s">
        <v>625</v>
      </c>
    </row>
    <row r="486" spans="1:40" ht="18.75" customHeight="1" x14ac:dyDescent="0.3">
      <c r="A486" s="1">
        <v>2016138305759</v>
      </c>
      <c r="B486" t="s">
        <v>106</v>
      </c>
      <c r="C486" t="s">
        <v>1695</v>
      </c>
      <c r="D486" t="s">
        <v>1686</v>
      </c>
      <c r="E486" t="s">
        <v>447</v>
      </c>
      <c r="F486">
        <v>156</v>
      </c>
      <c r="G486">
        <v>42575</v>
      </c>
      <c r="H486">
        <v>43321</v>
      </c>
      <c r="I486">
        <v>45292</v>
      </c>
      <c r="K486">
        <v>45220</v>
      </c>
      <c r="L486" t="s">
        <v>135</v>
      </c>
      <c r="M486" t="s">
        <v>554</v>
      </c>
      <c r="N486" t="s">
        <v>127</v>
      </c>
      <c r="O486" t="s">
        <v>579</v>
      </c>
      <c r="Q486" t="s">
        <v>49</v>
      </c>
      <c r="R486">
        <v>2</v>
      </c>
      <c r="S486">
        <v>0</v>
      </c>
      <c r="T486">
        <v>0</v>
      </c>
      <c r="U486" t="s">
        <v>1696</v>
      </c>
      <c r="W486">
        <v>29910161400217</v>
      </c>
      <c r="X486">
        <v>36449</v>
      </c>
      <c r="Y486" t="s">
        <v>103</v>
      </c>
      <c r="Z486">
        <v>2</v>
      </c>
      <c r="AF486">
        <v>83</v>
      </c>
      <c r="AG486">
        <v>183</v>
      </c>
      <c r="AH486">
        <f>IF([2]!Table1[[#This Row],[الوزن]]&lt;&gt;"",[2]!Table1[[#This Row],[الوزن]]-([2]!Table1[[#This Row],[الطول]]-100),"")</f>
        <v>0</v>
      </c>
      <c r="AN486" t="s">
        <v>625</v>
      </c>
    </row>
    <row r="487" spans="1:40" ht="18.75" customHeight="1" x14ac:dyDescent="0.3">
      <c r="A487" s="1">
        <v>2016138306418</v>
      </c>
      <c r="B487" t="s">
        <v>106</v>
      </c>
      <c r="C487" t="s">
        <v>1697</v>
      </c>
      <c r="D487" t="s">
        <v>1686</v>
      </c>
      <c r="E487" t="s">
        <v>447</v>
      </c>
      <c r="F487">
        <v>156</v>
      </c>
      <c r="G487">
        <v>42575</v>
      </c>
      <c r="H487">
        <v>43321</v>
      </c>
      <c r="I487">
        <v>45292</v>
      </c>
      <c r="L487" t="s">
        <v>135</v>
      </c>
      <c r="M487" t="s">
        <v>554</v>
      </c>
      <c r="N487" t="s">
        <v>127</v>
      </c>
      <c r="O487" t="s">
        <v>579</v>
      </c>
      <c r="Q487" t="s">
        <v>49</v>
      </c>
      <c r="R487">
        <v>0</v>
      </c>
      <c r="S487">
        <v>0</v>
      </c>
      <c r="T487">
        <v>0</v>
      </c>
      <c r="U487" t="s">
        <v>1698</v>
      </c>
      <c r="X487">
        <v>36148</v>
      </c>
      <c r="Y487" t="s">
        <v>103</v>
      </c>
      <c r="Z487">
        <v>2</v>
      </c>
      <c r="AF487">
        <v>85</v>
      </c>
      <c r="AG487">
        <v>185</v>
      </c>
      <c r="AH487">
        <f>IF([2]!Table1[[#This Row],[الوزن]]&lt;&gt;"",[2]!Table1[[#This Row],[الوزن]]-([2]!Table1[[#This Row],[الطول]]-100),"")</f>
        <v>0</v>
      </c>
      <c r="AI487" t="s">
        <v>1699</v>
      </c>
      <c r="AJ487" t="s">
        <v>1700</v>
      </c>
      <c r="AN487" t="s">
        <v>625</v>
      </c>
    </row>
    <row r="488" spans="1:40" ht="18.75" customHeight="1" x14ac:dyDescent="0.3">
      <c r="A488" s="1">
        <v>2017138305153</v>
      </c>
      <c r="B488" t="s">
        <v>106</v>
      </c>
      <c r="C488" t="s">
        <v>1701</v>
      </c>
      <c r="D488" t="s">
        <v>1686</v>
      </c>
      <c r="E488" t="s">
        <v>447</v>
      </c>
      <c r="F488">
        <v>157</v>
      </c>
      <c r="G488">
        <v>42932</v>
      </c>
      <c r="H488">
        <v>43663</v>
      </c>
      <c r="I488">
        <v>45658</v>
      </c>
      <c r="K488">
        <v>44853</v>
      </c>
      <c r="L488" t="s">
        <v>135</v>
      </c>
      <c r="M488" t="s">
        <v>554</v>
      </c>
      <c r="N488" t="s">
        <v>127</v>
      </c>
      <c r="O488" t="s">
        <v>579</v>
      </c>
      <c r="Q488" t="s">
        <v>49</v>
      </c>
      <c r="R488">
        <v>1</v>
      </c>
      <c r="S488">
        <v>0</v>
      </c>
      <c r="T488">
        <v>0</v>
      </c>
      <c r="U488" t="s">
        <v>1702</v>
      </c>
      <c r="W488">
        <v>29708151401319</v>
      </c>
      <c r="X488">
        <v>35657</v>
      </c>
      <c r="Y488" t="s">
        <v>103</v>
      </c>
      <c r="Z488">
        <v>2</v>
      </c>
      <c r="AF488">
        <v>82</v>
      </c>
      <c r="AG488">
        <v>182</v>
      </c>
      <c r="AH488">
        <f>IF([2]!Table1[[#This Row],[الوزن]]&lt;&gt;"",[2]!Table1[[#This Row],[الوزن]]-([2]!Table1[[#This Row],[الطول]]-100),"")</f>
        <v>-1</v>
      </c>
      <c r="AN488" t="s">
        <v>625</v>
      </c>
    </row>
    <row r="489" spans="1:40" ht="18.75" customHeight="1" x14ac:dyDescent="0.3">
      <c r="A489" s="1">
        <v>2014131101801</v>
      </c>
      <c r="B489" t="s">
        <v>75</v>
      </c>
      <c r="C489" t="s">
        <v>1703</v>
      </c>
      <c r="D489" t="s">
        <v>717</v>
      </c>
      <c r="E489" t="s">
        <v>718</v>
      </c>
      <c r="F489">
        <v>152</v>
      </c>
      <c r="G489">
        <v>41853</v>
      </c>
      <c r="H489">
        <v>42326</v>
      </c>
      <c r="I489">
        <v>46023</v>
      </c>
      <c r="J489">
        <v>45971</v>
      </c>
      <c r="L489" t="s">
        <v>135</v>
      </c>
      <c r="M489" t="s">
        <v>136</v>
      </c>
      <c r="N489" t="s">
        <v>448</v>
      </c>
      <c r="O489" t="s">
        <v>512</v>
      </c>
      <c r="P489" t="s">
        <v>49</v>
      </c>
      <c r="R489">
        <v>1</v>
      </c>
      <c r="S489">
        <v>0</v>
      </c>
      <c r="T489">
        <v>0</v>
      </c>
      <c r="U489" t="s">
        <v>995</v>
      </c>
      <c r="V489" t="s">
        <v>1704</v>
      </c>
      <c r="W489">
        <v>29802161601517</v>
      </c>
      <c r="AC489" t="s">
        <v>1705</v>
      </c>
      <c r="AF489">
        <v>70</v>
      </c>
      <c r="AG489">
        <v>171</v>
      </c>
      <c r="AH489">
        <v>-1</v>
      </c>
      <c r="AJ489" t="s">
        <v>1706</v>
      </c>
    </row>
    <row r="490" spans="1:40" ht="18.75" customHeight="1" x14ac:dyDescent="0.3">
      <c r="A490" s="1">
        <v>2019132201254</v>
      </c>
      <c r="B490" t="s">
        <v>125</v>
      </c>
      <c r="C490" t="s">
        <v>1707</v>
      </c>
      <c r="D490" t="s">
        <v>1686</v>
      </c>
      <c r="E490" t="s">
        <v>447</v>
      </c>
      <c r="F490">
        <v>159</v>
      </c>
      <c r="G490">
        <v>43692</v>
      </c>
      <c r="H490">
        <v>44481</v>
      </c>
      <c r="I490">
        <v>44481</v>
      </c>
      <c r="K490">
        <v>44529</v>
      </c>
      <c r="L490" t="s">
        <v>135</v>
      </c>
      <c r="M490" t="s">
        <v>554</v>
      </c>
      <c r="N490" t="s">
        <v>127</v>
      </c>
      <c r="O490" t="s">
        <v>579</v>
      </c>
      <c r="Q490" t="s">
        <v>49</v>
      </c>
      <c r="R490">
        <v>0</v>
      </c>
      <c r="S490">
        <v>0</v>
      </c>
      <c r="T490">
        <v>0</v>
      </c>
      <c r="U490" t="s">
        <v>1708</v>
      </c>
      <c r="W490">
        <v>30009162402074</v>
      </c>
      <c r="X490">
        <v>36785</v>
      </c>
      <c r="Y490" t="s">
        <v>153</v>
      </c>
      <c r="Z490">
        <v>0</v>
      </c>
      <c r="AF490">
        <v>80</v>
      </c>
      <c r="AG490">
        <v>180</v>
      </c>
      <c r="AH490">
        <f>IF([2]!Table1[[#This Row],[الوزن]]&lt;&gt;"",[2]!Table1[[#This Row],[الوزن]]-([2]!Table1[[#This Row],[الطول]]-100),"")</f>
        <v>-4</v>
      </c>
      <c r="AN490" t="s">
        <v>625</v>
      </c>
    </row>
    <row r="491" spans="1:40" ht="18.75" customHeight="1" x14ac:dyDescent="0.3">
      <c r="A491" s="1">
        <v>2021132200607</v>
      </c>
      <c r="B491" t="s">
        <v>125</v>
      </c>
      <c r="C491" t="s">
        <v>1709</v>
      </c>
      <c r="D491" t="s">
        <v>1686</v>
      </c>
      <c r="E491" t="s">
        <v>447</v>
      </c>
      <c r="F491">
        <v>160</v>
      </c>
      <c r="G491">
        <v>44205</v>
      </c>
      <c r="H491">
        <v>45197</v>
      </c>
      <c r="I491">
        <v>45197</v>
      </c>
      <c r="K491">
        <v>45215</v>
      </c>
      <c r="L491" t="s">
        <v>135</v>
      </c>
      <c r="M491" t="s">
        <v>554</v>
      </c>
      <c r="N491" t="s">
        <v>127</v>
      </c>
      <c r="O491" t="s">
        <v>579</v>
      </c>
      <c r="Q491" t="s">
        <v>49</v>
      </c>
      <c r="R491">
        <v>1</v>
      </c>
      <c r="S491">
        <v>0</v>
      </c>
      <c r="T491">
        <v>0</v>
      </c>
      <c r="U491" t="s">
        <v>1710</v>
      </c>
      <c r="W491">
        <v>30107012707634</v>
      </c>
      <c r="X491">
        <v>37073</v>
      </c>
      <c r="Y491" t="s">
        <v>153</v>
      </c>
      <c r="Z491">
        <v>0</v>
      </c>
      <c r="AF491">
        <v>80</v>
      </c>
      <c r="AG491">
        <v>184</v>
      </c>
      <c r="AH491">
        <f>IF([2]!Table1[[#This Row],[الوزن]]&lt;&gt;"",[2]!Table1[[#This Row],[الوزن]]-([2]!Table1[[#This Row],[الطول]]-100),"")</f>
        <v>-4</v>
      </c>
      <c r="AN491" t="s">
        <v>625</v>
      </c>
    </row>
    <row r="492" spans="1:40" ht="18.75" customHeight="1" x14ac:dyDescent="0.3">
      <c r="A492" s="1">
        <v>2021132200946</v>
      </c>
      <c r="B492" t="s">
        <v>125</v>
      </c>
      <c r="C492" t="s">
        <v>1711</v>
      </c>
      <c r="D492" t="s">
        <v>1686</v>
      </c>
      <c r="E492" t="s">
        <v>447</v>
      </c>
      <c r="F492">
        <v>161</v>
      </c>
      <c r="G492">
        <v>44546</v>
      </c>
      <c r="H492">
        <v>45581</v>
      </c>
      <c r="I492">
        <v>45581</v>
      </c>
      <c r="K492">
        <v>45581</v>
      </c>
      <c r="L492" t="s">
        <v>135</v>
      </c>
      <c r="M492" t="s">
        <v>554</v>
      </c>
      <c r="N492" t="s">
        <v>127</v>
      </c>
      <c r="O492" t="s">
        <v>579</v>
      </c>
      <c r="Q492" t="s">
        <v>49</v>
      </c>
      <c r="R492">
        <v>1</v>
      </c>
      <c r="S492">
        <v>0</v>
      </c>
      <c r="T492">
        <v>0</v>
      </c>
      <c r="U492" t="s">
        <v>1712</v>
      </c>
      <c r="W492">
        <v>3041102700354</v>
      </c>
      <c r="X492">
        <v>38301</v>
      </c>
      <c r="Y492" t="s">
        <v>153</v>
      </c>
      <c r="Z492">
        <v>0</v>
      </c>
      <c r="AF492">
        <v>80</v>
      </c>
      <c r="AG492">
        <v>184</v>
      </c>
      <c r="AH492">
        <f>IF([2]!Table1[[#This Row],[الوزن]]&lt;&gt;"",[2]!Table1[[#This Row],[الوزن]]-([2]!Table1[[#This Row],[الطول]]-100),"")</f>
        <v>0</v>
      </c>
      <c r="AN492" t="s">
        <v>625</v>
      </c>
    </row>
    <row r="493" spans="1:40" ht="18.75" customHeight="1" x14ac:dyDescent="0.3">
      <c r="A493" s="1">
        <v>2023138302239</v>
      </c>
      <c r="B493" t="s">
        <v>125</v>
      </c>
      <c r="C493" t="s">
        <v>1713</v>
      </c>
      <c r="D493" t="s">
        <v>1686</v>
      </c>
      <c r="E493" t="s">
        <v>447</v>
      </c>
      <c r="F493">
        <v>162</v>
      </c>
      <c r="G493">
        <v>45245</v>
      </c>
      <c r="H493">
        <v>45976</v>
      </c>
      <c r="I493">
        <v>45976</v>
      </c>
      <c r="K493">
        <v>45969</v>
      </c>
      <c r="L493" t="s">
        <v>135</v>
      </c>
      <c r="M493" t="s">
        <v>554</v>
      </c>
      <c r="N493" t="s">
        <v>127</v>
      </c>
      <c r="O493" t="s">
        <v>579</v>
      </c>
      <c r="Q493" t="s">
        <v>49</v>
      </c>
      <c r="R493">
        <v>0</v>
      </c>
      <c r="S493">
        <v>0</v>
      </c>
      <c r="T493">
        <v>0</v>
      </c>
      <c r="U493" t="s">
        <v>1714</v>
      </c>
      <c r="W493" t="s">
        <v>1715</v>
      </c>
      <c r="X493">
        <v>38124</v>
      </c>
      <c r="Y493" t="s">
        <v>153</v>
      </c>
      <c r="Z493">
        <v>0</v>
      </c>
      <c r="AF493">
        <v>80</v>
      </c>
      <c r="AG493">
        <v>180</v>
      </c>
      <c r="AH493">
        <f>IF([2]!Table1[[#This Row],[الوزن]]&lt;&gt;"",[2]!Table1[[#This Row],[الوزن]]-([2]!Table1[[#This Row],[الطول]]-100),"")</f>
        <v>-2</v>
      </c>
      <c r="AN493" t="s">
        <v>625</v>
      </c>
    </row>
    <row r="494" spans="1:40" ht="18.75" customHeight="1" x14ac:dyDescent="0.3">
      <c r="A494" s="1">
        <v>2023138308972</v>
      </c>
      <c r="B494" t="s">
        <v>125</v>
      </c>
      <c r="C494" t="s">
        <v>1716</v>
      </c>
      <c r="D494" t="s">
        <v>1686</v>
      </c>
      <c r="E494" t="s">
        <v>447</v>
      </c>
      <c r="F494">
        <v>162</v>
      </c>
      <c r="G494">
        <v>45245</v>
      </c>
      <c r="H494">
        <v>45976</v>
      </c>
      <c r="I494">
        <v>45976</v>
      </c>
      <c r="K494">
        <v>45969</v>
      </c>
      <c r="L494" t="s">
        <v>135</v>
      </c>
      <c r="M494" t="s">
        <v>554</v>
      </c>
      <c r="N494" t="s">
        <v>127</v>
      </c>
      <c r="O494" t="s">
        <v>579</v>
      </c>
      <c r="Q494" t="s">
        <v>49</v>
      </c>
      <c r="R494">
        <v>0</v>
      </c>
      <c r="S494">
        <v>0</v>
      </c>
      <c r="T494">
        <v>0</v>
      </c>
      <c r="U494" t="s">
        <v>1717</v>
      </c>
      <c r="W494">
        <v>30603102202237</v>
      </c>
      <c r="X494">
        <v>38786</v>
      </c>
      <c r="Y494" t="s">
        <v>153</v>
      </c>
      <c r="Z494">
        <v>0</v>
      </c>
      <c r="AF494">
        <v>80</v>
      </c>
      <c r="AG494">
        <v>182</v>
      </c>
      <c r="AH494" t="str">
        <f>IF([2]!Table1[[#This Row],[الوزن]]&lt;&gt;"",[2]!Table1[[#This Row],[الوزن]]-([2]!Table1[[#This Row],[الطول]]-100),"")</f>
        <v/>
      </c>
      <c r="AN494" t="s">
        <v>625</v>
      </c>
    </row>
    <row r="495" spans="1:40" ht="18.75" customHeight="1" x14ac:dyDescent="0.3">
      <c r="A495" s="1">
        <v>2011138302515</v>
      </c>
      <c r="B495" t="s">
        <v>75</v>
      </c>
      <c r="C495" t="s">
        <v>1718</v>
      </c>
      <c r="D495" t="s">
        <v>1719</v>
      </c>
      <c r="E495" t="s">
        <v>447</v>
      </c>
      <c r="F495">
        <v>145</v>
      </c>
      <c r="G495">
        <v>40558</v>
      </c>
      <c r="H495">
        <v>41030</v>
      </c>
      <c r="I495">
        <v>44378</v>
      </c>
      <c r="K495">
        <v>45981</v>
      </c>
      <c r="L495" t="s">
        <v>135</v>
      </c>
      <c r="M495" t="s">
        <v>1720</v>
      </c>
      <c r="N495" t="s">
        <v>47</v>
      </c>
      <c r="O495" t="s">
        <v>1721</v>
      </c>
      <c r="P495" t="s">
        <v>49</v>
      </c>
      <c r="R495">
        <v>3</v>
      </c>
      <c r="S495">
        <v>0</v>
      </c>
      <c r="T495">
        <v>0</v>
      </c>
      <c r="U495" t="s">
        <v>1722</v>
      </c>
      <c r="W495">
        <v>29109012604794</v>
      </c>
      <c r="X495">
        <v>33482</v>
      </c>
      <c r="Y495" t="s">
        <v>103</v>
      </c>
      <c r="Z495">
        <v>1</v>
      </c>
      <c r="AH495">
        <f>IF([2]!Table1[[#This Row],[الوزن]]&lt;&gt;"",[2]!Table1[[#This Row],[الوزن]]-([2]!Table1[[#This Row],[الطول]]-100),"")</f>
        <v>2</v>
      </c>
      <c r="AN495" t="s">
        <v>145</v>
      </c>
    </row>
    <row r="496" spans="1:40" ht="18.75" customHeight="1" x14ac:dyDescent="0.3">
      <c r="A496" s="1">
        <v>2012135201700</v>
      </c>
      <c r="B496" t="s">
        <v>75</v>
      </c>
      <c r="C496" t="s">
        <v>1723</v>
      </c>
      <c r="D496" t="s">
        <v>334</v>
      </c>
      <c r="E496" t="s">
        <v>335</v>
      </c>
      <c r="F496">
        <v>149</v>
      </c>
      <c r="G496">
        <v>41111</v>
      </c>
      <c r="H496">
        <v>41958</v>
      </c>
      <c r="I496">
        <v>43647</v>
      </c>
      <c r="L496" t="s">
        <v>771</v>
      </c>
      <c r="M496" t="s">
        <v>335</v>
      </c>
      <c r="N496" t="s">
        <v>127</v>
      </c>
      <c r="O496" t="s">
        <v>336</v>
      </c>
      <c r="P496" t="s">
        <v>49</v>
      </c>
      <c r="U496" t="s">
        <v>1724</v>
      </c>
      <c r="W496">
        <v>29306061700995</v>
      </c>
      <c r="X496">
        <v>34126</v>
      </c>
      <c r="Y496" t="s">
        <v>338</v>
      </c>
      <c r="AB496">
        <v>2</v>
      </c>
      <c r="AF496">
        <v>82</v>
      </c>
      <c r="AG496">
        <v>180</v>
      </c>
      <c r="AH496">
        <v>2</v>
      </c>
      <c r="AJ496" t="s">
        <v>1725</v>
      </c>
    </row>
    <row r="497" spans="1:40" ht="18.75" customHeight="1" x14ac:dyDescent="0.3">
      <c r="A497" s="1">
        <v>2006138302011</v>
      </c>
      <c r="B497" t="s">
        <v>57</v>
      </c>
      <c r="C497" t="s">
        <v>1726</v>
      </c>
      <c r="D497" t="s">
        <v>849</v>
      </c>
      <c r="E497" t="s">
        <v>850</v>
      </c>
      <c r="F497">
        <v>135</v>
      </c>
      <c r="G497">
        <v>38738</v>
      </c>
      <c r="H497">
        <v>39208</v>
      </c>
      <c r="I497">
        <v>44743</v>
      </c>
      <c r="M497" t="s">
        <v>136</v>
      </c>
      <c r="N497" t="s">
        <v>127</v>
      </c>
      <c r="O497" t="s">
        <v>1097</v>
      </c>
      <c r="P497" t="s">
        <v>49</v>
      </c>
      <c r="R497">
        <v>16</v>
      </c>
      <c r="S497">
        <v>3</v>
      </c>
      <c r="T497">
        <v>0</v>
      </c>
      <c r="U497" t="s">
        <v>1727</v>
      </c>
      <c r="V497" t="s">
        <v>1728</v>
      </c>
      <c r="X497">
        <v>31740</v>
      </c>
      <c r="Y497" t="s">
        <v>786</v>
      </c>
      <c r="AF497">
        <v>93</v>
      </c>
      <c r="AG497">
        <v>187</v>
      </c>
      <c r="AH497">
        <v>6</v>
      </c>
      <c r="AN497" t="s">
        <v>145</v>
      </c>
    </row>
    <row r="498" spans="1:40" ht="18.75" customHeight="1" x14ac:dyDescent="0.3">
      <c r="A498" s="1">
        <v>2013138312429</v>
      </c>
      <c r="B498" t="s">
        <v>75</v>
      </c>
      <c r="C498" t="s">
        <v>1729</v>
      </c>
      <c r="D498" t="s">
        <v>783</v>
      </c>
      <c r="E498" t="s">
        <v>447</v>
      </c>
      <c r="F498">
        <v>150</v>
      </c>
      <c r="G498">
        <v>41510</v>
      </c>
      <c r="H498">
        <v>41982</v>
      </c>
      <c r="I498">
        <v>45658</v>
      </c>
      <c r="L498" t="s">
        <v>135</v>
      </c>
      <c r="M498" t="s">
        <v>812</v>
      </c>
      <c r="N498" t="s">
        <v>47</v>
      </c>
      <c r="O498" t="s">
        <v>1730</v>
      </c>
      <c r="P498" t="s">
        <v>49</v>
      </c>
      <c r="R498">
        <v>2</v>
      </c>
      <c r="S498">
        <v>0</v>
      </c>
      <c r="T498">
        <v>0</v>
      </c>
      <c r="U498" t="s">
        <v>1731</v>
      </c>
      <c r="V498" t="s">
        <v>1732</v>
      </c>
      <c r="X498">
        <v>34060</v>
      </c>
      <c r="Y498" t="s">
        <v>103</v>
      </c>
      <c r="Z498">
        <v>1</v>
      </c>
      <c r="AA498">
        <v>1</v>
      </c>
      <c r="AB498">
        <v>0</v>
      </c>
      <c r="AG498" t="s">
        <v>787</v>
      </c>
      <c r="AH498" t="str">
        <f>IF([2]!Table1[[#This Row],[الوزن]]&lt;&gt;"",[2]!Table1[[#This Row],[الوزن]]-([2]!Table1[[#This Row],[الطول]]-100),"")</f>
        <v/>
      </c>
      <c r="AJ498" t="s">
        <v>1733</v>
      </c>
      <c r="AN498" t="s">
        <v>145</v>
      </c>
    </row>
    <row r="499" spans="1:40" ht="18.75" customHeight="1" x14ac:dyDescent="0.3">
      <c r="A499" s="1">
        <v>2015130403040</v>
      </c>
      <c r="B499" t="s">
        <v>106</v>
      </c>
      <c r="C499" t="s">
        <v>1734</v>
      </c>
      <c r="D499" t="s">
        <v>783</v>
      </c>
      <c r="E499" t="s">
        <v>447</v>
      </c>
      <c r="F499">
        <v>154</v>
      </c>
      <c r="G499">
        <v>42224</v>
      </c>
      <c r="H499">
        <v>42940</v>
      </c>
      <c r="I499">
        <v>44743</v>
      </c>
      <c r="L499" t="s">
        <v>135</v>
      </c>
      <c r="M499" t="s">
        <v>158</v>
      </c>
      <c r="N499" t="s">
        <v>78</v>
      </c>
      <c r="O499" t="s">
        <v>379</v>
      </c>
      <c r="P499" t="s">
        <v>49</v>
      </c>
      <c r="R499">
        <v>2</v>
      </c>
      <c r="S499">
        <v>0</v>
      </c>
      <c r="T499">
        <v>0</v>
      </c>
      <c r="U499" t="s">
        <v>1735</v>
      </c>
      <c r="V499" t="s">
        <v>1736</v>
      </c>
      <c r="X499">
        <v>36215</v>
      </c>
      <c r="Y499" t="s">
        <v>103</v>
      </c>
      <c r="Z499">
        <v>2</v>
      </c>
      <c r="AA499">
        <v>2</v>
      </c>
      <c r="AB499">
        <v>0</v>
      </c>
      <c r="AG499" t="s">
        <v>787</v>
      </c>
      <c r="AH499" t="str">
        <f>IF([2]!Table1[[#This Row],[الوزن]]&lt;&gt;"",[2]!Table1[[#This Row],[الوزن]]-([2]!Table1[[#This Row],[الطول]]-100),"")</f>
        <v/>
      </c>
      <c r="AJ499" t="s">
        <v>298</v>
      </c>
      <c r="AN499" t="s">
        <v>145</v>
      </c>
    </row>
    <row r="500" spans="1:40" ht="18.75" customHeight="1" x14ac:dyDescent="0.3">
      <c r="A500" s="1">
        <v>2019131800594</v>
      </c>
      <c r="B500" t="s">
        <v>125</v>
      </c>
      <c r="C500" t="s">
        <v>1737</v>
      </c>
      <c r="D500" t="s">
        <v>783</v>
      </c>
      <c r="E500" t="s">
        <v>447</v>
      </c>
      <c r="F500">
        <v>159</v>
      </c>
      <c r="G500">
        <v>43692</v>
      </c>
      <c r="H500">
        <v>44482</v>
      </c>
      <c r="I500">
        <v>44482</v>
      </c>
      <c r="L500" t="s">
        <v>135</v>
      </c>
      <c r="M500" t="s">
        <v>46</v>
      </c>
      <c r="N500" t="s">
        <v>307</v>
      </c>
      <c r="O500" t="s">
        <v>1738</v>
      </c>
      <c r="P500" t="s">
        <v>49</v>
      </c>
      <c r="R500">
        <v>6</v>
      </c>
      <c r="S500">
        <v>0</v>
      </c>
      <c r="T500">
        <v>0</v>
      </c>
      <c r="U500" t="s">
        <v>1739</v>
      </c>
      <c r="V500" t="s">
        <v>1740</v>
      </c>
      <c r="X500">
        <v>36163</v>
      </c>
      <c r="Y500" t="s">
        <v>550</v>
      </c>
      <c r="Z500">
        <v>0</v>
      </c>
      <c r="AA500">
        <v>0</v>
      </c>
      <c r="AB500">
        <v>0</v>
      </c>
      <c r="AG500" t="s">
        <v>787</v>
      </c>
      <c r="AH500">
        <f>IF([2]!Table1[[#This Row],[الوزن]]&lt;&gt;"",[2]!Table1[[#This Row],[الوزن]]-([2]!Table1[[#This Row],[الطول]]-100),"")</f>
        <v>10</v>
      </c>
      <c r="AJ500" t="s">
        <v>1741</v>
      </c>
      <c r="AN500" t="s">
        <v>145</v>
      </c>
    </row>
    <row r="501" spans="1:40" ht="18.75" customHeight="1" x14ac:dyDescent="0.3">
      <c r="A501" s="1">
        <v>2000138300124</v>
      </c>
      <c r="B501" t="s">
        <v>210</v>
      </c>
      <c r="C501" t="s">
        <v>1742</v>
      </c>
      <c r="D501" t="s">
        <v>1743</v>
      </c>
      <c r="E501" t="s">
        <v>447</v>
      </c>
      <c r="F501">
        <v>121</v>
      </c>
      <c r="G501">
        <v>36571</v>
      </c>
      <c r="H501">
        <v>37042</v>
      </c>
      <c r="I501">
        <v>44562</v>
      </c>
      <c r="L501" t="s">
        <v>135</v>
      </c>
      <c r="M501" t="s">
        <v>812</v>
      </c>
      <c r="N501" t="s">
        <v>127</v>
      </c>
      <c r="O501" t="s">
        <v>1744</v>
      </c>
      <c r="P501" t="s">
        <v>49</v>
      </c>
      <c r="R501">
        <v>13</v>
      </c>
      <c r="S501">
        <v>3</v>
      </c>
      <c r="T501">
        <v>0</v>
      </c>
      <c r="U501" t="s">
        <v>1745</v>
      </c>
      <c r="W501">
        <v>27901012618858</v>
      </c>
      <c r="X501">
        <v>28856</v>
      </c>
      <c r="Y501" t="s">
        <v>103</v>
      </c>
      <c r="Z501">
        <v>4</v>
      </c>
      <c r="AA501">
        <v>1</v>
      </c>
      <c r="AB501">
        <v>3</v>
      </c>
      <c r="AF501">
        <v>95</v>
      </c>
      <c r="AG501">
        <v>185</v>
      </c>
      <c r="AH501">
        <f>IF([2]!Table1[[#This Row],[الوزن]]&lt;&gt;"",[2]!Table1[[#This Row],[الوزن]]-([2]!Table1[[#This Row],[الطول]]-100),"")</f>
        <v>11</v>
      </c>
      <c r="AJ501" t="s">
        <v>1746</v>
      </c>
      <c r="AK501" t="s">
        <v>1747</v>
      </c>
      <c r="AN501" t="s">
        <v>145</v>
      </c>
    </row>
    <row r="502" spans="1:40" ht="18.75" customHeight="1" x14ac:dyDescent="0.3">
      <c r="A502" s="1">
        <v>2018131102158</v>
      </c>
      <c r="B502" t="s">
        <v>125</v>
      </c>
      <c r="C502" t="s">
        <v>1748</v>
      </c>
      <c r="D502" t="s">
        <v>1749</v>
      </c>
      <c r="E502" t="s">
        <v>718</v>
      </c>
      <c r="F502">
        <v>158</v>
      </c>
      <c r="G502">
        <v>43279</v>
      </c>
      <c r="H502">
        <v>44117</v>
      </c>
      <c r="I502">
        <v>44122</v>
      </c>
      <c r="L502" t="s">
        <v>135</v>
      </c>
      <c r="M502" t="s">
        <v>136</v>
      </c>
      <c r="N502" t="s">
        <v>448</v>
      </c>
      <c r="O502" t="s">
        <v>512</v>
      </c>
      <c r="P502" t="s">
        <v>49</v>
      </c>
      <c r="R502">
        <v>7</v>
      </c>
      <c r="S502">
        <v>1</v>
      </c>
      <c r="T502">
        <v>0</v>
      </c>
      <c r="U502" t="s">
        <v>1750</v>
      </c>
      <c r="W502">
        <v>30302151504737</v>
      </c>
      <c r="AE502" t="s">
        <v>242</v>
      </c>
      <c r="AF502">
        <v>77</v>
      </c>
      <c r="AG502">
        <v>166</v>
      </c>
      <c r="AH502">
        <v>11</v>
      </c>
      <c r="AN502" t="s">
        <v>145</v>
      </c>
    </row>
    <row r="503" spans="1:40" ht="18.75" customHeight="1" x14ac:dyDescent="0.3">
      <c r="A503" s="1">
        <v>2005138302758</v>
      </c>
      <c r="B503" t="s">
        <v>57</v>
      </c>
      <c r="C503" t="s">
        <v>1751</v>
      </c>
      <c r="D503" t="s">
        <v>1743</v>
      </c>
      <c r="E503" t="s">
        <v>447</v>
      </c>
      <c r="F503">
        <v>132</v>
      </c>
      <c r="G503">
        <v>38549</v>
      </c>
      <c r="H503">
        <v>39022</v>
      </c>
      <c r="I503">
        <v>44927</v>
      </c>
      <c r="M503" t="s">
        <v>812</v>
      </c>
      <c r="N503" t="s">
        <v>127</v>
      </c>
      <c r="O503" t="s">
        <v>1752</v>
      </c>
      <c r="Q503" t="s">
        <v>49</v>
      </c>
      <c r="R503">
        <v>10</v>
      </c>
      <c r="S503">
        <v>4</v>
      </c>
      <c r="U503" t="s">
        <v>1753</v>
      </c>
      <c r="W503">
        <v>28506061200998</v>
      </c>
      <c r="X503">
        <v>46179</v>
      </c>
      <c r="Y503" t="s">
        <v>338</v>
      </c>
      <c r="Z503">
        <v>3</v>
      </c>
      <c r="AA503">
        <v>1</v>
      </c>
      <c r="AB503">
        <v>2</v>
      </c>
      <c r="AF503">
        <v>85</v>
      </c>
      <c r="AG503">
        <v>180</v>
      </c>
      <c r="AH503">
        <f>IF([2]!Table1[[#This Row],[الوزن]]&lt;&gt;"",[2]!Table1[[#This Row],[الوزن]]-([2]!Table1[[#This Row],[الطول]]-100),"")</f>
        <v>0</v>
      </c>
      <c r="AJ503" t="s">
        <v>1754</v>
      </c>
    </row>
    <row r="504" spans="1:40" ht="18.75" customHeight="1" x14ac:dyDescent="0.3">
      <c r="A504" s="1">
        <v>2007138307019</v>
      </c>
      <c r="B504" t="s">
        <v>57</v>
      </c>
      <c r="C504" t="s">
        <v>1755</v>
      </c>
      <c r="D504" t="s">
        <v>1743</v>
      </c>
      <c r="E504" t="s">
        <v>447</v>
      </c>
      <c r="F504">
        <v>135</v>
      </c>
      <c r="G504">
        <v>39284</v>
      </c>
      <c r="H504">
        <v>39759</v>
      </c>
      <c r="I504">
        <v>45839</v>
      </c>
      <c r="M504" t="s">
        <v>812</v>
      </c>
      <c r="N504" t="s">
        <v>127</v>
      </c>
      <c r="O504" t="s">
        <v>1756</v>
      </c>
      <c r="Q504" t="s">
        <v>49</v>
      </c>
      <c r="R504">
        <v>0</v>
      </c>
      <c r="S504">
        <v>1</v>
      </c>
      <c r="T504">
        <v>0</v>
      </c>
      <c r="U504" t="s">
        <v>1757</v>
      </c>
      <c r="X504">
        <v>32225</v>
      </c>
      <c r="Y504" t="s">
        <v>103</v>
      </c>
      <c r="Z504">
        <v>3</v>
      </c>
      <c r="AA504">
        <v>2</v>
      </c>
      <c r="AB504">
        <v>1</v>
      </c>
      <c r="AF504">
        <v>95</v>
      </c>
      <c r="AG504">
        <v>195</v>
      </c>
      <c r="AH504">
        <f>IF([2]!Table1[[#This Row],[الوزن]]&lt;&gt;"",[2]!Table1[[#This Row],[الوزن]]-([2]!Table1[[#This Row],[الطول]]-100),"")</f>
        <v>-10</v>
      </c>
      <c r="AJ504" t="s">
        <v>1758</v>
      </c>
      <c r="AN504" t="s">
        <v>145</v>
      </c>
    </row>
    <row r="505" spans="1:40" ht="18.75" customHeight="1" x14ac:dyDescent="0.3">
      <c r="A505" s="1">
        <v>2007138314519</v>
      </c>
      <c r="B505" t="s">
        <v>57</v>
      </c>
      <c r="C505" t="s">
        <v>1759</v>
      </c>
      <c r="D505" t="s">
        <v>1743</v>
      </c>
      <c r="E505" t="s">
        <v>447</v>
      </c>
      <c r="F505">
        <v>135</v>
      </c>
      <c r="G505">
        <v>39284</v>
      </c>
      <c r="H505">
        <v>39759</v>
      </c>
      <c r="I505">
        <v>46023</v>
      </c>
      <c r="M505" t="s">
        <v>812</v>
      </c>
      <c r="N505" t="s">
        <v>127</v>
      </c>
      <c r="O505" t="s">
        <v>1756</v>
      </c>
      <c r="Q505" t="s">
        <v>49</v>
      </c>
      <c r="R505">
        <v>20</v>
      </c>
      <c r="S505">
        <v>8</v>
      </c>
      <c r="T505">
        <v>0</v>
      </c>
      <c r="U505" t="s">
        <v>1760</v>
      </c>
      <c r="W505">
        <v>28812151302696</v>
      </c>
      <c r="X505">
        <v>32492</v>
      </c>
      <c r="Y505" t="s">
        <v>103</v>
      </c>
      <c r="Z505">
        <v>2</v>
      </c>
      <c r="AA505">
        <v>2</v>
      </c>
      <c r="AB505">
        <v>0</v>
      </c>
      <c r="AF505">
        <v>75</v>
      </c>
      <c r="AG505">
        <v>185</v>
      </c>
      <c r="AH505">
        <f>IF([2]!Table1[[#This Row],[الوزن]]&lt;&gt;"",[2]!Table1[[#This Row],[الوزن]]-([2]!Table1[[#This Row],[الطول]]-100),"")</f>
        <v>5</v>
      </c>
      <c r="AJ505" t="s">
        <v>1761</v>
      </c>
      <c r="AN505" t="s">
        <v>145</v>
      </c>
    </row>
    <row r="506" spans="1:40" ht="18.75" customHeight="1" x14ac:dyDescent="0.3">
      <c r="A506" s="1">
        <v>2009138304053</v>
      </c>
      <c r="B506" t="s">
        <v>57</v>
      </c>
      <c r="C506" t="s">
        <v>1762</v>
      </c>
      <c r="D506" t="s">
        <v>1743</v>
      </c>
      <c r="E506" t="s">
        <v>447</v>
      </c>
      <c r="F506">
        <v>137</v>
      </c>
      <c r="G506">
        <v>39837</v>
      </c>
      <c r="H506">
        <v>40308</v>
      </c>
      <c r="I506">
        <v>45108</v>
      </c>
      <c r="M506" t="s">
        <v>812</v>
      </c>
      <c r="N506" t="s">
        <v>127</v>
      </c>
      <c r="O506" t="s">
        <v>1763</v>
      </c>
      <c r="P506" t="s">
        <v>49</v>
      </c>
      <c r="R506">
        <v>15</v>
      </c>
      <c r="S506">
        <v>1</v>
      </c>
      <c r="U506" t="s">
        <v>1764</v>
      </c>
      <c r="W506">
        <v>28610011312312</v>
      </c>
      <c r="X506">
        <v>32341</v>
      </c>
      <c r="Y506" t="s">
        <v>51</v>
      </c>
      <c r="Z506">
        <v>2</v>
      </c>
      <c r="AA506">
        <v>1</v>
      </c>
      <c r="AB506">
        <v>1</v>
      </c>
      <c r="AF506">
        <v>90</v>
      </c>
      <c r="AG506">
        <v>185</v>
      </c>
      <c r="AH506">
        <f>IF([2]!Table1[[#This Row],[الوزن]]&lt;&gt;"",[2]!Table1[[#This Row],[الوزن]]-([2]!Table1[[#This Row],[الطول]]-100),"")</f>
        <v>-10</v>
      </c>
      <c r="AJ506" t="s">
        <v>1765</v>
      </c>
    </row>
    <row r="507" spans="1:40" ht="18.75" customHeight="1" x14ac:dyDescent="0.3">
      <c r="A507" s="1">
        <v>2011138303563</v>
      </c>
      <c r="B507" t="s">
        <v>75</v>
      </c>
      <c r="C507" t="s">
        <v>1766</v>
      </c>
      <c r="D507" t="s">
        <v>1743</v>
      </c>
      <c r="E507" t="s">
        <v>447</v>
      </c>
      <c r="F507">
        <v>145</v>
      </c>
      <c r="G507">
        <v>40548</v>
      </c>
      <c r="H507">
        <v>41030</v>
      </c>
      <c r="I507">
        <v>44927</v>
      </c>
      <c r="M507" t="s">
        <v>812</v>
      </c>
      <c r="N507" t="s">
        <v>127</v>
      </c>
      <c r="O507" t="s">
        <v>1767</v>
      </c>
      <c r="Q507" t="s">
        <v>49</v>
      </c>
      <c r="R507">
        <v>18</v>
      </c>
      <c r="S507">
        <v>1</v>
      </c>
      <c r="T507">
        <v>0</v>
      </c>
      <c r="U507" t="s">
        <v>1768</v>
      </c>
      <c r="W507">
        <v>29004181600777</v>
      </c>
      <c r="X507">
        <v>32981</v>
      </c>
      <c r="Y507" t="s">
        <v>103</v>
      </c>
      <c r="Z507">
        <v>2</v>
      </c>
      <c r="AA507">
        <v>1</v>
      </c>
      <c r="AB507">
        <v>1</v>
      </c>
      <c r="AF507">
        <v>80</v>
      </c>
      <c r="AG507">
        <v>190</v>
      </c>
      <c r="AH507">
        <f>IF([2]!Table1[[#This Row],[الوزن]]&lt;&gt;"",[2]!Table1[[#This Row],[الوزن]]-([2]!Table1[[#This Row],[الطول]]-100),"")</f>
        <v>5</v>
      </c>
      <c r="AJ507" t="s">
        <v>1769</v>
      </c>
      <c r="AN507" t="s">
        <v>145</v>
      </c>
    </row>
    <row r="508" spans="1:40" ht="18.75" customHeight="1" x14ac:dyDescent="0.3">
      <c r="A508" s="1">
        <v>2011138310899</v>
      </c>
      <c r="B508" t="s">
        <v>75</v>
      </c>
      <c r="C508" t="s">
        <v>1770</v>
      </c>
      <c r="D508" t="s">
        <v>1743</v>
      </c>
      <c r="E508" t="s">
        <v>447</v>
      </c>
      <c r="F508">
        <v>146</v>
      </c>
      <c r="G508">
        <v>40748</v>
      </c>
      <c r="H508">
        <v>41223</v>
      </c>
      <c r="I508">
        <v>44927</v>
      </c>
      <c r="M508" t="s">
        <v>812</v>
      </c>
      <c r="N508" t="s">
        <v>127</v>
      </c>
      <c r="O508" t="s">
        <v>1771</v>
      </c>
      <c r="P508" t="s">
        <v>49</v>
      </c>
      <c r="R508">
        <v>2</v>
      </c>
      <c r="U508" t="s">
        <v>1772</v>
      </c>
      <c r="W508">
        <v>29311101602511</v>
      </c>
      <c r="X508">
        <v>34283</v>
      </c>
      <c r="Y508" t="s">
        <v>51</v>
      </c>
      <c r="Z508">
        <v>3</v>
      </c>
      <c r="AA508">
        <v>2</v>
      </c>
      <c r="AB508">
        <v>1</v>
      </c>
      <c r="AF508">
        <v>90</v>
      </c>
      <c r="AG508">
        <v>185</v>
      </c>
      <c r="AH508">
        <f>IF([2]!Table1[[#This Row],[الوزن]]&lt;&gt;"",[2]!Table1[[#This Row],[الوزن]]-([2]!Table1[[#This Row],[الطول]]-100),"")</f>
        <v>0</v>
      </c>
      <c r="AJ508" t="s">
        <v>1773</v>
      </c>
    </row>
    <row r="509" spans="1:40" ht="18.75" customHeight="1" x14ac:dyDescent="0.3">
      <c r="A509" s="1">
        <v>2011138314065</v>
      </c>
      <c r="B509" t="s">
        <v>75</v>
      </c>
      <c r="C509" t="s">
        <v>1774</v>
      </c>
      <c r="D509" t="s">
        <v>1743</v>
      </c>
      <c r="E509" t="s">
        <v>447</v>
      </c>
      <c r="F509">
        <v>146</v>
      </c>
      <c r="G509">
        <v>40748</v>
      </c>
      <c r="H509">
        <v>41223</v>
      </c>
      <c r="I509">
        <v>44927</v>
      </c>
      <c r="M509" t="s">
        <v>812</v>
      </c>
      <c r="N509" t="s">
        <v>127</v>
      </c>
      <c r="O509" t="s">
        <v>1775</v>
      </c>
      <c r="Q509" t="s">
        <v>49</v>
      </c>
      <c r="R509">
        <v>9</v>
      </c>
      <c r="S509">
        <v>0</v>
      </c>
      <c r="T509">
        <v>0</v>
      </c>
      <c r="U509" t="s">
        <v>1776</v>
      </c>
      <c r="W509">
        <v>27294050322017</v>
      </c>
      <c r="X509">
        <v>34457</v>
      </c>
      <c r="Y509" t="s">
        <v>103</v>
      </c>
      <c r="Z509">
        <v>3</v>
      </c>
      <c r="AA509">
        <v>1</v>
      </c>
      <c r="AB509">
        <v>2</v>
      </c>
      <c r="AF509">
        <v>85</v>
      </c>
      <c r="AG509">
        <v>185</v>
      </c>
      <c r="AH509">
        <f>IF([2]!Table1[[#This Row],[الوزن]]&lt;&gt;"",[2]!Table1[[#This Row],[الوزن]]-([2]!Table1[[#This Row],[الطول]]-100),"")</f>
        <v>-3</v>
      </c>
      <c r="AJ509" t="s">
        <v>1777</v>
      </c>
      <c r="AN509" t="s">
        <v>145</v>
      </c>
    </row>
    <row r="510" spans="1:40" ht="18.75" customHeight="1" x14ac:dyDescent="0.3">
      <c r="A510" s="1">
        <v>2011138314081</v>
      </c>
      <c r="B510" t="s">
        <v>75</v>
      </c>
      <c r="C510" t="s">
        <v>1778</v>
      </c>
      <c r="D510" t="s">
        <v>1743</v>
      </c>
      <c r="E510" t="s">
        <v>447</v>
      </c>
      <c r="F510">
        <v>146</v>
      </c>
      <c r="G510">
        <v>40748</v>
      </c>
      <c r="H510">
        <v>41223</v>
      </c>
      <c r="I510">
        <v>44927</v>
      </c>
      <c r="M510" t="s">
        <v>812</v>
      </c>
      <c r="N510" t="s">
        <v>127</v>
      </c>
      <c r="O510" t="s">
        <v>1730</v>
      </c>
      <c r="P510" t="s">
        <v>49</v>
      </c>
      <c r="R510">
        <v>2</v>
      </c>
      <c r="U510" t="s">
        <v>1779</v>
      </c>
      <c r="W510">
        <v>29209042200552</v>
      </c>
      <c r="X510">
        <v>33851</v>
      </c>
      <c r="Y510" t="s">
        <v>103</v>
      </c>
      <c r="Z510">
        <v>2</v>
      </c>
      <c r="AA510">
        <v>1</v>
      </c>
      <c r="AB510">
        <v>1</v>
      </c>
      <c r="AF510">
        <v>72</v>
      </c>
      <c r="AG510">
        <v>175</v>
      </c>
      <c r="AH510">
        <f>IF([2]!Table1[[#This Row],[الوزن]]&lt;&gt;"",[2]!Table1[[#This Row],[الوزن]]-([2]!Table1[[#This Row],[الطول]]-100),"")</f>
        <v>-5</v>
      </c>
      <c r="AJ510" t="s">
        <v>1780</v>
      </c>
    </row>
    <row r="511" spans="1:40" ht="18.75" customHeight="1" x14ac:dyDescent="0.3">
      <c r="A511" s="1">
        <v>2012130401462</v>
      </c>
      <c r="B511" t="s">
        <v>75</v>
      </c>
      <c r="C511" t="s">
        <v>1781</v>
      </c>
      <c r="D511" t="s">
        <v>1743</v>
      </c>
      <c r="E511" t="s">
        <v>447</v>
      </c>
      <c r="F511">
        <v>147</v>
      </c>
      <c r="G511">
        <v>40936</v>
      </c>
      <c r="H511">
        <v>41406</v>
      </c>
      <c r="I511">
        <v>45108</v>
      </c>
      <c r="M511" t="s">
        <v>812</v>
      </c>
      <c r="N511" t="s">
        <v>78</v>
      </c>
      <c r="O511" t="s">
        <v>1782</v>
      </c>
      <c r="P511" t="s">
        <v>49</v>
      </c>
      <c r="R511">
        <v>1</v>
      </c>
      <c r="S511">
        <v>0</v>
      </c>
      <c r="T511">
        <v>0</v>
      </c>
      <c r="U511" t="s">
        <v>1783</v>
      </c>
      <c r="W511">
        <v>28912131300055</v>
      </c>
      <c r="X511">
        <v>32327</v>
      </c>
      <c r="Y511" t="s">
        <v>103</v>
      </c>
      <c r="Z511">
        <v>3</v>
      </c>
      <c r="AA511">
        <v>1</v>
      </c>
      <c r="AB511">
        <v>2</v>
      </c>
      <c r="AF511">
        <v>70</v>
      </c>
      <c r="AG511">
        <v>175</v>
      </c>
      <c r="AH511">
        <f>IF([2]!Table1[[#This Row],[الوزن]]&lt;&gt;"",[2]!Table1[[#This Row],[الوزن]]-([2]!Table1[[#This Row],[الطول]]-100),"")</f>
        <v>5</v>
      </c>
      <c r="AJ511" t="s">
        <v>1784</v>
      </c>
      <c r="AN511" t="s">
        <v>145</v>
      </c>
    </row>
    <row r="512" spans="1:40" ht="18.75" customHeight="1" x14ac:dyDescent="0.3">
      <c r="A512" s="1">
        <v>2012130402147</v>
      </c>
      <c r="B512" t="s">
        <v>75</v>
      </c>
      <c r="C512" t="s">
        <v>1785</v>
      </c>
      <c r="D512" t="s">
        <v>1743</v>
      </c>
      <c r="E512" t="s">
        <v>447</v>
      </c>
      <c r="F512">
        <v>147</v>
      </c>
      <c r="G512">
        <v>40936</v>
      </c>
      <c r="H512">
        <v>41406</v>
      </c>
      <c r="I512">
        <v>43831</v>
      </c>
      <c r="M512" t="s">
        <v>812</v>
      </c>
      <c r="N512" t="s">
        <v>127</v>
      </c>
      <c r="O512" t="s">
        <v>1469</v>
      </c>
      <c r="Q512" t="s">
        <v>49</v>
      </c>
      <c r="R512">
        <v>4</v>
      </c>
      <c r="S512">
        <v>1</v>
      </c>
      <c r="U512" t="s">
        <v>1786</v>
      </c>
      <c r="W512">
        <v>29101162800434</v>
      </c>
      <c r="X512">
        <v>33254</v>
      </c>
      <c r="Y512" t="s">
        <v>786</v>
      </c>
      <c r="Z512">
        <v>1</v>
      </c>
      <c r="AA512">
        <v>1</v>
      </c>
      <c r="AB512">
        <v>0</v>
      </c>
      <c r="AF512">
        <v>65</v>
      </c>
      <c r="AG512">
        <v>160</v>
      </c>
      <c r="AH512">
        <f>IF([2]!Table1[[#This Row],[الوزن]]&lt;&gt;"",[2]!Table1[[#This Row],[الوزن]]-([2]!Table1[[#This Row],[الطول]]-100),"")</f>
        <v>-1</v>
      </c>
      <c r="AJ512" t="s">
        <v>1787</v>
      </c>
    </row>
    <row r="513" spans="1:40" ht="18.75" customHeight="1" x14ac:dyDescent="0.3">
      <c r="A513" s="1">
        <v>2013138303634</v>
      </c>
      <c r="B513" t="s">
        <v>75</v>
      </c>
      <c r="C513" t="s">
        <v>1788</v>
      </c>
      <c r="D513" t="s">
        <v>1743</v>
      </c>
      <c r="E513" t="s">
        <v>447</v>
      </c>
      <c r="F513">
        <v>150</v>
      </c>
      <c r="G513">
        <v>41307</v>
      </c>
      <c r="H513">
        <v>41777</v>
      </c>
      <c r="I513">
        <v>45474</v>
      </c>
      <c r="M513" t="s">
        <v>812</v>
      </c>
      <c r="N513" t="s">
        <v>127</v>
      </c>
      <c r="O513" t="s">
        <v>1789</v>
      </c>
      <c r="Q513" t="s">
        <v>49</v>
      </c>
      <c r="R513">
        <v>3</v>
      </c>
      <c r="U513" t="s">
        <v>1790</v>
      </c>
      <c r="X513">
        <v>34466</v>
      </c>
      <c r="Y513" t="s">
        <v>103</v>
      </c>
      <c r="Z513">
        <v>3</v>
      </c>
      <c r="AF513">
        <v>81</v>
      </c>
      <c r="AG513">
        <v>182</v>
      </c>
      <c r="AH513">
        <f>IF([2]!Table1[[#This Row],[الوزن]]&lt;&gt;"",[2]!Table1[[#This Row],[الوزن]]-([2]!Table1[[#This Row],[الطول]]-100),"")</f>
        <v>-7</v>
      </c>
      <c r="AJ513" t="s">
        <v>1791</v>
      </c>
    </row>
    <row r="514" spans="1:40" ht="18.75" customHeight="1" x14ac:dyDescent="0.3">
      <c r="A514" s="1">
        <v>2014138326402</v>
      </c>
      <c r="B514" t="s">
        <v>75</v>
      </c>
      <c r="C514" t="s">
        <v>1792</v>
      </c>
      <c r="D514" t="s">
        <v>1743</v>
      </c>
      <c r="E514" t="s">
        <v>447</v>
      </c>
      <c r="F514">
        <v>152</v>
      </c>
      <c r="G514">
        <v>41853</v>
      </c>
      <c r="H514">
        <v>42326</v>
      </c>
      <c r="I514">
        <v>44197</v>
      </c>
      <c r="M514" t="s">
        <v>812</v>
      </c>
      <c r="N514" t="s">
        <v>127</v>
      </c>
      <c r="O514" t="s">
        <v>1793</v>
      </c>
      <c r="Q514" t="s">
        <v>49</v>
      </c>
      <c r="R514">
        <v>3</v>
      </c>
      <c r="U514" t="s">
        <v>1794</v>
      </c>
      <c r="X514">
        <v>28856</v>
      </c>
      <c r="Y514" t="s">
        <v>103</v>
      </c>
      <c r="Z514">
        <v>1</v>
      </c>
      <c r="AF514">
        <v>68</v>
      </c>
      <c r="AG514">
        <v>175</v>
      </c>
      <c r="AH514">
        <f>IF([2]!Table1[[#This Row],[الوزن]]&lt;&gt;"",[2]!Table1[[#This Row],[الوزن]]-([2]!Table1[[#This Row],[الطول]]-100),"")</f>
        <v>-5</v>
      </c>
      <c r="AJ514" t="s">
        <v>1795</v>
      </c>
    </row>
    <row r="515" spans="1:40" ht="18.75" customHeight="1" x14ac:dyDescent="0.3">
      <c r="A515" s="1">
        <v>2015138312201</v>
      </c>
      <c r="B515" t="s">
        <v>106</v>
      </c>
      <c r="C515" t="s">
        <v>1796</v>
      </c>
      <c r="D515" t="s">
        <v>1743</v>
      </c>
      <c r="E515" t="s">
        <v>447</v>
      </c>
      <c r="F515">
        <v>154</v>
      </c>
      <c r="G515">
        <v>42224</v>
      </c>
      <c r="H515">
        <v>42790</v>
      </c>
      <c r="I515">
        <v>44743</v>
      </c>
      <c r="M515" t="s">
        <v>812</v>
      </c>
      <c r="N515" t="s">
        <v>127</v>
      </c>
      <c r="O515" t="s">
        <v>1767</v>
      </c>
      <c r="P515" t="s">
        <v>49</v>
      </c>
      <c r="R515">
        <v>0</v>
      </c>
      <c r="S515">
        <v>0</v>
      </c>
      <c r="T515">
        <v>0</v>
      </c>
      <c r="U515" t="s">
        <v>1797</v>
      </c>
      <c r="X515">
        <v>35451</v>
      </c>
      <c r="Y515" t="s">
        <v>103</v>
      </c>
      <c r="Z515">
        <v>2</v>
      </c>
      <c r="AA515">
        <v>1</v>
      </c>
      <c r="AB515">
        <v>1</v>
      </c>
      <c r="AF515">
        <v>77</v>
      </c>
      <c r="AG515">
        <v>182</v>
      </c>
      <c r="AH515">
        <f>IF([2]!Table1[[#This Row],[الوزن]]&lt;&gt;"",[2]!Table1[[#This Row],[الوزن]]-([2]!Table1[[#This Row],[الطول]]-100),"")</f>
        <v>-10</v>
      </c>
      <c r="AJ515" t="s">
        <v>1798</v>
      </c>
      <c r="AN515" t="s">
        <v>145</v>
      </c>
    </row>
    <row r="516" spans="1:40" ht="18.75" customHeight="1" x14ac:dyDescent="0.3">
      <c r="A516" s="1">
        <v>2017138302349</v>
      </c>
      <c r="B516" t="s">
        <v>106</v>
      </c>
      <c r="C516" t="s">
        <v>1799</v>
      </c>
      <c r="D516" t="s">
        <v>1743</v>
      </c>
      <c r="E516" t="s">
        <v>447</v>
      </c>
      <c r="F516">
        <v>157</v>
      </c>
      <c r="G516">
        <v>42915</v>
      </c>
      <c r="H516">
        <v>43663</v>
      </c>
      <c r="I516">
        <v>45658</v>
      </c>
      <c r="M516" t="s">
        <v>812</v>
      </c>
      <c r="N516" t="s">
        <v>127</v>
      </c>
      <c r="O516" t="s">
        <v>1789</v>
      </c>
      <c r="Q516" t="s">
        <v>49</v>
      </c>
      <c r="R516">
        <v>5</v>
      </c>
      <c r="S516">
        <v>1</v>
      </c>
      <c r="T516">
        <v>0</v>
      </c>
      <c r="U516" t="s">
        <v>1800</v>
      </c>
      <c r="X516">
        <v>36800</v>
      </c>
      <c r="Y516" t="s">
        <v>153</v>
      </c>
      <c r="Z516">
        <v>0</v>
      </c>
      <c r="AA516">
        <v>0</v>
      </c>
      <c r="AB516">
        <v>0</v>
      </c>
      <c r="AF516">
        <v>80</v>
      </c>
      <c r="AG516">
        <v>190</v>
      </c>
      <c r="AH516">
        <f>IF([2]!Table1[[#This Row],[الوزن]]&lt;&gt;"",[2]!Table1[[#This Row],[الوزن]]-([2]!Table1[[#This Row],[الطول]]-100),"")</f>
        <v>-5</v>
      </c>
      <c r="AJ516" t="s">
        <v>1798</v>
      </c>
      <c r="AN516" t="s">
        <v>145</v>
      </c>
    </row>
    <row r="517" spans="1:40" ht="18.75" customHeight="1" x14ac:dyDescent="0.3">
      <c r="A517" s="1">
        <v>2017138310194</v>
      </c>
      <c r="B517" t="s">
        <v>106</v>
      </c>
      <c r="C517" t="s">
        <v>1801</v>
      </c>
      <c r="D517" t="s">
        <v>1743</v>
      </c>
      <c r="E517" t="s">
        <v>447</v>
      </c>
      <c r="F517">
        <v>157</v>
      </c>
      <c r="G517">
        <v>42915</v>
      </c>
      <c r="H517">
        <v>44117</v>
      </c>
      <c r="I517">
        <v>46023</v>
      </c>
      <c r="M517" t="s">
        <v>812</v>
      </c>
      <c r="N517" t="s">
        <v>127</v>
      </c>
      <c r="O517" t="s">
        <v>1767</v>
      </c>
      <c r="Q517" t="s">
        <v>49</v>
      </c>
      <c r="R517">
        <v>2</v>
      </c>
      <c r="S517">
        <v>0</v>
      </c>
      <c r="T517">
        <v>0</v>
      </c>
      <c r="U517" t="s">
        <v>1802</v>
      </c>
      <c r="W517">
        <v>30101012304612</v>
      </c>
      <c r="X517">
        <v>35206</v>
      </c>
      <c r="Y517" t="s">
        <v>103</v>
      </c>
      <c r="Z517">
        <v>1</v>
      </c>
      <c r="AA517">
        <v>0</v>
      </c>
      <c r="AB517">
        <v>1</v>
      </c>
      <c r="AF517">
        <v>85</v>
      </c>
      <c r="AG517">
        <v>190</v>
      </c>
      <c r="AH517">
        <f>IF([2]!Table1[[#This Row],[الوزن]]&lt;&gt;"",[2]!Table1[[#This Row],[الوزن]]-([2]!Table1[[#This Row],[الطول]]-100),"")</f>
        <v>0</v>
      </c>
      <c r="AJ517" t="s">
        <v>1803</v>
      </c>
      <c r="AN517" t="s">
        <v>145</v>
      </c>
    </row>
    <row r="518" spans="1:40" ht="18.75" customHeight="1" x14ac:dyDescent="0.3">
      <c r="A518" s="1">
        <v>2017138311267</v>
      </c>
      <c r="B518" t="s">
        <v>106</v>
      </c>
      <c r="C518" t="s">
        <v>1804</v>
      </c>
      <c r="D518" t="s">
        <v>1743</v>
      </c>
      <c r="E518" t="s">
        <v>447</v>
      </c>
      <c r="F518">
        <v>157</v>
      </c>
      <c r="G518">
        <v>42915</v>
      </c>
      <c r="H518">
        <v>43663</v>
      </c>
      <c r="I518">
        <v>45658</v>
      </c>
      <c r="M518" t="s">
        <v>812</v>
      </c>
      <c r="N518" t="s">
        <v>127</v>
      </c>
      <c r="O518" t="s">
        <v>1756</v>
      </c>
      <c r="Q518" t="s">
        <v>49</v>
      </c>
      <c r="R518">
        <v>1</v>
      </c>
      <c r="S518">
        <v>1</v>
      </c>
      <c r="T518">
        <v>0</v>
      </c>
      <c r="U518" t="s">
        <v>1805</v>
      </c>
      <c r="X518">
        <v>36586</v>
      </c>
      <c r="Y518" t="s">
        <v>51</v>
      </c>
      <c r="Z518">
        <v>0</v>
      </c>
      <c r="AA518">
        <v>0</v>
      </c>
      <c r="AB518">
        <v>0</v>
      </c>
      <c r="AF518">
        <v>90</v>
      </c>
      <c r="AG518">
        <v>190</v>
      </c>
      <c r="AH518">
        <f>IF([2]!Table1[[#This Row],[الوزن]]&lt;&gt;"",[2]!Table1[[#This Row],[الوزن]]-([2]!Table1[[#This Row],[الطول]]-100),"")</f>
        <v>5</v>
      </c>
      <c r="AJ518" t="s">
        <v>1798</v>
      </c>
      <c r="AN518" t="s">
        <v>145</v>
      </c>
    </row>
    <row r="519" spans="1:40" ht="18.75" customHeight="1" x14ac:dyDescent="0.3">
      <c r="A519" s="1">
        <v>2018130403416</v>
      </c>
      <c r="B519" t="s">
        <v>106</v>
      </c>
      <c r="C519" t="s">
        <v>1806</v>
      </c>
      <c r="D519" t="s">
        <v>1743</v>
      </c>
      <c r="E519" t="s">
        <v>447</v>
      </c>
      <c r="F519">
        <v>158</v>
      </c>
      <c r="G519">
        <v>43279</v>
      </c>
      <c r="H519">
        <v>44117</v>
      </c>
      <c r="I519">
        <v>46023</v>
      </c>
      <c r="M519" t="s">
        <v>812</v>
      </c>
      <c r="N519" t="s">
        <v>78</v>
      </c>
      <c r="O519" t="s">
        <v>1807</v>
      </c>
      <c r="Q519" t="s">
        <v>49</v>
      </c>
      <c r="R519">
        <v>2</v>
      </c>
      <c r="U519" t="s">
        <v>1808</v>
      </c>
      <c r="W519">
        <v>30653102501738</v>
      </c>
      <c r="X519">
        <v>34879</v>
      </c>
      <c r="Y519" t="s">
        <v>153</v>
      </c>
      <c r="Z519">
        <v>0</v>
      </c>
      <c r="AA519">
        <v>0</v>
      </c>
      <c r="AB519">
        <v>0</v>
      </c>
      <c r="AF519">
        <v>65</v>
      </c>
      <c r="AG519">
        <v>160</v>
      </c>
      <c r="AH519">
        <f>IF([2]!Table1[[#This Row],[الوزن]]&lt;&gt;"",[2]!Table1[[#This Row],[الوزن]]-([2]!Table1[[#This Row],[الطول]]-100),"")</f>
        <v>5</v>
      </c>
      <c r="AI519" t="s">
        <v>1044</v>
      </c>
      <c r="AJ519" t="s">
        <v>1809</v>
      </c>
    </row>
    <row r="520" spans="1:40" ht="18.75" customHeight="1" x14ac:dyDescent="0.3">
      <c r="A520" s="1">
        <v>2018134706618</v>
      </c>
      <c r="B520" t="s">
        <v>75</v>
      </c>
      <c r="C520" t="s">
        <v>1810</v>
      </c>
      <c r="D520" t="s">
        <v>1743</v>
      </c>
      <c r="E520" t="s">
        <v>447</v>
      </c>
      <c r="F520">
        <v>158</v>
      </c>
      <c r="G520">
        <v>43279</v>
      </c>
      <c r="H520">
        <v>44117</v>
      </c>
      <c r="I520">
        <v>46023</v>
      </c>
      <c r="M520" t="s">
        <v>342</v>
      </c>
      <c r="N520" t="s">
        <v>127</v>
      </c>
      <c r="O520" t="s">
        <v>472</v>
      </c>
      <c r="Q520" t="s">
        <v>49</v>
      </c>
      <c r="R520">
        <v>0</v>
      </c>
      <c r="U520">
        <v>1024650411</v>
      </c>
      <c r="X520">
        <v>36354</v>
      </c>
      <c r="Y520" t="s">
        <v>51</v>
      </c>
      <c r="Z520">
        <v>0</v>
      </c>
      <c r="AA520">
        <v>0</v>
      </c>
      <c r="AB520">
        <v>0</v>
      </c>
      <c r="AF520">
        <v>80</v>
      </c>
      <c r="AG520">
        <v>175</v>
      </c>
      <c r="AH520">
        <f>IF([2]!Table1[[#This Row],[الوزن]]&lt;&gt;"",[2]!Table1[[#This Row],[الوزن]]-([2]!Table1[[#This Row],[الطول]]-100),"")</f>
        <v>10</v>
      </c>
      <c r="AJ520" t="s">
        <v>1811</v>
      </c>
    </row>
    <row r="521" spans="1:40" ht="18.75" customHeight="1" x14ac:dyDescent="0.3">
      <c r="A521" s="1">
        <v>2019131807714</v>
      </c>
      <c r="B521" t="s">
        <v>125</v>
      </c>
      <c r="C521" t="s">
        <v>1812</v>
      </c>
      <c r="D521" t="s">
        <v>1743</v>
      </c>
      <c r="E521" t="s">
        <v>447</v>
      </c>
      <c r="F521">
        <v>160</v>
      </c>
      <c r="G521">
        <v>43692</v>
      </c>
      <c r="H521">
        <v>44482</v>
      </c>
      <c r="I521">
        <v>44482</v>
      </c>
      <c r="M521" t="s">
        <v>46</v>
      </c>
      <c r="N521" t="s">
        <v>127</v>
      </c>
      <c r="O521" t="s">
        <v>1813</v>
      </c>
      <c r="Q521" t="s">
        <v>49</v>
      </c>
      <c r="R521">
        <v>2</v>
      </c>
      <c r="U521" t="s">
        <v>1814</v>
      </c>
      <c r="X521">
        <v>36700</v>
      </c>
      <c r="Y521" t="s">
        <v>550</v>
      </c>
      <c r="Z521">
        <v>0</v>
      </c>
      <c r="AA521">
        <v>0</v>
      </c>
      <c r="AB521">
        <v>0</v>
      </c>
      <c r="AF521">
        <v>70</v>
      </c>
      <c r="AG521">
        <v>160</v>
      </c>
      <c r="AH521">
        <f>IF([2]!Table1[[#This Row],[الوزن]]&lt;&gt;"",[2]!Table1[[#This Row],[الوزن]]-([2]!Table1[[#This Row],[الطول]]-100),"")</f>
        <v>-10</v>
      </c>
      <c r="AJ521" t="s">
        <v>1815</v>
      </c>
    </row>
    <row r="522" spans="1:40" ht="18.75" customHeight="1" x14ac:dyDescent="0.3">
      <c r="A522" s="1">
        <v>2019132200199</v>
      </c>
      <c r="B522" t="s">
        <v>125</v>
      </c>
      <c r="C522" t="s">
        <v>1816</v>
      </c>
      <c r="D522" t="s">
        <v>1743</v>
      </c>
      <c r="E522" t="s">
        <v>447</v>
      </c>
      <c r="F522">
        <v>160</v>
      </c>
      <c r="G522">
        <v>43692</v>
      </c>
      <c r="H522">
        <v>44482</v>
      </c>
      <c r="I522">
        <v>44515</v>
      </c>
      <c r="M522" t="s">
        <v>812</v>
      </c>
      <c r="N522" t="s">
        <v>127</v>
      </c>
      <c r="O522" t="s">
        <v>1817</v>
      </c>
      <c r="P522" t="s">
        <v>49</v>
      </c>
      <c r="R522">
        <v>1</v>
      </c>
      <c r="U522" t="s">
        <v>1818</v>
      </c>
      <c r="X522">
        <v>35813</v>
      </c>
      <c r="Y522" t="s">
        <v>153</v>
      </c>
      <c r="Z522">
        <v>0</v>
      </c>
      <c r="AA522">
        <v>0</v>
      </c>
      <c r="AB522">
        <v>0</v>
      </c>
      <c r="AF522">
        <v>75</v>
      </c>
      <c r="AG522">
        <v>185</v>
      </c>
      <c r="AH522">
        <f>IF([2]!Table1[[#This Row],[الوزن]]&lt;&gt;"",[2]!Table1[[#This Row],[الوزن]]-([2]!Table1[[#This Row],[الطول]]-100),"")</f>
        <v>5</v>
      </c>
      <c r="AJ522" t="s">
        <v>1819</v>
      </c>
    </row>
    <row r="523" spans="1:40" ht="18.75" customHeight="1" x14ac:dyDescent="0.3">
      <c r="A523" s="1">
        <v>2019138309862</v>
      </c>
      <c r="B523" t="s">
        <v>125</v>
      </c>
      <c r="C523" t="s">
        <v>1820</v>
      </c>
      <c r="D523" t="s">
        <v>1743</v>
      </c>
      <c r="E523" t="s">
        <v>447</v>
      </c>
      <c r="F523">
        <v>159</v>
      </c>
      <c r="G523">
        <v>43692</v>
      </c>
      <c r="H523">
        <v>44482</v>
      </c>
      <c r="I523">
        <v>44482</v>
      </c>
      <c r="M523" t="s">
        <v>812</v>
      </c>
      <c r="N523" t="s">
        <v>127</v>
      </c>
      <c r="O523" t="s">
        <v>1756</v>
      </c>
      <c r="Q523" t="s">
        <v>49</v>
      </c>
      <c r="R523">
        <v>2</v>
      </c>
      <c r="S523">
        <v>0</v>
      </c>
      <c r="T523">
        <v>0</v>
      </c>
      <c r="U523" t="s">
        <v>1821</v>
      </c>
      <c r="W523">
        <v>30101012304612</v>
      </c>
      <c r="X523">
        <v>36601</v>
      </c>
      <c r="Y523" t="s">
        <v>51</v>
      </c>
      <c r="Z523">
        <v>0</v>
      </c>
      <c r="AA523">
        <v>0</v>
      </c>
      <c r="AB523">
        <v>0</v>
      </c>
      <c r="AF523">
        <v>85</v>
      </c>
      <c r="AG523">
        <v>180</v>
      </c>
      <c r="AH523">
        <f>IF([2]!Table1[[#This Row],[الوزن]]&lt;&gt;"",[2]!Table1[[#This Row],[الوزن]]-([2]!Table1[[#This Row],[الطول]]-100),"")</f>
        <v>5</v>
      </c>
      <c r="AJ523" t="s">
        <v>1822</v>
      </c>
      <c r="AN523" t="s">
        <v>145</v>
      </c>
    </row>
    <row r="524" spans="1:40" ht="18.75" customHeight="1" x14ac:dyDescent="0.3">
      <c r="A524" s="1">
        <v>2019138310405</v>
      </c>
      <c r="B524" t="s">
        <v>125</v>
      </c>
      <c r="C524" t="s">
        <v>1823</v>
      </c>
      <c r="D524" t="s">
        <v>1743</v>
      </c>
      <c r="E524" t="s">
        <v>447</v>
      </c>
      <c r="F524">
        <v>160</v>
      </c>
      <c r="G524">
        <v>43692</v>
      </c>
      <c r="H524">
        <v>44482</v>
      </c>
      <c r="I524">
        <v>44482</v>
      </c>
      <c r="M524" t="s">
        <v>812</v>
      </c>
      <c r="N524" t="s">
        <v>127</v>
      </c>
      <c r="O524" t="s">
        <v>1767</v>
      </c>
      <c r="Q524" t="s">
        <v>49</v>
      </c>
      <c r="R524">
        <v>3</v>
      </c>
      <c r="S524">
        <v>3</v>
      </c>
      <c r="T524">
        <v>0</v>
      </c>
      <c r="U524" t="s">
        <v>1824</v>
      </c>
      <c r="W524">
        <v>30006232600694</v>
      </c>
      <c r="X524">
        <v>36100</v>
      </c>
      <c r="Y524" t="s">
        <v>153</v>
      </c>
      <c r="Z524">
        <v>0</v>
      </c>
      <c r="AA524">
        <v>0</v>
      </c>
      <c r="AB524">
        <v>0</v>
      </c>
      <c r="AF524">
        <v>65</v>
      </c>
      <c r="AG524">
        <v>160</v>
      </c>
      <c r="AH524">
        <f>IF([2]!Table1[[#This Row],[الوزن]]&lt;&gt;"",[2]!Table1[[#This Row],[الوزن]]-([2]!Table1[[#This Row],[الطول]]-100),"")</f>
        <v>5</v>
      </c>
      <c r="AJ524" t="s">
        <v>1825</v>
      </c>
      <c r="AN524" t="s">
        <v>145</v>
      </c>
    </row>
    <row r="525" spans="1:40" ht="18.75" customHeight="1" x14ac:dyDescent="0.3">
      <c r="A525" s="1">
        <v>2019138313269</v>
      </c>
      <c r="B525" t="s">
        <v>125</v>
      </c>
      <c r="C525" t="s">
        <v>1826</v>
      </c>
      <c r="D525" t="s">
        <v>1743</v>
      </c>
      <c r="E525" t="s">
        <v>447</v>
      </c>
      <c r="F525">
        <v>160</v>
      </c>
      <c r="G525">
        <v>43692</v>
      </c>
      <c r="H525">
        <v>44482</v>
      </c>
      <c r="I525">
        <v>44482</v>
      </c>
      <c r="M525" t="s">
        <v>812</v>
      </c>
      <c r="N525" t="s">
        <v>127</v>
      </c>
      <c r="O525" t="s">
        <v>1827</v>
      </c>
      <c r="Q525" t="s">
        <v>49</v>
      </c>
      <c r="R525">
        <v>0</v>
      </c>
      <c r="S525">
        <v>0</v>
      </c>
      <c r="T525">
        <v>0</v>
      </c>
      <c r="U525" t="s">
        <v>1828</v>
      </c>
      <c r="W525">
        <v>30103102501738</v>
      </c>
      <c r="X525">
        <v>37800</v>
      </c>
      <c r="Y525" t="s">
        <v>153</v>
      </c>
      <c r="Z525">
        <v>0</v>
      </c>
      <c r="AA525">
        <v>0</v>
      </c>
      <c r="AB525">
        <v>0</v>
      </c>
      <c r="AF525">
        <v>70</v>
      </c>
      <c r="AG525">
        <v>165</v>
      </c>
      <c r="AH525">
        <f>IF([2]!Table1[[#This Row],[الوزن]]&lt;&gt;"",[2]!Table1[[#This Row],[الوزن]]-([2]!Table1[[#This Row],[الطول]]-100),"")</f>
        <v>10</v>
      </c>
      <c r="AJ525" t="s">
        <v>1829</v>
      </c>
      <c r="AN525" t="s">
        <v>145</v>
      </c>
    </row>
    <row r="526" spans="1:40" ht="18.75" customHeight="1" x14ac:dyDescent="0.3">
      <c r="A526" s="1">
        <v>2021131801018</v>
      </c>
      <c r="B526" t="s">
        <v>125</v>
      </c>
      <c r="C526" t="s">
        <v>1830</v>
      </c>
      <c r="D526" t="s">
        <v>1743</v>
      </c>
      <c r="E526" t="s">
        <v>447</v>
      </c>
      <c r="F526">
        <v>160</v>
      </c>
      <c r="G526">
        <v>44205</v>
      </c>
      <c r="H526">
        <v>45197</v>
      </c>
      <c r="I526">
        <v>45197</v>
      </c>
      <c r="M526" t="s">
        <v>46</v>
      </c>
      <c r="N526" t="s">
        <v>307</v>
      </c>
      <c r="O526" t="s">
        <v>1831</v>
      </c>
      <c r="Q526" t="s">
        <v>49</v>
      </c>
      <c r="R526">
        <v>1</v>
      </c>
      <c r="S526">
        <v>0</v>
      </c>
      <c r="T526">
        <v>0</v>
      </c>
      <c r="U526">
        <v>1124275502</v>
      </c>
      <c r="W526">
        <v>30101012304612</v>
      </c>
      <c r="X526">
        <v>36892</v>
      </c>
      <c r="Y526" t="s">
        <v>153</v>
      </c>
      <c r="Z526">
        <v>0</v>
      </c>
      <c r="AA526">
        <v>0</v>
      </c>
      <c r="AB526">
        <v>0</v>
      </c>
      <c r="AF526">
        <v>65</v>
      </c>
      <c r="AG526">
        <v>155</v>
      </c>
      <c r="AH526">
        <f>IF([2]!Table1[[#This Row],[الوزن]]&lt;&gt;"",[2]!Table1[[#This Row],[الوزن]]-([2]!Table1[[#This Row],[الطول]]-100),"")</f>
        <v>-10</v>
      </c>
      <c r="AJ526" t="s">
        <v>298</v>
      </c>
      <c r="AN526" t="s">
        <v>145</v>
      </c>
    </row>
    <row r="527" spans="1:40" ht="18.75" customHeight="1" x14ac:dyDescent="0.3">
      <c r="A527" s="1">
        <v>2021138304312</v>
      </c>
      <c r="B527" t="s">
        <v>125</v>
      </c>
      <c r="C527" t="s">
        <v>1832</v>
      </c>
      <c r="D527" t="s">
        <v>1743</v>
      </c>
      <c r="E527" t="s">
        <v>447</v>
      </c>
      <c r="F527">
        <v>160</v>
      </c>
      <c r="G527">
        <v>44205</v>
      </c>
      <c r="H527">
        <v>45187</v>
      </c>
      <c r="I527">
        <v>45187</v>
      </c>
      <c r="M527" t="s">
        <v>812</v>
      </c>
      <c r="N527" t="s">
        <v>127</v>
      </c>
      <c r="O527" t="s">
        <v>1833</v>
      </c>
      <c r="Q527" t="s">
        <v>49</v>
      </c>
      <c r="R527">
        <v>1</v>
      </c>
      <c r="S527">
        <v>0</v>
      </c>
      <c r="T527">
        <v>0</v>
      </c>
      <c r="U527" t="s">
        <v>1834</v>
      </c>
      <c r="W527">
        <v>30103102501738</v>
      </c>
      <c r="X527">
        <v>37435</v>
      </c>
      <c r="Y527" t="s">
        <v>153</v>
      </c>
      <c r="Z527">
        <v>0</v>
      </c>
      <c r="AA527">
        <v>0</v>
      </c>
      <c r="AB527">
        <v>0</v>
      </c>
      <c r="AF527">
        <v>70</v>
      </c>
      <c r="AG527">
        <v>180</v>
      </c>
      <c r="AH527">
        <f>IF([2]!Table1[[#This Row],[الوزن]]&lt;&gt;"",[2]!Table1[[#This Row],[الوزن]]-([2]!Table1[[#This Row],[الطول]]-100),"")</f>
        <v>5</v>
      </c>
      <c r="AJ527" t="s">
        <v>1825</v>
      </c>
      <c r="AN527" t="s">
        <v>145</v>
      </c>
    </row>
    <row r="528" spans="1:40" ht="18.75" customHeight="1" x14ac:dyDescent="0.3">
      <c r="A528" s="1">
        <v>2021138304437</v>
      </c>
      <c r="B528" t="s">
        <v>125</v>
      </c>
      <c r="C528" t="s">
        <v>1835</v>
      </c>
      <c r="D528" t="s">
        <v>1743</v>
      </c>
      <c r="E528" t="s">
        <v>447</v>
      </c>
      <c r="F528">
        <v>160</v>
      </c>
      <c r="G528">
        <v>44205</v>
      </c>
      <c r="H528">
        <v>45197</v>
      </c>
      <c r="I528">
        <v>45197</v>
      </c>
      <c r="J528">
        <v>45200</v>
      </c>
      <c r="L528" t="s">
        <v>135</v>
      </c>
      <c r="M528" t="s">
        <v>812</v>
      </c>
      <c r="N528" t="s">
        <v>127</v>
      </c>
      <c r="O528" t="s">
        <v>1756</v>
      </c>
      <c r="P528" t="s">
        <v>49</v>
      </c>
      <c r="R528">
        <v>1</v>
      </c>
      <c r="S528">
        <v>0</v>
      </c>
      <c r="T528">
        <v>0</v>
      </c>
      <c r="U528" t="s">
        <v>1836</v>
      </c>
      <c r="W528">
        <v>30103102501738</v>
      </c>
      <c r="X528">
        <v>36960</v>
      </c>
      <c r="Y528">
        <v>0</v>
      </c>
      <c r="AF528">
        <v>80</v>
      </c>
      <c r="AG528">
        <v>175</v>
      </c>
      <c r="AH528">
        <f>IF([2]!Table1[[#This Row],[الوزن]]&lt;&gt;"",[2]!Table1[[#This Row],[الوزن]]-([2]!Table1[[#This Row],[الطول]]-100),"")</f>
        <v>-13</v>
      </c>
      <c r="AJ528" t="s">
        <v>298</v>
      </c>
      <c r="AN528" t="s">
        <v>145</v>
      </c>
    </row>
    <row r="529" spans="1:40" ht="18.75" customHeight="1" x14ac:dyDescent="0.3">
      <c r="A529" s="1">
        <v>2023138300308</v>
      </c>
      <c r="B529" t="s">
        <v>125</v>
      </c>
      <c r="C529" t="s">
        <v>1837</v>
      </c>
      <c r="D529" t="s">
        <v>1743</v>
      </c>
      <c r="E529" t="s">
        <v>447</v>
      </c>
      <c r="F529">
        <v>162</v>
      </c>
      <c r="G529">
        <v>44941</v>
      </c>
      <c r="H529">
        <v>45976</v>
      </c>
      <c r="I529">
        <v>45976</v>
      </c>
      <c r="M529" t="s">
        <v>812</v>
      </c>
      <c r="N529" t="s">
        <v>127</v>
      </c>
      <c r="O529" t="s">
        <v>1756</v>
      </c>
      <c r="P529" t="s">
        <v>787</v>
      </c>
      <c r="Q529" t="s">
        <v>49</v>
      </c>
      <c r="R529">
        <v>0</v>
      </c>
      <c r="S529">
        <v>0</v>
      </c>
      <c r="T529">
        <v>0</v>
      </c>
      <c r="U529" t="s">
        <v>1838</v>
      </c>
      <c r="W529">
        <v>30103102501738</v>
      </c>
      <c r="X529">
        <v>39027</v>
      </c>
      <c r="Y529" t="s">
        <v>153</v>
      </c>
      <c r="Z529">
        <v>0</v>
      </c>
      <c r="AA529">
        <v>0</v>
      </c>
      <c r="AB529">
        <v>0</v>
      </c>
      <c r="AF529">
        <v>70</v>
      </c>
      <c r="AG529">
        <v>183</v>
      </c>
      <c r="AH529">
        <f>IF([2]!Table1[[#This Row],[الوزن]]&lt;&gt;"",[2]!Table1[[#This Row],[الوزن]]-([2]!Table1[[#This Row],[الطول]]-100),"")</f>
        <v>-5</v>
      </c>
      <c r="AJ529" t="s">
        <v>298</v>
      </c>
      <c r="AN529" t="s">
        <v>145</v>
      </c>
    </row>
    <row r="530" spans="1:40" ht="18.75" customHeight="1" x14ac:dyDescent="0.3">
      <c r="A530" s="1">
        <v>2023138301934</v>
      </c>
      <c r="B530" t="s">
        <v>125</v>
      </c>
      <c r="C530" t="s">
        <v>1839</v>
      </c>
      <c r="D530" t="s">
        <v>1743</v>
      </c>
      <c r="E530" t="s">
        <v>447</v>
      </c>
      <c r="F530">
        <v>162</v>
      </c>
      <c r="G530">
        <v>44941</v>
      </c>
      <c r="H530">
        <v>45976</v>
      </c>
      <c r="I530">
        <v>45976</v>
      </c>
      <c r="M530" t="s">
        <v>812</v>
      </c>
      <c r="N530" t="s">
        <v>127</v>
      </c>
      <c r="O530" t="s">
        <v>1756</v>
      </c>
      <c r="P530" t="s">
        <v>49</v>
      </c>
      <c r="Q530" t="s">
        <v>787</v>
      </c>
      <c r="R530">
        <v>0</v>
      </c>
      <c r="S530">
        <v>0</v>
      </c>
      <c r="T530">
        <v>0</v>
      </c>
      <c r="U530" t="s">
        <v>1840</v>
      </c>
      <c r="W530">
        <v>30107012706034</v>
      </c>
      <c r="X530">
        <v>39032</v>
      </c>
      <c r="Y530" t="s">
        <v>153</v>
      </c>
      <c r="Z530">
        <v>0</v>
      </c>
      <c r="AA530">
        <v>0</v>
      </c>
      <c r="AB530">
        <v>0</v>
      </c>
      <c r="AF530">
        <v>75</v>
      </c>
      <c r="AG530">
        <v>180</v>
      </c>
      <c r="AH530">
        <f>IF([2]!Table1[[#This Row],[الوزن]]&lt;&gt;"",[2]!Table1[[#This Row],[الوزن]]-([2]!Table1[[#This Row],[الطول]]-100),"")</f>
        <v>-5</v>
      </c>
      <c r="AJ530" t="s">
        <v>298</v>
      </c>
      <c r="AN530" t="s">
        <v>145</v>
      </c>
    </row>
    <row r="531" spans="1:40" ht="18.75" customHeight="1" x14ac:dyDescent="0.3">
      <c r="A531" s="1">
        <v>2023138305324</v>
      </c>
      <c r="B531" t="s">
        <v>125</v>
      </c>
      <c r="C531" t="s">
        <v>1841</v>
      </c>
      <c r="D531" t="s">
        <v>1743</v>
      </c>
      <c r="E531" t="s">
        <v>447</v>
      </c>
      <c r="F531">
        <v>162</v>
      </c>
      <c r="G531">
        <v>44941</v>
      </c>
      <c r="H531">
        <v>45976</v>
      </c>
      <c r="I531">
        <v>45976</v>
      </c>
      <c r="M531" t="s">
        <v>812</v>
      </c>
      <c r="N531" t="s">
        <v>127</v>
      </c>
      <c r="O531" t="s">
        <v>1756</v>
      </c>
      <c r="P531" t="s">
        <v>787</v>
      </c>
      <c r="Q531" t="s">
        <v>49</v>
      </c>
      <c r="R531">
        <v>0</v>
      </c>
      <c r="S531">
        <v>0</v>
      </c>
      <c r="T531">
        <v>0</v>
      </c>
      <c r="U531" t="s">
        <v>1842</v>
      </c>
      <c r="W531">
        <v>3010102501738</v>
      </c>
      <c r="X531">
        <v>38591</v>
      </c>
      <c r="Y531" t="s">
        <v>153</v>
      </c>
      <c r="Z531">
        <v>0</v>
      </c>
      <c r="AA531">
        <v>0</v>
      </c>
      <c r="AB531">
        <v>0</v>
      </c>
      <c r="AF531">
        <v>75</v>
      </c>
      <c r="AG531">
        <v>180</v>
      </c>
      <c r="AH531">
        <f>IF([2]!Table1[[#This Row],[الوزن]]&lt;&gt;"",[2]!Table1[[#This Row],[الوزن]]-([2]!Table1[[#This Row],[الطول]]-100),"")</f>
        <v>0</v>
      </c>
      <c r="AJ531" t="s">
        <v>298</v>
      </c>
      <c r="AN531" t="s">
        <v>145</v>
      </c>
    </row>
    <row r="532" spans="1:40" ht="18.75" customHeight="1" x14ac:dyDescent="0.3">
      <c r="A532" s="1">
        <v>2000138302914</v>
      </c>
      <c r="B532" t="s">
        <v>210</v>
      </c>
      <c r="C532" t="s">
        <v>1843</v>
      </c>
      <c r="D532" t="s">
        <v>446</v>
      </c>
      <c r="E532" t="s">
        <v>447</v>
      </c>
      <c r="F532">
        <v>124</v>
      </c>
      <c r="G532">
        <v>36732</v>
      </c>
      <c r="H532">
        <v>37199</v>
      </c>
      <c r="I532">
        <v>44562</v>
      </c>
      <c r="L532" t="s">
        <v>45</v>
      </c>
      <c r="M532" t="s">
        <v>136</v>
      </c>
      <c r="N532" t="s">
        <v>127</v>
      </c>
      <c r="O532" t="s">
        <v>1105</v>
      </c>
      <c r="P532" t="s">
        <v>49</v>
      </c>
      <c r="R532">
        <v>1</v>
      </c>
      <c r="S532">
        <v>1</v>
      </c>
      <c r="T532">
        <v>0</v>
      </c>
      <c r="U532" t="s">
        <v>1844</v>
      </c>
      <c r="V532" t="s">
        <v>1845</v>
      </c>
      <c r="W532">
        <v>28101181701273</v>
      </c>
      <c r="X532">
        <v>29604</v>
      </c>
      <c r="Y532" t="s">
        <v>103</v>
      </c>
      <c r="Z532">
        <v>4</v>
      </c>
      <c r="AA532">
        <v>2</v>
      </c>
      <c r="AB532">
        <v>2</v>
      </c>
      <c r="AC532" t="s">
        <v>1846</v>
      </c>
      <c r="AD532" t="s">
        <v>443</v>
      </c>
      <c r="AE532" t="s">
        <v>167</v>
      </c>
      <c r="AF532">
        <v>75</v>
      </c>
      <c r="AG532">
        <v>175</v>
      </c>
      <c r="AH532">
        <f>IF([2]!Table1[[#This Row],[الوزن]]&lt;&gt;"",[2]!Table1[[#This Row],[الوزن]]-([2]!Table1[[#This Row],[الطول]]-100),"")</f>
        <v>-2</v>
      </c>
      <c r="AI532" t="s">
        <v>1847</v>
      </c>
      <c r="AJ532" t="s">
        <v>1848</v>
      </c>
      <c r="AN532" t="s">
        <v>145</v>
      </c>
    </row>
    <row r="533" spans="1:40" ht="18.75" customHeight="1" x14ac:dyDescent="0.3">
      <c r="A533" s="1">
        <v>2014131101306</v>
      </c>
      <c r="B533" t="s">
        <v>75</v>
      </c>
      <c r="C533" t="s">
        <v>1849</v>
      </c>
      <c r="D533" t="s">
        <v>446</v>
      </c>
      <c r="E533" t="s">
        <v>447</v>
      </c>
      <c r="F533">
        <v>152</v>
      </c>
      <c r="G533">
        <v>41853</v>
      </c>
      <c r="H533">
        <v>42326</v>
      </c>
      <c r="I533">
        <v>46023</v>
      </c>
      <c r="L533" t="s">
        <v>45</v>
      </c>
      <c r="M533" t="s">
        <v>136</v>
      </c>
      <c r="N533" t="s">
        <v>448</v>
      </c>
      <c r="O533" t="s">
        <v>1850</v>
      </c>
      <c r="Q533" t="s">
        <v>49</v>
      </c>
      <c r="R533">
        <v>0</v>
      </c>
      <c r="S533">
        <v>0</v>
      </c>
      <c r="T533">
        <v>0</v>
      </c>
      <c r="U533" t="s">
        <v>1851</v>
      </c>
      <c r="V533" t="s">
        <v>1852</v>
      </c>
      <c r="W533">
        <v>29607011814591</v>
      </c>
      <c r="Y533" t="s">
        <v>103</v>
      </c>
      <c r="Z533">
        <v>2</v>
      </c>
      <c r="AA533">
        <v>2</v>
      </c>
      <c r="AF533">
        <v>74</v>
      </c>
      <c r="AG533">
        <v>176</v>
      </c>
      <c r="AH533">
        <f>IF([2]!Table1[[#This Row],[الوزن]]&lt;&gt;"",[2]!Table1[[#This Row],[الوزن]]-([2]!Table1[[#This Row],[الطول]]-100),"")</f>
        <v>3</v>
      </c>
      <c r="AJ533" t="s">
        <v>1853</v>
      </c>
      <c r="AN533" t="s">
        <v>145</v>
      </c>
    </row>
    <row r="534" spans="1:40" ht="18.75" customHeight="1" x14ac:dyDescent="0.3">
      <c r="A534" s="1">
        <v>2017131807867</v>
      </c>
      <c r="B534" t="s">
        <v>106</v>
      </c>
      <c r="C534" t="s">
        <v>1854</v>
      </c>
      <c r="D534" t="s">
        <v>1855</v>
      </c>
      <c r="E534" t="s">
        <v>850</v>
      </c>
      <c r="F534">
        <v>155</v>
      </c>
      <c r="G534">
        <v>42915</v>
      </c>
      <c r="H534">
        <v>43663</v>
      </c>
      <c r="I534">
        <v>45658</v>
      </c>
      <c r="K534">
        <v>45588</v>
      </c>
      <c r="L534" t="s">
        <v>135</v>
      </c>
      <c r="M534" t="s">
        <v>46</v>
      </c>
      <c r="N534" t="s">
        <v>307</v>
      </c>
      <c r="O534" t="s">
        <v>307</v>
      </c>
      <c r="Q534" t="s">
        <v>49</v>
      </c>
      <c r="R534">
        <v>0</v>
      </c>
      <c r="S534">
        <v>0</v>
      </c>
      <c r="T534">
        <v>0</v>
      </c>
      <c r="U534" t="s">
        <v>1856</v>
      </c>
      <c r="W534">
        <v>30010201305675</v>
      </c>
      <c r="X534">
        <v>37549</v>
      </c>
      <c r="Y534" t="s">
        <v>103</v>
      </c>
      <c r="Z534">
        <v>1</v>
      </c>
      <c r="AF534">
        <v>78</v>
      </c>
      <c r="AG534">
        <v>175</v>
      </c>
      <c r="AH534">
        <v>3</v>
      </c>
      <c r="AN534" t="s">
        <v>145</v>
      </c>
    </row>
    <row r="535" spans="1:40" ht="18.75" customHeight="1" x14ac:dyDescent="0.3">
      <c r="A535" s="1">
        <v>2009138302718</v>
      </c>
      <c r="B535" t="s">
        <v>57</v>
      </c>
      <c r="C535" t="s">
        <v>1857</v>
      </c>
      <c r="D535" t="s">
        <v>446</v>
      </c>
      <c r="E535" t="s">
        <v>447</v>
      </c>
      <c r="F535">
        <v>141</v>
      </c>
      <c r="G535">
        <v>39837</v>
      </c>
      <c r="H535">
        <v>40308</v>
      </c>
      <c r="I535">
        <v>45839</v>
      </c>
      <c r="L535" t="s">
        <v>45</v>
      </c>
      <c r="M535" t="s">
        <v>136</v>
      </c>
      <c r="N535" t="s">
        <v>1813</v>
      </c>
      <c r="O535" t="s">
        <v>1858</v>
      </c>
      <c r="P535" t="s">
        <v>49</v>
      </c>
      <c r="R535">
        <v>23</v>
      </c>
      <c r="S535">
        <v>0</v>
      </c>
      <c r="T535">
        <v>0</v>
      </c>
      <c r="U535" t="s">
        <v>1859</v>
      </c>
      <c r="V535" t="s">
        <v>1860</v>
      </c>
      <c r="W535">
        <v>29603201800736</v>
      </c>
      <c r="X535">
        <v>33073</v>
      </c>
      <c r="Y535" t="s">
        <v>103</v>
      </c>
      <c r="Z535" t="s">
        <v>1861</v>
      </c>
      <c r="AA535">
        <v>0</v>
      </c>
      <c r="AB535">
        <v>3</v>
      </c>
      <c r="AC535" t="s">
        <v>1862</v>
      </c>
      <c r="AD535" t="s">
        <v>184</v>
      </c>
      <c r="AE535" t="s">
        <v>54</v>
      </c>
      <c r="AF535">
        <v>90</v>
      </c>
      <c r="AG535">
        <v>182</v>
      </c>
      <c r="AH535">
        <f>IF([2]!Table1[[#This Row],[الوزن]]&lt;&gt;"",[2]!Table1[[#This Row],[الوزن]]-([2]!Table1[[#This Row],[الطول]]-100),"")</f>
        <v>2</v>
      </c>
      <c r="AJ535" t="s">
        <v>461</v>
      </c>
      <c r="AN535" t="s">
        <v>145</v>
      </c>
    </row>
    <row r="536" spans="1:40" ht="18.75" customHeight="1" x14ac:dyDescent="0.3">
      <c r="A536" s="1">
        <v>2018131808061</v>
      </c>
      <c r="B536" t="s">
        <v>106</v>
      </c>
      <c r="C536" t="s">
        <v>1863</v>
      </c>
      <c r="D536" t="s">
        <v>1864</v>
      </c>
      <c r="E536" t="s">
        <v>1354</v>
      </c>
      <c r="F536">
        <v>158</v>
      </c>
      <c r="G536">
        <v>43279</v>
      </c>
      <c r="H536">
        <v>43843</v>
      </c>
      <c r="I536">
        <v>46023</v>
      </c>
      <c r="L536" t="s">
        <v>135</v>
      </c>
      <c r="M536" t="s">
        <v>46</v>
      </c>
      <c r="N536" t="s">
        <v>307</v>
      </c>
      <c r="O536" t="s">
        <v>1813</v>
      </c>
      <c r="R536">
        <v>2</v>
      </c>
      <c r="S536">
        <v>0</v>
      </c>
      <c r="T536">
        <v>0</v>
      </c>
      <c r="U536" t="s">
        <v>1865</v>
      </c>
      <c r="W536">
        <v>29801012307057</v>
      </c>
      <c r="X536">
        <v>36008</v>
      </c>
      <c r="Y536" t="s">
        <v>153</v>
      </c>
      <c r="Z536">
        <v>0</v>
      </c>
      <c r="AA536">
        <v>0</v>
      </c>
      <c r="AB536">
        <v>0</v>
      </c>
      <c r="AD536" t="s">
        <v>1866</v>
      </c>
      <c r="AE536" t="s">
        <v>1138</v>
      </c>
      <c r="AF536">
        <v>75</v>
      </c>
      <c r="AG536">
        <v>173</v>
      </c>
      <c r="AH536">
        <v>2</v>
      </c>
      <c r="AJ536" t="s">
        <v>298</v>
      </c>
      <c r="AN536" t="s">
        <v>145</v>
      </c>
    </row>
    <row r="537" spans="1:40" ht="18.75" customHeight="1" x14ac:dyDescent="0.3">
      <c r="A537" s="1">
        <v>2017131801207</v>
      </c>
      <c r="B537" t="s">
        <v>106</v>
      </c>
      <c r="C537" t="s">
        <v>1867</v>
      </c>
      <c r="D537" t="s">
        <v>1591</v>
      </c>
      <c r="E537" t="s">
        <v>43</v>
      </c>
      <c r="F537">
        <v>158</v>
      </c>
      <c r="G537">
        <v>42915</v>
      </c>
      <c r="H537">
        <v>44117</v>
      </c>
      <c r="I537">
        <v>45970</v>
      </c>
      <c r="L537" t="s">
        <v>135</v>
      </c>
      <c r="M537" t="s">
        <v>46</v>
      </c>
      <c r="N537" t="s">
        <v>727</v>
      </c>
      <c r="O537" t="s">
        <v>1868</v>
      </c>
      <c r="P537" t="s">
        <v>49</v>
      </c>
      <c r="R537">
        <v>3</v>
      </c>
      <c r="S537">
        <v>0</v>
      </c>
      <c r="T537">
        <v>0</v>
      </c>
      <c r="U537" t="s">
        <v>1869</v>
      </c>
      <c r="V537" t="s">
        <v>1870</v>
      </c>
      <c r="W537">
        <v>29702151603037</v>
      </c>
      <c r="X537">
        <v>35476</v>
      </c>
      <c r="Y537" t="s">
        <v>153</v>
      </c>
      <c r="Z537">
        <v>0</v>
      </c>
      <c r="AA537">
        <v>0</v>
      </c>
      <c r="AB537">
        <v>0</v>
      </c>
      <c r="AD537" t="s">
        <v>271</v>
      </c>
      <c r="AE537" t="s">
        <v>73</v>
      </c>
      <c r="AF537">
        <v>74</v>
      </c>
      <c r="AG537">
        <v>175</v>
      </c>
      <c r="AH537">
        <f>IF([2]!Table1[[#This Row],[الوزن]]&lt;&gt;"",[2]!Table1[[#This Row],[الوزن]]-([2]!Table1[[#This Row],[الطول]]-100),"")</f>
        <v>-5</v>
      </c>
      <c r="AJ537" t="s">
        <v>1871</v>
      </c>
      <c r="AN537" t="s">
        <v>145</v>
      </c>
    </row>
    <row r="538" spans="1:40" ht="18.75" customHeight="1" x14ac:dyDescent="0.3">
      <c r="A538" s="1">
        <v>2019131810973</v>
      </c>
      <c r="B538" t="s">
        <v>125</v>
      </c>
      <c r="C538" t="s">
        <v>1872</v>
      </c>
      <c r="D538" t="s">
        <v>1873</v>
      </c>
      <c r="E538" t="s">
        <v>1874</v>
      </c>
      <c r="F538">
        <v>159</v>
      </c>
      <c r="G538">
        <v>43692</v>
      </c>
      <c r="H538">
        <v>44482</v>
      </c>
      <c r="I538">
        <v>44482</v>
      </c>
      <c r="K538">
        <v>44540</v>
      </c>
      <c r="L538" t="s">
        <v>88</v>
      </c>
      <c r="M538" t="s">
        <v>46</v>
      </c>
      <c r="N538" t="s">
        <v>727</v>
      </c>
      <c r="O538" t="s">
        <v>1868</v>
      </c>
      <c r="P538" t="s">
        <v>49</v>
      </c>
      <c r="R538">
        <v>0</v>
      </c>
      <c r="S538">
        <v>0</v>
      </c>
      <c r="T538">
        <v>0</v>
      </c>
      <c r="U538" t="s">
        <v>1875</v>
      </c>
      <c r="V538" t="s">
        <v>1876</v>
      </c>
      <c r="W538">
        <v>29509022703012</v>
      </c>
      <c r="X538">
        <v>34944</v>
      </c>
      <c r="Y538" t="s">
        <v>51</v>
      </c>
      <c r="AF538">
        <v>65</v>
      </c>
      <c r="AG538">
        <v>170</v>
      </c>
      <c r="AH538">
        <v>-5</v>
      </c>
      <c r="AN538" t="s">
        <v>145</v>
      </c>
    </row>
    <row r="539" spans="1:40" ht="18.75" customHeight="1" x14ac:dyDescent="0.3">
      <c r="A539" s="1">
        <v>2021131804450</v>
      </c>
      <c r="B539" t="s">
        <v>125</v>
      </c>
      <c r="C539" t="s">
        <v>1877</v>
      </c>
      <c r="D539" t="s">
        <v>1878</v>
      </c>
      <c r="E539" t="s">
        <v>1874</v>
      </c>
      <c r="F539">
        <v>160</v>
      </c>
      <c r="G539">
        <v>44205</v>
      </c>
      <c r="H539">
        <v>45197</v>
      </c>
      <c r="I539">
        <v>45197</v>
      </c>
      <c r="K539">
        <v>45245</v>
      </c>
      <c r="L539" t="s">
        <v>1879</v>
      </c>
      <c r="M539" t="s">
        <v>46</v>
      </c>
      <c r="N539" t="s">
        <v>727</v>
      </c>
      <c r="O539" t="s">
        <v>1868</v>
      </c>
      <c r="P539" t="s">
        <v>49</v>
      </c>
      <c r="R539">
        <v>0</v>
      </c>
      <c r="S539">
        <v>0</v>
      </c>
      <c r="T539">
        <v>0</v>
      </c>
      <c r="U539" t="s">
        <v>1880</v>
      </c>
      <c r="W539">
        <v>29912042500532</v>
      </c>
      <c r="X539">
        <v>36498</v>
      </c>
      <c r="Y539" t="s">
        <v>550</v>
      </c>
      <c r="AF539">
        <v>69</v>
      </c>
      <c r="AG539">
        <v>171</v>
      </c>
      <c r="AH539">
        <v>-2</v>
      </c>
      <c r="AN539" t="s">
        <v>145</v>
      </c>
    </row>
    <row r="540" spans="1:40" ht="18.75" customHeight="1" x14ac:dyDescent="0.3">
      <c r="A540" s="1">
        <v>2014134791956</v>
      </c>
      <c r="B540" t="s">
        <v>66</v>
      </c>
      <c r="C540" t="s">
        <v>1881</v>
      </c>
      <c r="D540" t="s">
        <v>446</v>
      </c>
      <c r="E540" t="s">
        <v>447</v>
      </c>
      <c r="F540" t="s">
        <v>1882</v>
      </c>
      <c r="G540">
        <v>41883</v>
      </c>
      <c r="H540">
        <v>41884</v>
      </c>
      <c r="I540">
        <v>45658</v>
      </c>
      <c r="L540" t="s">
        <v>45</v>
      </c>
      <c r="M540" t="s">
        <v>136</v>
      </c>
      <c r="N540" t="s">
        <v>47</v>
      </c>
      <c r="O540" t="s">
        <v>1883</v>
      </c>
      <c r="Q540" t="s">
        <v>49</v>
      </c>
      <c r="R540">
        <v>6</v>
      </c>
      <c r="S540">
        <v>0</v>
      </c>
      <c r="T540">
        <v>0</v>
      </c>
      <c r="U540" t="s">
        <v>1884</v>
      </c>
      <c r="V540" t="s">
        <v>1885</v>
      </c>
      <c r="W540">
        <v>29908261600812</v>
      </c>
      <c r="Y540" t="s">
        <v>103</v>
      </c>
      <c r="Z540">
        <v>2</v>
      </c>
      <c r="AA540">
        <v>1</v>
      </c>
      <c r="AF540">
        <v>84</v>
      </c>
      <c r="AG540">
        <v>180</v>
      </c>
      <c r="AH540">
        <f>IF([2]!Table1[[#This Row],[الوزن]]&lt;&gt;"",[2]!Table1[[#This Row],[الوزن]]-([2]!Table1[[#This Row],[الطول]]-100),"")</f>
        <v>-2</v>
      </c>
      <c r="AJ540" t="s">
        <v>1886</v>
      </c>
      <c r="AN540" t="s">
        <v>145</v>
      </c>
    </row>
    <row r="541" spans="1:40" ht="18.75" customHeight="1" x14ac:dyDescent="0.3">
      <c r="A541" s="1">
        <v>2015130402977</v>
      </c>
      <c r="B541" t="s">
        <v>106</v>
      </c>
      <c r="C541" t="s">
        <v>1887</v>
      </c>
      <c r="D541" t="s">
        <v>446</v>
      </c>
      <c r="E541" t="s">
        <v>447</v>
      </c>
      <c r="F541">
        <v>154</v>
      </c>
      <c r="G541">
        <v>42224</v>
      </c>
      <c r="H541">
        <v>42790</v>
      </c>
      <c r="I541">
        <v>44743</v>
      </c>
      <c r="L541" t="s">
        <v>45</v>
      </c>
      <c r="M541" t="s">
        <v>136</v>
      </c>
      <c r="N541" t="s">
        <v>78</v>
      </c>
      <c r="O541" t="s">
        <v>1782</v>
      </c>
      <c r="P541" t="s">
        <v>49</v>
      </c>
      <c r="R541">
        <v>13</v>
      </c>
      <c r="S541">
        <v>0</v>
      </c>
      <c r="T541">
        <v>0</v>
      </c>
      <c r="U541" t="s">
        <v>1888</v>
      </c>
      <c r="V541" t="s">
        <v>1889</v>
      </c>
      <c r="W541">
        <v>29502011605316</v>
      </c>
      <c r="Y541" t="s">
        <v>550</v>
      </c>
      <c r="Z541">
        <v>0</v>
      </c>
      <c r="AA541">
        <v>0</v>
      </c>
      <c r="AF541">
        <v>75</v>
      </c>
      <c r="AG541">
        <v>177</v>
      </c>
      <c r="AH541">
        <f>IF([2]!Table1[[#This Row],[الوزن]]&lt;&gt;"",[2]!Table1[[#This Row],[الوزن]]-([2]!Table1[[#This Row],[الطول]]-100),"")</f>
        <v>5</v>
      </c>
      <c r="AJ541" t="s">
        <v>1890</v>
      </c>
      <c r="AN541" t="s">
        <v>145</v>
      </c>
    </row>
    <row r="542" spans="1:40" ht="18.75" customHeight="1" x14ac:dyDescent="0.3">
      <c r="A542" s="1">
        <v>2021131807313</v>
      </c>
      <c r="B542" t="s">
        <v>125</v>
      </c>
      <c r="C542" t="s">
        <v>1891</v>
      </c>
      <c r="D542" t="s">
        <v>1892</v>
      </c>
      <c r="E542" t="s">
        <v>1874</v>
      </c>
      <c r="F542">
        <v>160</v>
      </c>
      <c r="G542">
        <v>44205</v>
      </c>
      <c r="H542">
        <v>45197</v>
      </c>
      <c r="I542">
        <v>45197</v>
      </c>
      <c r="M542" t="s">
        <v>46</v>
      </c>
      <c r="N542" t="s">
        <v>727</v>
      </c>
      <c r="O542" t="s">
        <v>1868</v>
      </c>
      <c r="P542" t="s">
        <v>49</v>
      </c>
      <c r="R542">
        <v>4</v>
      </c>
      <c r="S542">
        <v>0</v>
      </c>
      <c r="T542">
        <v>0</v>
      </c>
      <c r="U542" t="s">
        <v>1893</v>
      </c>
      <c r="V542" t="s">
        <v>1894</v>
      </c>
      <c r="X542">
        <v>37392</v>
      </c>
      <c r="Y542" t="s">
        <v>153</v>
      </c>
      <c r="Z542">
        <v>0</v>
      </c>
      <c r="AF542">
        <v>78</v>
      </c>
      <c r="AG542">
        <v>173</v>
      </c>
      <c r="AH542">
        <f>IF([2]!Table1[[#This Row],[الوزن]]&lt;&gt;"",[2]!Table1[[#This Row],[الوزن]]-([2]!Table1[[#This Row],[الطول]]-100),"")</f>
        <v>20</v>
      </c>
    </row>
    <row r="543" spans="1:40" ht="18.75" customHeight="1" x14ac:dyDescent="0.3">
      <c r="A543" s="1">
        <v>1988131811596</v>
      </c>
      <c r="B543" t="s">
        <v>75</v>
      </c>
      <c r="C543" t="s">
        <v>1895</v>
      </c>
      <c r="D543" t="s">
        <v>1896</v>
      </c>
      <c r="E543" t="s">
        <v>850</v>
      </c>
      <c r="F543">
        <v>120</v>
      </c>
      <c r="G543">
        <v>32429</v>
      </c>
      <c r="H543">
        <v>33786</v>
      </c>
      <c r="I543">
        <v>42917</v>
      </c>
      <c r="K543">
        <v>45364</v>
      </c>
      <c r="L543" t="s">
        <v>135</v>
      </c>
      <c r="M543" t="s">
        <v>726</v>
      </c>
      <c r="N543" t="s">
        <v>727</v>
      </c>
      <c r="O543" t="s">
        <v>1868</v>
      </c>
      <c r="Q543" t="s">
        <v>49</v>
      </c>
      <c r="R543">
        <v>20</v>
      </c>
      <c r="S543">
        <v>41</v>
      </c>
      <c r="U543" t="s">
        <v>1897</v>
      </c>
      <c r="W543">
        <v>27212161402671</v>
      </c>
      <c r="X543">
        <v>26649</v>
      </c>
      <c r="AE543" t="s">
        <v>167</v>
      </c>
      <c r="AF543">
        <v>90</v>
      </c>
      <c r="AG543">
        <v>170</v>
      </c>
      <c r="AH543">
        <v>20</v>
      </c>
    </row>
    <row r="544" spans="1:40" ht="18.75" customHeight="1" x14ac:dyDescent="0.3">
      <c r="A544" s="1">
        <v>2013131802211</v>
      </c>
      <c r="B544" t="s">
        <v>75</v>
      </c>
      <c r="C544" t="s">
        <v>1898</v>
      </c>
      <c r="D544" t="s">
        <v>1899</v>
      </c>
      <c r="E544" t="s">
        <v>750</v>
      </c>
      <c r="F544">
        <v>149</v>
      </c>
      <c r="G544">
        <v>41307</v>
      </c>
      <c r="H544">
        <v>41776</v>
      </c>
      <c r="I544">
        <v>43647</v>
      </c>
      <c r="J544">
        <v>44867</v>
      </c>
      <c r="K544">
        <v>44867</v>
      </c>
      <c r="L544" t="s">
        <v>45</v>
      </c>
      <c r="M544" t="s">
        <v>46</v>
      </c>
      <c r="N544" t="s">
        <v>727</v>
      </c>
      <c r="O544" t="s">
        <v>1900</v>
      </c>
      <c r="P544" t="s">
        <v>49</v>
      </c>
      <c r="R544">
        <v>2</v>
      </c>
      <c r="W544">
        <v>28902016606279</v>
      </c>
      <c r="X544">
        <v>32540</v>
      </c>
      <c r="Y544" t="s">
        <v>338</v>
      </c>
      <c r="AF544">
        <v>75</v>
      </c>
      <c r="AG544">
        <v>173</v>
      </c>
      <c r="AH544">
        <v>2</v>
      </c>
      <c r="AJ544" t="s">
        <v>1901</v>
      </c>
    </row>
    <row r="545" spans="1:40" ht="18.75" customHeight="1" x14ac:dyDescent="0.3">
      <c r="A545" s="1">
        <v>2017131807750</v>
      </c>
      <c r="B545" t="s">
        <v>106</v>
      </c>
      <c r="C545" t="s">
        <v>1902</v>
      </c>
      <c r="D545" t="s">
        <v>1903</v>
      </c>
      <c r="E545" t="s">
        <v>850</v>
      </c>
      <c r="F545">
        <v>157</v>
      </c>
      <c r="G545">
        <v>42915</v>
      </c>
      <c r="H545">
        <v>43663</v>
      </c>
      <c r="I545">
        <v>45658</v>
      </c>
      <c r="L545" t="s">
        <v>45</v>
      </c>
      <c r="M545" t="s">
        <v>46</v>
      </c>
      <c r="N545" t="s">
        <v>727</v>
      </c>
      <c r="O545" t="s">
        <v>1900</v>
      </c>
      <c r="R545">
        <v>3</v>
      </c>
      <c r="U545" t="s">
        <v>1904</v>
      </c>
      <c r="W545">
        <v>30103051201178</v>
      </c>
      <c r="X545">
        <v>36955</v>
      </c>
      <c r="Y545" t="s">
        <v>550</v>
      </c>
      <c r="AF545">
        <v>70</v>
      </c>
      <c r="AG545">
        <v>175</v>
      </c>
      <c r="AH545">
        <v>-5</v>
      </c>
      <c r="AI545" t="s">
        <v>1905</v>
      </c>
    </row>
    <row r="546" spans="1:40" ht="18.75" customHeight="1" x14ac:dyDescent="0.3">
      <c r="A546" s="1">
        <v>2010131801954</v>
      </c>
      <c r="B546" t="s">
        <v>75</v>
      </c>
      <c r="C546" t="s">
        <v>1906</v>
      </c>
      <c r="D546" t="s">
        <v>1878</v>
      </c>
      <c r="E546" t="s">
        <v>1874</v>
      </c>
      <c r="F546">
        <v>144</v>
      </c>
      <c r="G546">
        <v>40376</v>
      </c>
      <c r="H546">
        <v>40849</v>
      </c>
      <c r="I546">
        <v>46023</v>
      </c>
      <c r="K546">
        <v>45979</v>
      </c>
      <c r="L546" t="s">
        <v>45</v>
      </c>
      <c r="M546" t="s">
        <v>46</v>
      </c>
      <c r="N546" t="s">
        <v>727</v>
      </c>
      <c r="O546" t="s">
        <v>1907</v>
      </c>
      <c r="Q546" t="s">
        <v>49</v>
      </c>
      <c r="R546">
        <v>15</v>
      </c>
      <c r="S546">
        <v>0</v>
      </c>
      <c r="U546" t="s">
        <v>1908</v>
      </c>
      <c r="V546" t="s">
        <v>1909</v>
      </c>
      <c r="W546">
        <v>29004201200657</v>
      </c>
      <c r="X546">
        <v>32983</v>
      </c>
      <c r="Y546" t="s">
        <v>103</v>
      </c>
      <c r="AF546">
        <v>89</v>
      </c>
      <c r="AG546">
        <v>186</v>
      </c>
      <c r="AH546">
        <v>3</v>
      </c>
      <c r="AN546" t="s">
        <v>145</v>
      </c>
    </row>
    <row r="547" spans="1:40" ht="18.75" customHeight="1" x14ac:dyDescent="0.3">
      <c r="A547" s="1">
        <v>2018138306779</v>
      </c>
      <c r="B547" t="s">
        <v>106</v>
      </c>
      <c r="C547" t="s">
        <v>1910</v>
      </c>
      <c r="D547" t="s">
        <v>446</v>
      </c>
      <c r="E547" t="s">
        <v>447</v>
      </c>
      <c r="F547">
        <v>158</v>
      </c>
      <c r="G547">
        <v>43279</v>
      </c>
      <c r="H547">
        <v>44117</v>
      </c>
      <c r="I547">
        <v>46023</v>
      </c>
      <c r="L547" t="s">
        <v>45</v>
      </c>
      <c r="M547" t="s">
        <v>136</v>
      </c>
      <c r="N547" t="s">
        <v>127</v>
      </c>
      <c r="O547" t="s">
        <v>1911</v>
      </c>
      <c r="Q547" t="s">
        <v>49</v>
      </c>
      <c r="R547">
        <v>0</v>
      </c>
      <c r="S547">
        <v>0</v>
      </c>
      <c r="T547">
        <v>0</v>
      </c>
      <c r="U547" t="s">
        <v>1912</v>
      </c>
      <c r="V547" t="s">
        <v>1913</v>
      </c>
      <c r="W547">
        <v>29811152703519</v>
      </c>
      <c r="Y547" t="s">
        <v>153</v>
      </c>
      <c r="Z547">
        <v>0</v>
      </c>
      <c r="AA547">
        <v>0</v>
      </c>
      <c r="AF547">
        <v>72</v>
      </c>
      <c r="AG547">
        <v>173</v>
      </c>
      <c r="AH547">
        <f>IF([2]!Table1[[#This Row],[الوزن]]&lt;&gt;"",[2]!Table1[[#This Row],[الوزن]]-([2]!Table1[[#This Row],[الطول]]-100),"")</f>
        <v>0</v>
      </c>
      <c r="AN547" t="s">
        <v>145</v>
      </c>
    </row>
    <row r="548" spans="1:40" ht="18.75" customHeight="1" x14ac:dyDescent="0.3">
      <c r="A548" s="1">
        <v>2018138310316</v>
      </c>
      <c r="B548" t="s">
        <v>106</v>
      </c>
      <c r="C548" t="s">
        <v>1914</v>
      </c>
      <c r="D548" t="s">
        <v>446</v>
      </c>
      <c r="E548" t="s">
        <v>447</v>
      </c>
      <c r="F548">
        <v>158</v>
      </c>
      <c r="G548">
        <v>43279</v>
      </c>
      <c r="H548">
        <v>44117</v>
      </c>
      <c r="I548">
        <v>46023</v>
      </c>
      <c r="L548" t="s">
        <v>45</v>
      </c>
      <c r="M548" t="s">
        <v>136</v>
      </c>
      <c r="N548" t="s">
        <v>127</v>
      </c>
      <c r="O548" t="s">
        <v>1915</v>
      </c>
      <c r="Q548" t="s">
        <v>49</v>
      </c>
      <c r="R548">
        <v>12</v>
      </c>
      <c r="S548">
        <v>0</v>
      </c>
      <c r="T548">
        <v>0</v>
      </c>
      <c r="U548" t="s">
        <v>1916</v>
      </c>
      <c r="V548" t="s">
        <v>1917</v>
      </c>
      <c r="W548">
        <v>29801201702897</v>
      </c>
      <c r="Y548" t="s">
        <v>51</v>
      </c>
      <c r="Z548">
        <v>0</v>
      </c>
      <c r="AA548">
        <v>0</v>
      </c>
      <c r="AF548">
        <v>75</v>
      </c>
      <c r="AG548">
        <v>175</v>
      </c>
      <c r="AH548">
        <f>IF([2]!Table1[[#This Row],[الوزن]]&lt;&gt;"",[2]!Table1[[#This Row],[الوزن]]-([2]!Table1[[#This Row],[الطول]]-100),"")</f>
        <v>1</v>
      </c>
      <c r="AJ548" t="s">
        <v>1918</v>
      </c>
      <c r="AN548" t="s">
        <v>145</v>
      </c>
    </row>
    <row r="549" spans="1:40" ht="18.75" customHeight="1" x14ac:dyDescent="0.3">
      <c r="A549" s="1">
        <v>2019138316908</v>
      </c>
      <c r="B549" t="s">
        <v>125</v>
      </c>
      <c r="C549" t="s">
        <v>1919</v>
      </c>
      <c r="D549" t="s">
        <v>446</v>
      </c>
      <c r="E549" t="s">
        <v>447</v>
      </c>
      <c r="F549">
        <v>159</v>
      </c>
      <c r="G549">
        <v>43692</v>
      </c>
      <c r="H549">
        <v>44482</v>
      </c>
      <c r="I549">
        <v>44482</v>
      </c>
      <c r="L549" t="s">
        <v>45</v>
      </c>
      <c r="M549" t="s">
        <v>136</v>
      </c>
      <c r="N549" t="s">
        <v>127</v>
      </c>
      <c r="O549" t="s">
        <v>1911</v>
      </c>
      <c r="P549" t="s">
        <v>49</v>
      </c>
      <c r="R549">
        <v>1</v>
      </c>
      <c r="S549">
        <v>0</v>
      </c>
      <c r="T549">
        <v>0</v>
      </c>
      <c r="U549">
        <v>1150719600</v>
      </c>
      <c r="V549" t="s">
        <v>1920</v>
      </c>
      <c r="W549">
        <v>30106012201491</v>
      </c>
      <c r="Y549" t="s">
        <v>153</v>
      </c>
      <c r="Z549">
        <v>0</v>
      </c>
      <c r="AA549">
        <v>0</v>
      </c>
      <c r="AF549">
        <v>74</v>
      </c>
      <c r="AG549">
        <v>173</v>
      </c>
      <c r="AH549">
        <f>IF([2]!Table1[[#This Row],[الوزن]]&lt;&gt;"",[2]!Table1[[#This Row],[الوزن]]-([2]!Table1[[#This Row],[الطول]]-100),"")</f>
        <v>-10</v>
      </c>
      <c r="AN549" t="s">
        <v>145</v>
      </c>
    </row>
    <row r="550" spans="1:40" ht="18.75" customHeight="1" x14ac:dyDescent="0.3">
      <c r="A550" s="1">
        <v>2021131804377</v>
      </c>
      <c r="B550" t="s">
        <v>125</v>
      </c>
      <c r="C550" t="s">
        <v>1921</v>
      </c>
      <c r="D550" t="s">
        <v>446</v>
      </c>
      <c r="E550" t="s">
        <v>447</v>
      </c>
      <c r="F550">
        <v>160</v>
      </c>
      <c r="G550">
        <v>44205</v>
      </c>
      <c r="H550">
        <v>45187</v>
      </c>
      <c r="I550">
        <v>45187</v>
      </c>
      <c r="L550" t="s">
        <v>45</v>
      </c>
      <c r="M550" t="s">
        <v>136</v>
      </c>
      <c r="N550" t="s">
        <v>307</v>
      </c>
      <c r="O550" t="s">
        <v>308</v>
      </c>
      <c r="Q550" t="s">
        <v>49</v>
      </c>
      <c r="R550">
        <v>0</v>
      </c>
      <c r="S550">
        <v>0</v>
      </c>
      <c r="T550">
        <v>0</v>
      </c>
      <c r="U550" t="s">
        <v>1922</v>
      </c>
      <c r="V550" t="s">
        <v>1923</v>
      </c>
      <c r="W550">
        <v>30002042800276</v>
      </c>
      <c r="Y550" t="s">
        <v>51</v>
      </c>
      <c r="Z550">
        <v>0</v>
      </c>
      <c r="AA550">
        <v>0</v>
      </c>
      <c r="AF550">
        <v>60</v>
      </c>
      <c r="AG550">
        <v>170</v>
      </c>
      <c r="AH550" t="str">
        <f>IF([2]!Table1[[#This Row],[الوزن]]&lt;&gt;"",[2]!Table1[[#This Row],[الوزن]]-([2]!Table1[[#This Row],[الطول]]-100),"")</f>
        <v/>
      </c>
      <c r="AN550" t="s">
        <v>145</v>
      </c>
    </row>
    <row r="551" spans="1:40" ht="18.75" customHeight="1" x14ac:dyDescent="0.3">
      <c r="A551" s="1">
        <v>2013138307579</v>
      </c>
      <c r="B551" t="s">
        <v>75</v>
      </c>
      <c r="C551" t="s">
        <v>1924</v>
      </c>
      <c r="D551" t="s">
        <v>1925</v>
      </c>
      <c r="E551" t="s">
        <v>447</v>
      </c>
      <c r="F551">
        <v>150</v>
      </c>
      <c r="G551">
        <v>41510</v>
      </c>
      <c r="H551">
        <v>41982</v>
      </c>
      <c r="I551">
        <v>45658</v>
      </c>
      <c r="J551">
        <v>45588</v>
      </c>
      <c r="L551" t="s">
        <v>135</v>
      </c>
      <c r="M551" t="s">
        <v>812</v>
      </c>
      <c r="N551" t="s">
        <v>47</v>
      </c>
      <c r="O551" t="s">
        <v>1926</v>
      </c>
      <c r="P551" t="s">
        <v>49</v>
      </c>
      <c r="R551">
        <v>7</v>
      </c>
      <c r="S551">
        <v>0</v>
      </c>
      <c r="T551">
        <v>0</v>
      </c>
      <c r="U551" t="s">
        <v>1927</v>
      </c>
      <c r="W551">
        <v>29306202603239</v>
      </c>
      <c r="X551">
        <v>34140</v>
      </c>
      <c r="Y551" t="s">
        <v>51</v>
      </c>
      <c r="Z551">
        <v>0</v>
      </c>
      <c r="AA551">
        <v>0</v>
      </c>
      <c r="AB551">
        <v>0</v>
      </c>
      <c r="AG551" t="s">
        <v>787</v>
      </c>
      <c r="AH551" t="str">
        <f>IF([2]!Table1[[#This Row],[الوزن]]&lt;&gt;"",[2]!Table1[[#This Row],[الوزن]]-([2]!Table1[[#This Row],[الطول]]-100),"")</f>
        <v/>
      </c>
      <c r="AJ551" t="s">
        <v>1928</v>
      </c>
      <c r="AN551" t="s">
        <v>145</v>
      </c>
    </row>
    <row r="552" spans="1:40" ht="18.75" customHeight="1" x14ac:dyDescent="0.3">
      <c r="A552" s="1">
        <v>2014138312857</v>
      </c>
      <c r="B552" t="s">
        <v>75</v>
      </c>
      <c r="C552" t="s">
        <v>1929</v>
      </c>
      <c r="D552" t="s">
        <v>1925</v>
      </c>
      <c r="E552" t="s">
        <v>447</v>
      </c>
      <c r="F552">
        <v>152</v>
      </c>
      <c r="G552">
        <v>41853</v>
      </c>
      <c r="H552">
        <v>42295</v>
      </c>
      <c r="I552">
        <v>44197</v>
      </c>
      <c r="J552">
        <v>44510</v>
      </c>
      <c r="L552" t="s">
        <v>135</v>
      </c>
      <c r="M552" t="s">
        <v>817</v>
      </c>
      <c r="N552" t="s">
        <v>127</v>
      </c>
      <c r="O552" t="s">
        <v>1730</v>
      </c>
      <c r="P552" t="s">
        <v>49</v>
      </c>
      <c r="R552">
        <v>1</v>
      </c>
      <c r="S552">
        <v>0</v>
      </c>
      <c r="T552">
        <v>0</v>
      </c>
      <c r="U552" t="s">
        <v>1930</v>
      </c>
      <c r="W552">
        <v>29501011854191</v>
      </c>
      <c r="X552">
        <v>34700</v>
      </c>
      <c r="Y552" t="s">
        <v>103</v>
      </c>
      <c r="Z552">
        <v>1</v>
      </c>
      <c r="AA552">
        <v>1</v>
      </c>
      <c r="AB552">
        <v>0</v>
      </c>
      <c r="AG552" t="s">
        <v>787</v>
      </c>
      <c r="AH552" t="str">
        <f>IF([2]!Table1[[#This Row],[الوزن]]&lt;&gt;"",[2]!Table1[[#This Row],[الوزن]]-([2]!Table1[[#This Row],[الطول]]-100),"")</f>
        <v/>
      </c>
      <c r="AJ552" t="s">
        <v>1931</v>
      </c>
      <c r="AN552" t="s">
        <v>145</v>
      </c>
    </row>
    <row r="553" spans="1:40" ht="18.75" customHeight="1" x14ac:dyDescent="0.3">
      <c r="A553" s="1">
        <v>2012134701181</v>
      </c>
      <c r="B553" t="s">
        <v>57</v>
      </c>
      <c r="C553" t="s">
        <v>1932</v>
      </c>
      <c r="D553" t="s">
        <v>1933</v>
      </c>
      <c r="E553" t="s">
        <v>447</v>
      </c>
      <c r="F553">
        <v>147</v>
      </c>
      <c r="G553">
        <v>40936</v>
      </c>
      <c r="I553">
        <v>44927</v>
      </c>
      <c r="J553">
        <v>44501</v>
      </c>
      <c r="L553" t="s">
        <v>88</v>
      </c>
      <c r="M553" t="s">
        <v>264</v>
      </c>
      <c r="N553" t="s">
        <v>47</v>
      </c>
      <c r="O553" t="s">
        <v>1934</v>
      </c>
      <c r="R553">
        <v>0</v>
      </c>
      <c r="S553">
        <v>0</v>
      </c>
      <c r="T553">
        <v>0</v>
      </c>
      <c r="U553" t="s">
        <v>1935</v>
      </c>
      <c r="AG553" t="s">
        <v>787</v>
      </c>
      <c r="AH553" t="str">
        <f>IF([2]!Table1[[#This Row],[الوزن]]&lt;&gt;"",[2]!Table1[[#This Row],[الوزن]]-([2]!Table1[[#This Row],[الطول]]-100),"")</f>
        <v/>
      </c>
    </row>
    <row r="554" spans="1:40" ht="18.75" customHeight="1" x14ac:dyDescent="0.3">
      <c r="A554" s="1">
        <v>2014132400096</v>
      </c>
      <c r="B554" t="s">
        <v>75</v>
      </c>
      <c r="C554" t="s">
        <v>1936</v>
      </c>
      <c r="D554" t="s">
        <v>1933</v>
      </c>
      <c r="E554" t="s">
        <v>447</v>
      </c>
      <c r="F554">
        <v>151</v>
      </c>
      <c r="G554">
        <v>41665</v>
      </c>
      <c r="I554">
        <v>45839</v>
      </c>
      <c r="J554">
        <v>44868</v>
      </c>
      <c r="L554" t="s">
        <v>135</v>
      </c>
      <c r="M554" t="s">
        <v>264</v>
      </c>
      <c r="N554" t="s">
        <v>47</v>
      </c>
      <c r="O554" t="s">
        <v>1297</v>
      </c>
      <c r="R554">
        <v>0</v>
      </c>
      <c r="S554">
        <v>0</v>
      </c>
      <c r="T554">
        <v>0</v>
      </c>
      <c r="U554" t="s">
        <v>1937</v>
      </c>
      <c r="AG554" t="s">
        <v>787</v>
      </c>
      <c r="AH554" t="str">
        <f>IF([2]!Table1[[#This Row],[الوزن]]&lt;&gt;"",[2]!Table1[[#This Row],[الوزن]]-([2]!Table1[[#This Row],[الطول]]-100),"")</f>
        <v/>
      </c>
    </row>
    <row r="555" spans="1:40" ht="18.75" customHeight="1" x14ac:dyDescent="0.3">
      <c r="A555" s="1">
        <v>2015132702672</v>
      </c>
      <c r="B555" t="s">
        <v>75</v>
      </c>
      <c r="C555" t="s">
        <v>1938</v>
      </c>
      <c r="D555" t="s">
        <v>1933</v>
      </c>
      <c r="E555" t="s">
        <v>447</v>
      </c>
      <c r="F555">
        <v>1</v>
      </c>
      <c r="G555">
        <v>42309</v>
      </c>
      <c r="I555">
        <v>44927</v>
      </c>
      <c r="J555">
        <v>45976</v>
      </c>
      <c r="L555" t="s">
        <v>263</v>
      </c>
      <c r="M555" t="s">
        <v>264</v>
      </c>
      <c r="N555" t="s">
        <v>47</v>
      </c>
      <c r="O555" t="s">
        <v>1237</v>
      </c>
      <c r="R555">
        <v>0</v>
      </c>
      <c r="S555">
        <v>0</v>
      </c>
      <c r="T555">
        <v>0</v>
      </c>
      <c r="U555" t="s">
        <v>1939</v>
      </c>
      <c r="AG555" t="s">
        <v>787</v>
      </c>
      <c r="AH555" t="str">
        <f>IF([2]!Table1[[#This Row],[الوزن]]&lt;&gt;"",[2]!Table1[[#This Row],[الوزن]]-([2]!Table1[[#This Row],[الطول]]-100),"")</f>
        <v/>
      </c>
    </row>
    <row r="556" spans="1:40" ht="18.75" customHeight="1" x14ac:dyDescent="0.3">
      <c r="A556" s="1">
        <v>2015132705288</v>
      </c>
      <c r="B556" t="s">
        <v>75</v>
      </c>
      <c r="C556" t="s">
        <v>1940</v>
      </c>
      <c r="D556" t="s">
        <v>1933</v>
      </c>
      <c r="E556" t="s">
        <v>447</v>
      </c>
      <c r="F556">
        <v>1</v>
      </c>
      <c r="G556">
        <v>42309</v>
      </c>
      <c r="I556">
        <v>44927</v>
      </c>
      <c r="J556">
        <v>44506</v>
      </c>
      <c r="L556" t="s">
        <v>263</v>
      </c>
      <c r="M556" t="s">
        <v>264</v>
      </c>
      <c r="N556" t="s">
        <v>47</v>
      </c>
      <c r="O556" t="s">
        <v>1237</v>
      </c>
      <c r="R556">
        <v>0</v>
      </c>
      <c r="S556">
        <v>0</v>
      </c>
      <c r="T556">
        <v>0</v>
      </c>
      <c r="U556" t="s">
        <v>1941</v>
      </c>
      <c r="AG556" t="s">
        <v>787</v>
      </c>
      <c r="AH556" t="str">
        <f>IF([2]!Table1[[#This Row],[الوزن]]&lt;&gt;"",[2]!Table1[[#This Row],[الوزن]]-([2]!Table1[[#This Row],[الطول]]-100),"")</f>
        <v/>
      </c>
    </row>
    <row r="557" spans="1:40" ht="18.75" customHeight="1" x14ac:dyDescent="0.3">
      <c r="A557" s="1">
        <v>2015132706640</v>
      </c>
      <c r="B557" t="s">
        <v>75</v>
      </c>
      <c r="C557" t="s">
        <v>1942</v>
      </c>
      <c r="D557" t="s">
        <v>1933</v>
      </c>
      <c r="E557" t="s">
        <v>447</v>
      </c>
      <c r="F557">
        <v>1</v>
      </c>
      <c r="G557">
        <v>42309</v>
      </c>
      <c r="I557">
        <v>44927</v>
      </c>
      <c r="J557">
        <v>45593</v>
      </c>
      <c r="L557" t="s">
        <v>263</v>
      </c>
      <c r="M557" t="s">
        <v>264</v>
      </c>
      <c r="N557" t="s">
        <v>47</v>
      </c>
      <c r="O557" t="s">
        <v>1237</v>
      </c>
      <c r="R557">
        <v>0</v>
      </c>
      <c r="S557">
        <v>0</v>
      </c>
      <c r="T557">
        <v>0</v>
      </c>
      <c r="U557" t="s">
        <v>1943</v>
      </c>
      <c r="AG557" t="s">
        <v>787</v>
      </c>
      <c r="AH557" t="str">
        <f>IF([2]!Table1[[#This Row],[الوزن]]&lt;&gt;"",[2]!Table1[[#This Row],[الوزن]]-([2]!Table1[[#This Row],[الطول]]-100),"")</f>
        <v/>
      </c>
    </row>
    <row r="558" spans="1:40" ht="18.75" customHeight="1" x14ac:dyDescent="0.3">
      <c r="A558" s="1">
        <v>2016134703626</v>
      </c>
      <c r="B558" t="s">
        <v>75</v>
      </c>
      <c r="C558" t="s">
        <v>1944</v>
      </c>
      <c r="D558" t="s">
        <v>1933</v>
      </c>
      <c r="E558" t="s">
        <v>447</v>
      </c>
      <c r="F558">
        <v>156</v>
      </c>
      <c r="G558">
        <v>42575</v>
      </c>
      <c r="I558">
        <v>45292</v>
      </c>
      <c r="J558">
        <v>45373</v>
      </c>
      <c r="L558" t="s">
        <v>88</v>
      </c>
      <c r="M558" t="s">
        <v>264</v>
      </c>
      <c r="N558" t="s">
        <v>47</v>
      </c>
      <c r="O558" t="s">
        <v>1945</v>
      </c>
      <c r="R558">
        <v>0</v>
      </c>
      <c r="S558">
        <v>0</v>
      </c>
      <c r="T558">
        <v>0</v>
      </c>
      <c r="U558" t="s">
        <v>1946</v>
      </c>
      <c r="AG558" t="s">
        <v>787</v>
      </c>
      <c r="AH558" t="str">
        <f>IF([2]!Table1[[#This Row],[الوزن]]&lt;&gt;"",[2]!Table1[[#This Row],[الوزن]]-([2]!Table1[[#This Row],[الطول]]-100),"")</f>
        <v/>
      </c>
    </row>
    <row r="559" spans="1:40" ht="18.75" customHeight="1" x14ac:dyDescent="0.3">
      <c r="A559" s="1">
        <v>2018132703616</v>
      </c>
      <c r="B559" t="s">
        <v>75</v>
      </c>
      <c r="C559" t="s">
        <v>1947</v>
      </c>
      <c r="D559" t="s">
        <v>1933</v>
      </c>
      <c r="E559" t="s">
        <v>447</v>
      </c>
      <c r="F559">
        <v>4</v>
      </c>
      <c r="G559">
        <v>43394</v>
      </c>
      <c r="I559">
        <v>44123</v>
      </c>
      <c r="J559">
        <v>44311</v>
      </c>
      <c r="L559" t="s">
        <v>263</v>
      </c>
      <c r="M559" t="s">
        <v>264</v>
      </c>
      <c r="N559" t="s">
        <v>47</v>
      </c>
      <c r="O559" t="s">
        <v>1237</v>
      </c>
      <c r="R559">
        <v>0</v>
      </c>
      <c r="S559">
        <v>0</v>
      </c>
      <c r="T559">
        <v>0</v>
      </c>
      <c r="U559" t="s">
        <v>1948</v>
      </c>
      <c r="AG559" t="s">
        <v>787</v>
      </c>
      <c r="AH559" t="str">
        <f>IF([2]!Table1[[#This Row],[الوزن]]&lt;&gt;"",[2]!Table1[[#This Row],[الوزن]]-([2]!Table1[[#This Row],[الطول]]-100),"")</f>
        <v/>
      </c>
    </row>
    <row r="560" spans="1:40" ht="18.75" customHeight="1" x14ac:dyDescent="0.3">
      <c r="A560" s="1">
        <v>2021132400265</v>
      </c>
      <c r="B560" t="s">
        <v>125</v>
      </c>
      <c r="C560" t="s">
        <v>1949</v>
      </c>
      <c r="D560" t="s">
        <v>1933</v>
      </c>
      <c r="E560" t="s">
        <v>447</v>
      </c>
      <c r="F560">
        <v>160</v>
      </c>
      <c r="G560">
        <v>44205</v>
      </c>
      <c r="I560">
        <v>45196</v>
      </c>
      <c r="J560">
        <v>45218</v>
      </c>
      <c r="L560" t="s">
        <v>135</v>
      </c>
      <c r="M560" t="s">
        <v>264</v>
      </c>
      <c r="N560" t="s">
        <v>47</v>
      </c>
      <c r="O560" t="s">
        <v>1297</v>
      </c>
      <c r="R560">
        <v>0</v>
      </c>
      <c r="S560">
        <v>0</v>
      </c>
      <c r="T560">
        <v>0</v>
      </c>
      <c r="U560" t="s">
        <v>1950</v>
      </c>
      <c r="AG560" t="s">
        <v>787</v>
      </c>
      <c r="AH560">
        <f>IF([2]!Table1[[#This Row],[الوزن]]&lt;&gt;"",[2]!Table1[[#This Row],[الوزن]]-([2]!Table1[[#This Row],[الطول]]-100),"")</f>
        <v>10</v>
      </c>
    </row>
    <row r="561" spans="1:40" ht="18.75" customHeight="1" x14ac:dyDescent="0.3">
      <c r="A561" s="1">
        <v>2007138307720</v>
      </c>
      <c r="B561" t="s">
        <v>57</v>
      </c>
      <c r="C561" t="s">
        <v>1951</v>
      </c>
      <c r="D561" t="s">
        <v>1952</v>
      </c>
      <c r="E561" t="s">
        <v>447</v>
      </c>
      <c r="F561">
        <v>138</v>
      </c>
      <c r="G561">
        <v>39284</v>
      </c>
      <c r="H561">
        <v>39759</v>
      </c>
      <c r="I561">
        <v>45292</v>
      </c>
      <c r="L561" t="s">
        <v>135</v>
      </c>
      <c r="M561" t="s">
        <v>1332</v>
      </c>
      <c r="N561" t="s">
        <v>127</v>
      </c>
      <c r="O561" t="s">
        <v>1347</v>
      </c>
      <c r="P561" t="s">
        <v>49</v>
      </c>
      <c r="R561">
        <v>6</v>
      </c>
      <c r="S561">
        <v>0</v>
      </c>
      <c r="T561">
        <v>0</v>
      </c>
      <c r="U561" t="s">
        <v>1953</v>
      </c>
      <c r="W561">
        <v>28712161801599</v>
      </c>
      <c r="X561">
        <v>32127</v>
      </c>
      <c r="Y561" t="s">
        <v>103</v>
      </c>
      <c r="Z561">
        <v>2</v>
      </c>
      <c r="AC561" t="s">
        <v>1954</v>
      </c>
      <c r="AF561">
        <v>88</v>
      </c>
      <c r="AG561">
        <v>178</v>
      </c>
      <c r="AH561">
        <f>IF([2]!Table1[[#This Row],[الوزن]]&lt;&gt;"",[2]!Table1[[#This Row],[الوزن]]-([2]!Table1[[#This Row],[الطول]]-100),"")</f>
        <v>-11</v>
      </c>
      <c r="AJ561" t="s">
        <v>1955</v>
      </c>
      <c r="AN561" t="s">
        <v>625</v>
      </c>
    </row>
    <row r="562" spans="1:40" ht="18.75" customHeight="1" x14ac:dyDescent="0.3">
      <c r="A562" s="1">
        <v>2011134701985</v>
      </c>
      <c r="B562" t="s">
        <v>210</v>
      </c>
      <c r="C562" t="s">
        <v>1956</v>
      </c>
      <c r="D562" t="s">
        <v>1952</v>
      </c>
      <c r="E562" t="s">
        <v>447</v>
      </c>
      <c r="F562">
        <v>145</v>
      </c>
      <c r="G562">
        <v>40558</v>
      </c>
      <c r="H562">
        <v>40739</v>
      </c>
      <c r="I562">
        <v>46023</v>
      </c>
      <c r="L562" t="s">
        <v>88</v>
      </c>
      <c r="M562" t="s">
        <v>1332</v>
      </c>
      <c r="N562" t="s">
        <v>47</v>
      </c>
      <c r="O562" t="s">
        <v>1341</v>
      </c>
      <c r="P562" t="s">
        <v>49</v>
      </c>
      <c r="R562">
        <v>2</v>
      </c>
      <c r="S562">
        <v>0</v>
      </c>
      <c r="T562">
        <v>0</v>
      </c>
      <c r="U562" t="s">
        <v>1957</v>
      </c>
      <c r="W562">
        <v>29011101201172</v>
      </c>
      <c r="X562">
        <v>33187</v>
      </c>
      <c r="Y562" t="s">
        <v>103</v>
      </c>
      <c r="Z562">
        <v>3</v>
      </c>
      <c r="AC562" t="s">
        <v>1958</v>
      </c>
      <c r="AF562">
        <v>66</v>
      </c>
      <c r="AG562">
        <v>177</v>
      </c>
      <c r="AH562">
        <f>IF([2]!Table1[[#This Row],[الوزن]]&lt;&gt;"",[2]!Table1[[#This Row],[الوزن]]-([2]!Table1[[#This Row],[الطول]]-100),"")</f>
        <v>-4</v>
      </c>
      <c r="AJ562" t="s">
        <v>1959</v>
      </c>
      <c r="AN562" t="s">
        <v>625</v>
      </c>
    </row>
    <row r="563" spans="1:40" ht="18.75" customHeight="1" x14ac:dyDescent="0.3">
      <c r="A563" s="1">
        <v>2011134704830</v>
      </c>
      <c r="B563" t="s">
        <v>57</v>
      </c>
      <c r="C563" t="s">
        <v>1960</v>
      </c>
      <c r="D563" t="s">
        <v>1952</v>
      </c>
      <c r="E563" t="s">
        <v>447</v>
      </c>
      <c r="F563">
        <v>146</v>
      </c>
      <c r="G563">
        <v>40748</v>
      </c>
      <c r="H563">
        <v>40933</v>
      </c>
      <c r="I563">
        <v>44743</v>
      </c>
      <c r="L563" t="s">
        <v>88</v>
      </c>
      <c r="M563" t="s">
        <v>1332</v>
      </c>
      <c r="N563" t="s">
        <v>47</v>
      </c>
      <c r="O563" t="s">
        <v>1333</v>
      </c>
      <c r="P563" t="s">
        <v>49</v>
      </c>
      <c r="R563">
        <v>6</v>
      </c>
      <c r="S563">
        <v>0</v>
      </c>
      <c r="T563">
        <v>0</v>
      </c>
      <c r="U563" t="s">
        <v>1961</v>
      </c>
      <c r="W563">
        <v>29106011505891</v>
      </c>
      <c r="X563">
        <v>33390</v>
      </c>
      <c r="Y563" t="s">
        <v>103</v>
      </c>
      <c r="Z563">
        <v>3</v>
      </c>
      <c r="AC563" t="s">
        <v>1962</v>
      </c>
      <c r="AF563">
        <v>67</v>
      </c>
      <c r="AG563">
        <v>171</v>
      </c>
      <c r="AH563">
        <f>IF([2]!Table1[[#This Row],[الوزن]]&lt;&gt;"",[2]!Table1[[#This Row],[الوزن]]-([2]!Table1[[#This Row],[الطول]]-100),"")</f>
        <v>-2</v>
      </c>
      <c r="AJ563" t="s">
        <v>1963</v>
      </c>
      <c r="AN563" t="s">
        <v>625</v>
      </c>
    </row>
    <row r="564" spans="1:40" ht="18.75" customHeight="1" x14ac:dyDescent="0.3">
      <c r="A564" s="1">
        <v>2011138314916</v>
      </c>
      <c r="B564" t="s">
        <v>75</v>
      </c>
      <c r="C564" t="s">
        <v>1964</v>
      </c>
      <c r="D564" t="s">
        <v>1952</v>
      </c>
      <c r="E564" t="s">
        <v>447</v>
      </c>
      <c r="F564">
        <v>146</v>
      </c>
      <c r="G564">
        <v>40748</v>
      </c>
      <c r="H564">
        <v>41223</v>
      </c>
      <c r="I564">
        <v>44927</v>
      </c>
      <c r="L564" t="s">
        <v>135</v>
      </c>
      <c r="M564" t="s">
        <v>1332</v>
      </c>
      <c r="N564" t="s">
        <v>127</v>
      </c>
      <c r="O564" t="s">
        <v>1347</v>
      </c>
      <c r="P564" t="s">
        <v>49</v>
      </c>
      <c r="R564">
        <v>6</v>
      </c>
      <c r="S564">
        <v>0</v>
      </c>
      <c r="T564">
        <v>0</v>
      </c>
      <c r="U564" t="s">
        <v>1965</v>
      </c>
      <c r="W564">
        <v>29501011346039</v>
      </c>
      <c r="X564">
        <v>34700</v>
      </c>
      <c r="Y564" t="s">
        <v>103</v>
      </c>
      <c r="Z564">
        <v>4</v>
      </c>
      <c r="AC564" t="s">
        <v>1966</v>
      </c>
      <c r="AF564">
        <v>63</v>
      </c>
      <c r="AG564">
        <v>165</v>
      </c>
      <c r="AH564">
        <f>IF([2]!Table1[[#This Row],[الوزن]]&lt;&gt;"",[2]!Table1[[#This Row],[الوزن]]-([2]!Table1[[#This Row],[الطول]]-100),"")</f>
        <v>-13</v>
      </c>
      <c r="AJ564" t="s">
        <v>1967</v>
      </c>
      <c r="AN564" t="s">
        <v>625</v>
      </c>
    </row>
    <row r="565" spans="1:40" ht="18.75" customHeight="1" x14ac:dyDescent="0.3">
      <c r="A565" s="1">
        <v>2012134705539</v>
      </c>
      <c r="B565" t="s">
        <v>57</v>
      </c>
      <c r="C565" t="s">
        <v>1968</v>
      </c>
      <c r="D565" t="s">
        <v>1952</v>
      </c>
      <c r="E565" t="s">
        <v>447</v>
      </c>
      <c r="F565">
        <v>148</v>
      </c>
      <c r="G565">
        <v>41111</v>
      </c>
      <c r="H565">
        <v>41296</v>
      </c>
      <c r="I565">
        <v>45108</v>
      </c>
      <c r="L565" t="s">
        <v>88</v>
      </c>
      <c r="M565" t="s">
        <v>1332</v>
      </c>
      <c r="N565" t="s">
        <v>47</v>
      </c>
      <c r="O565" t="s">
        <v>1333</v>
      </c>
      <c r="P565" t="s">
        <v>49</v>
      </c>
      <c r="R565">
        <v>6</v>
      </c>
      <c r="S565">
        <v>0</v>
      </c>
      <c r="T565">
        <v>0</v>
      </c>
      <c r="U565" t="s">
        <v>1969</v>
      </c>
      <c r="W565">
        <v>289100111712314</v>
      </c>
      <c r="X565">
        <v>32782</v>
      </c>
      <c r="Y565" t="s">
        <v>103</v>
      </c>
      <c r="Z565">
        <v>1</v>
      </c>
      <c r="AC565" t="s">
        <v>1970</v>
      </c>
      <c r="AF565">
        <v>57</v>
      </c>
      <c r="AG565">
        <v>170</v>
      </c>
      <c r="AH565">
        <f>IF([2]!Table1[[#This Row],[الوزن]]&lt;&gt;"",[2]!Table1[[#This Row],[الوزن]]-([2]!Table1[[#This Row],[الطول]]-100),"")</f>
        <v>4</v>
      </c>
      <c r="AJ565" t="s">
        <v>1971</v>
      </c>
      <c r="AN565" t="s">
        <v>625</v>
      </c>
    </row>
    <row r="566" spans="1:40" ht="18.75" customHeight="1" x14ac:dyDescent="0.3">
      <c r="A566" s="1">
        <v>2012134705969</v>
      </c>
      <c r="B566" t="s">
        <v>57</v>
      </c>
      <c r="C566" t="s">
        <v>1972</v>
      </c>
      <c r="D566" t="s">
        <v>1952</v>
      </c>
      <c r="E566" t="s">
        <v>447</v>
      </c>
      <c r="F566">
        <v>148</v>
      </c>
      <c r="G566">
        <v>41111</v>
      </c>
      <c r="H566">
        <v>41296</v>
      </c>
      <c r="I566">
        <v>45108</v>
      </c>
      <c r="L566" t="s">
        <v>88</v>
      </c>
      <c r="M566" t="s">
        <v>1332</v>
      </c>
      <c r="N566" t="s">
        <v>47</v>
      </c>
      <c r="O566" t="s">
        <v>1341</v>
      </c>
      <c r="P566" t="s">
        <v>49</v>
      </c>
      <c r="R566">
        <v>1</v>
      </c>
      <c r="S566">
        <v>0</v>
      </c>
      <c r="T566">
        <v>0</v>
      </c>
      <c r="U566" t="s">
        <v>1973</v>
      </c>
      <c r="W566">
        <v>28807201702077</v>
      </c>
      <c r="X566">
        <v>32344</v>
      </c>
      <c r="Y566" t="s">
        <v>103</v>
      </c>
      <c r="Z566">
        <v>2</v>
      </c>
      <c r="AF566">
        <v>92</v>
      </c>
      <c r="AG566">
        <v>188</v>
      </c>
      <c r="AH566">
        <f>IF([2]!Table1[[#This Row],[الوزن]]&lt;&gt;"",[2]!Table1[[#This Row],[الوزن]]-([2]!Table1[[#This Row],[الطول]]-100),"")</f>
        <v>-3</v>
      </c>
      <c r="AJ566" t="s">
        <v>1974</v>
      </c>
      <c r="AN566" t="s">
        <v>625</v>
      </c>
    </row>
    <row r="567" spans="1:40" ht="18.75" customHeight="1" x14ac:dyDescent="0.3">
      <c r="A567" s="1">
        <v>2012134790663</v>
      </c>
      <c r="B567" t="s">
        <v>66</v>
      </c>
      <c r="C567" t="s">
        <v>1975</v>
      </c>
      <c r="D567" t="s">
        <v>1952</v>
      </c>
      <c r="E567" t="s">
        <v>447</v>
      </c>
      <c r="F567" t="s">
        <v>68</v>
      </c>
      <c r="G567">
        <v>41154</v>
      </c>
      <c r="H567">
        <v>42326</v>
      </c>
      <c r="I567">
        <v>44197</v>
      </c>
      <c r="L567" t="s">
        <v>135</v>
      </c>
      <c r="M567" t="s">
        <v>1332</v>
      </c>
      <c r="N567" t="s">
        <v>47</v>
      </c>
      <c r="O567" t="s">
        <v>1333</v>
      </c>
      <c r="P567" t="s">
        <v>49</v>
      </c>
      <c r="R567">
        <v>6</v>
      </c>
      <c r="S567">
        <v>0</v>
      </c>
      <c r="T567">
        <v>0</v>
      </c>
      <c r="U567" t="s">
        <v>1976</v>
      </c>
      <c r="W567">
        <v>29704251800771</v>
      </c>
      <c r="X567">
        <v>35545</v>
      </c>
      <c r="Y567" t="s">
        <v>103</v>
      </c>
      <c r="Z567">
        <v>1</v>
      </c>
      <c r="AC567" t="s">
        <v>1977</v>
      </c>
      <c r="AF567">
        <v>55</v>
      </c>
      <c r="AG567">
        <v>158</v>
      </c>
      <c r="AH567">
        <f>IF([2]!Table1[[#This Row],[الوزن]]&lt;&gt;"",[2]!Table1[[#This Row],[الوزن]]-([2]!Table1[[#This Row],[الطول]]-100),"")</f>
        <v>-8</v>
      </c>
      <c r="AJ567" t="s">
        <v>1978</v>
      </c>
      <c r="AN567" t="s">
        <v>625</v>
      </c>
    </row>
    <row r="568" spans="1:40" ht="18.75" customHeight="1" x14ac:dyDescent="0.3">
      <c r="A568" s="1">
        <v>2014134703589</v>
      </c>
      <c r="B568" t="s">
        <v>75</v>
      </c>
      <c r="C568" t="s">
        <v>1979</v>
      </c>
      <c r="D568" t="s">
        <v>1952</v>
      </c>
      <c r="E568" t="s">
        <v>447</v>
      </c>
      <c r="F568">
        <v>152</v>
      </c>
      <c r="G568">
        <v>41853</v>
      </c>
      <c r="H568">
        <v>41155</v>
      </c>
      <c r="I568">
        <v>44927</v>
      </c>
      <c r="L568" t="s">
        <v>135</v>
      </c>
      <c r="M568" t="s">
        <v>1332</v>
      </c>
      <c r="N568" t="s">
        <v>47</v>
      </c>
      <c r="O568" t="s">
        <v>1341</v>
      </c>
      <c r="P568" t="s">
        <v>49</v>
      </c>
      <c r="R568">
        <v>3</v>
      </c>
      <c r="S568">
        <v>0</v>
      </c>
      <c r="T568">
        <v>0</v>
      </c>
      <c r="U568" t="s">
        <v>1980</v>
      </c>
      <c r="W568">
        <v>29509101402451</v>
      </c>
      <c r="X568">
        <v>34952</v>
      </c>
      <c r="Y568" t="s">
        <v>103</v>
      </c>
      <c r="Z568">
        <v>2</v>
      </c>
      <c r="AF568">
        <v>61</v>
      </c>
      <c r="AG568">
        <v>169</v>
      </c>
      <c r="AH568">
        <f>IF([2]!Table1[[#This Row],[الوزن]]&lt;&gt;"",[2]!Table1[[#This Row],[الوزن]]-([2]!Table1[[#This Row],[الطول]]-100),"")</f>
        <v>2</v>
      </c>
      <c r="AJ568" t="s">
        <v>1981</v>
      </c>
      <c r="AN568" t="s">
        <v>625</v>
      </c>
    </row>
    <row r="569" spans="1:40" ht="18.75" customHeight="1" x14ac:dyDescent="0.3">
      <c r="A569" s="1">
        <v>2018131808574</v>
      </c>
      <c r="B569" t="s">
        <v>106</v>
      </c>
      <c r="C569" t="s">
        <v>1982</v>
      </c>
      <c r="D569" t="s">
        <v>341</v>
      </c>
      <c r="E569" t="s">
        <v>43</v>
      </c>
      <c r="F569">
        <v>158</v>
      </c>
      <c r="G569">
        <v>43279</v>
      </c>
      <c r="H569">
        <v>44117</v>
      </c>
      <c r="I569">
        <v>44117</v>
      </c>
      <c r="J569">
        <v>44147</v>
      </c>
      <c r="K569">
        <v>44147</v>
      </c>
      <c r="L569" t="s">
        <v>135</v>
      </c>
      <c r="M569" t="s">
        <v>342</v>
      </c>
      <c r="N569" t="s">
        <v>727</v>
      </c>
      <c r="O569" t="s">
        <v>608</v>
      </c>
      <c r="P569" t="s">
        <v>49</v>
      </c>
      <c r="R569">
        <v>2</v>
      </c>
      <c r="S569">
        <v>0</v>
      </c>
      <c r="T569">
        <v>0</v>
      </c>
      <c r="U569" t="s">
        <v>1983</v>
      </c>
      <c r="W569">
        <v>29810011524738</v>
      </c>
      <c r="X569">
        <v>36069</v>
      </c>
      <c r="Y569" t="s">
        <v>103</v>
      </c>
      <c r="Z569">
        <v>1</v>
      </c>
      <c r="AA569">
        <v>0</v>
      </c>
      <c r="AB569">
        <v>1</v>
      </c>
      <c r="AC569" t="s">
        <v>1984</v>
      </c>
      <c r="AD569" t="s">
        <v>1985</v>
      </c>
      <c r="AE569" t="s">
        <v>423</v>
      </c>
      <c r="AF569">
        <v>80</v>
      </c>
      <c r="AG569">
        <v>178</v>
      </c>
      <c r="AH569">
        <f>IF([2]!Table1[[#This Row],[الوزن]]&lt;&gt;"",[2]!Table1[[#This Row],[الوزن]]-([2]!Table1[[#This Row],[الطول]]-100),"")</f>
        <v>8</v>
      </c>
      <c r="AJ569" t="s">
        <v>298</v>
      </c>
      <c r="AN569" t="s">
        <v>145</v>
      </c>
    </row>
    <row r="570" spans="1:40" ht="18.75" customHeight="1" x14ac:dyDescent="0.3">
      <c r="A570" s="1">
        <v>1998138301929</v>
      </c>
      <c r="B570" t="s">
        <v>210</v>
      </c>
      <c r="C570" t="s">
        <v>1986</v>
      </c>
      <c r="D570" t="s">
        <v>1987</v>
      </c>
      <c r="E570" t="s">
        <v>447</v>
      </c>
      <c r="F570">
        <v>120</v>
      </c>
      <c r="G570">
        <v>36022</v>
      </c>
      <c r="H570">
        <v>36495</v>
      </c>
      <c r="I570">
        <v>44743</v>
      </c>
      <c r="K570">
        <v>45972</v>
      </c>
      <c r="L570" t="s">
        <v>135</v>
      </c>
      <c r="M570" t="s">
        <v>1171</v>
      </c>
      <c r="N570" t="s">
        <v>127</v>
      </c>
      <c r="O570" t="s">
        <v>1105</v>
      </c>
      <c r="R570">
        <v>16</v>
      </c>
      <c r="S570">
        <v>7</v>
      </c>
      <c r="T570">
        <v>0</v>
      </c>
      <c r="U570" t="s">
        <v>1988</v>
      </c>
      <c r="V570" t="s">
        <v>1989</v>
      </c>
      <c r="W570">
        <v>27907231700592</v>
      </c>
      <c r="X570">
        <v>29059</v>
      </c>
      <c r="Y570" t="s">
        <v>103</v>
      </c>
      <c r="Z570">
        <v>4</v>
      </c>
      <c r="AF570">
        <v>95</v>
      </c>
      <c r="AG570">
        <v>187</v>
      </c>
      <c r="AH570">
        <f>IF([2]!Table1[[#This Row],[الوزن]]&lt;&gt;"",[2]!Table1[[#This Row],[الوزن]]-([2]!Table1[[#This Row],[الطول]]-100),"")</f>
        <v>4</v>
      </c>
      <c r="AJ570" t="s">
        <v>1990</v>
      </c>
      <c r="AN570" t="s">
        <v>733</v>
      </c>
    </row>
    <row r="571" spans="1:40" ht="18.75" customHeight="1" x14ac:dyDescent="0.3">
      <c r="A571" s="1">
        <v>2009132400013</v>
      </c>
      <c r="B571" t="s">
        <v>57</v>
      </c>
      <c r="C571" t="s">
        <v>1991</v>
      </c>
      <c r="D571" t="s">
        <v>1987</v>
      </c>
      <c r="E571" t="s">
        <v>447</v>
      </c>
      <c r="F571">
        <v>141</v>
      </c>
      <c r="G571">
        <v>39837</v>
      </c>
      <c r="H571">
        <v>40307</v>
      </c>
      <c r="I571">
        <v>44013</v>
      </c>
      <c r="K571">
        <v>44851</v>
      </c>
      <c r="L571" t="s">
        <v>135</v>
      </c>
      <c r="M571" t="s">
        <v>1171</v>
      </c>
      <c r="N571" t="s">
        <v>1992</v>
      </c>
      <c r="O571" t="s">
        <v>1993</v>
      </c>
      <c r="R571">
        <v>5</v>
      </c>
      <c r="S571">
        <v>0</v>
      </c>
      <c r="T571">
        <v>1</v>
      </c>
      <c r="U571" t="s">
        <v>1994</v>
      </c>
      <c r="V571" t="s">
        <v>1995</v>
      </c>
      <c r="W571">
        <v>29009272301812</v>
      </c>
      <c r="X571">
        <v>40110</v>
      </c>
      <c r="Y571" t="s">
        <v>103</v>
      </c>
      <c r="Z571">
        <v>4</v>
      </c>
      <c r="AC571" t="s">
        <v>1996</v>
      </c>
      <c r="AF571">
        <v>86</v>
      </c>
      <c r="AG571">
        <v>182</v>
      </c>
      <c r="AH571">
        <f>IF([2]!Table1[[#This Row],[الوزن]]&lt;&gt;"",[2]!Table1[[#This Row],[الوزن]]-([2]!Table1[[#This Row],[الطول]]-100),"")</f>
        <v>-5</v>
      </c>
      <c r="AJ571" t="s">
        <v>1997</v>
      </c>
      <c r="AN571" t="s">
        <v>733</v>
      </c>
    </row>
    <row r="572" spans="1:40" ht="18.75" customHeight="1" x14ac:dyDescent="0.3">
      <c r="A572" s="1">
        <v>2010138308953</v>
      </c>
      <c r="B572" t="s">
        <v>75</v>
      </c>
      <c r="C572" t="s">
        <v>1998</v>
      </c>
      <c r="D572" t="s">
        <v>1987</v>
      </c>
      <c r="E572" t="s">
        <v>447</v>
      </c>
      <c r="F572">
        <v>144</v>
      </c>
      <c r="G572">
        <v>40376</v>
      </c>
      <c r="H572">
        <v>40860</v>
      </c>
      <c r="I572">
        <v>44562</v>
      </c>
      <c r="K572">
        <v>44987</v>
      </c>
      <c r="L572" t="s">
        <v>135</v>
      </c>
      <c r="M572" t="s">
        <v>1171</v>
      </c>
      <c r="N572" t="s">
        <v>127</v>
      </c>
      <c r="O572" t="s">
        <v>1999</v>
      </c>
      <c r="R572">
        <v>0</v>
      </c>
      <c r="S572">
        <v>0</v>
      </c>
      <c r="T572">
        <v>0</v>
      </c>
      <c r="U572" t="s">
        <v>2000</v>
      </c>
      <c r="V572" t="s">
        <v>2001</v>
      </c>
      <c r="W572">
        <v>26706151201171</v>
      </c>
      <c r="X572">
        <v>32704</v>
      </c>
      <c r="Y572" t="s">
        <v>103</v>
      </c>
      <c r="Z572">
        <v>2</v>
      </c>
      <c r="AC572" t="s">
        <v>2002</v>
      </c>
      <c r="AF572">
        <v>80</v>
      </c>
      <c r="AG572">
        <v>185</v>
      </c>
      <c r="AH572">
        <f>IF([2]!Table1[[#This Row],[الوزن]]&lt;&gt;"",[2]!Table1[[#This Row],[الوزن]]-([2]!Table1[[#This Row],[الطول]]-100),"")</f>
        <v>-13</v>
      </c>
      <c r="AJ572" t="s">
        <v>2003</v>
      </c>
      <c r="AN572" t="s">
        <v>733</v>
      </c>
    </row>
    <row r="573" spans="1:40" ht="18.75" customHeight="1" x14ac:dyDescent="0.3">
      <c r="A573" s="1">
        <v>2014132401466</v>
      </c>
      <c r="B573" t="s">
        <v>75</v>
      </c>
      <c r="C573" t="s">
        <v>2004</v>
      </c>
      <c r="D573" t="s">
        <v>1987</v>
      </c>
      <c r="E573" t="s">
        <v>447</v>
      </c>
      <c r="F573">
        <v>152</v>
      </c>
      <c r="G573">
        <v>41853</v>
      </c>
      <c r="H573">
        <v>42326</v>
      </c>
      <c r="I573">
        <v>44197</v>
      </c>
      <c r="K573">
        <v>45977</v>
      </c>
      <c r="L573" t="s">
        <v>135</v>
      </c>
      <c r="M573" t="s">
        <v>1171</v>
      </c>
      <c r="N573" t="s">
        <v>1992</v>
      </c>
      <c r="O573" t="s">
        <v>2005</v>
      </c>
      <c r="R573">
        <v>8</v>
      </c>
      <c r="S573">
        <v>0</v>
      </c>
      <c r="T573">
        <v>0</v>
      </c>
      <c r="U573" t="s">
        <v>2006</v>
      </c>
      <c r="V573" t="s">
        <v>2007</v>
      </c>
      <c r="W573">
        <v>29711161501991</v>
      </c>
      <c r="X573">
        <v>35750</v>
      </c>
      <c r="Y573" t="s">
        <v>103</v>
      </c>
      <c r="Z573">
        <v>1</v>
      </c>
      <c r="AC573" t="s">
        <v>2008</v>
      </c>
      <c r="AF573">
        <v>60</v>
      </c>
      <c r="AG573">
        <v>173</v>
      </c>
      <c r="AH573">
        <f>IF([2]!Table1[[#This Row],[الوزن]]&lt;&gt;"",[2]!Table1[[#This Row],[الوزن]]-([2]!Table1[[#This Row],[الطول]]-100),"")</f>
        <v>-2</v>
      </c>
      <c r="AJ573" t="s">
        <v>2009</v>
      </c>
      <c r="AN573" t="s">
        <v>733</v>
      </c>
    </row>
    <row r="574" spans="1:40" ht="18.75" customHeight="1" x14ac:dyDescent="0.3">
      <c r="A574" s="1">
        <v>2015130404139</v>
      </c>
      <c r="B574" t="s">
        <v>106</v>
      </c>
      <c r="C574" t="s">
        <v>2010</v>
      </c>
      <c r="D574" t="s">
        <v>1987</v>
      </c>
      <c r="E574" t="s">
        <v>447</v>
      </c>
      <c r="F574">
        <v>155</v>
      </c>
      <c r="G574">
        <v>42035</v>
      </c>
      <c r="H574">
        <v>42932</v>
      </c>
      <c r="I574">
        <v>44927</v>
      </c>
      <c r="K574">
        <v>45232</v>
      </c>
      <c r="L574" t="s">
        <v>135</v>
      </c>
      <c r="M574" t="s">
        <v>1171</v>
      </c>
      <c r="N574" t="s">
        <v>78</v>
      </c>
      <c r="O574" t="s">
        <v>620</v>
      </c>
      <c r="R574">
        <v>3</v>
      </c>
      <c r="S574">
        <v>0</v>
      </c>
      <c r="T574">
        <v>0</v>
      </c>
      <c r="U574" t="s">
        <v>2011</v>
      </c>
      <c r="V574" t="s">
        <v>2012</v>
      </c>
      <c r="W574">
        <v>22906012602233</v>
      </c>
      <c r="X574">
        <v>36312</v>
      </c>
      <c r="Y574" t="s">
        <v>153</v>
      </c>
      <c r="Z574">
        <v>0</v>
      </c>
      <c r="AC574" t="s">
        <v>2013</v>
      </c>
      <c r="AF574">
        <v>68</v>
      </c>
      <c r="AG574">
        <v>170</v>
      </c>
      <c r="AH574">
        <f>IF([2]!Table1[[#This Row],[الوزن]]&lt;&gt;"",[2]!Table1[[#This Row],[الوزن]]-([2]!Table1[[#This Row],[الطول]]-100),"")</f>
        <v>3</v>
      </c>
      <c r="AJ574" t="s">
        <v>2014</v>
      </c>
      <c r="AN574" t="s">
        <v>733</v>
      </c>
    </row>
    <row r="575" spans="1:40" ht="18.75" customHeight="1" x14ac:dyDescent="0.3">
      <c r="A575" s="1">
        <v>2015132403238</v>
      </c>
      <c r="B575" t="s">
        <v>106</v>
      </c>
      <c r="C575" t="s">
        <v>2015</v>
      </c>
      <c r="D575" t="s">
        <v>1987</v>
      </c>
      <c r="E575" t="s">
        <v>447</v>
      </c>
      <c r="F575">
        <v>155</v>
      </c>
      <c r="G575">
        <v>42369</v>
      </c>
      <c r="H575">
        <v>42932</v>
      </c>
      <c r="I575">
        <v>45232</v>
      </c>
      <c r="K575">
        <v>45644</v>
      </c>
      <c r="L575" t="s">
        <v>135</v>
      </c>
      <c r="M575" t="s">
        <v>1171</v>
      </c>
      <c r="N575" t="s">
        <v>1992</v>
      </c>
      <c r="O575" t="s">
        <v>2005</v>
      </c>
      <c r="R575">
        <v>0</v>
      </c>
      <c r="S575">
        <v>0</v>
      </c>
      <c r="T575">
        <v>0</v>
      </c>
      <c r="U575" t="s">
        <v>2016</v>
      </c>
      <c r="V575" t="s">
        <v>2017</v>
      </c>
      <c r="W575">
        <v>29703051602293</v>
      </c>
      <c r="X575">
        <v>35494</v>
      </c>
      <c r="Y575" t="s">
        <v>103</v>
      </c>
      <c r="Z575">
        <v>2</v>
      </c>
      <c r="AC575" t="s">
        <v>2018</v>
      </c>
      <c r="AF575">
        <v>80</v>
      </c>
      <c r="AG575">
        <v>177</v>
      </c>
      <c r="AH575">
        <f>IF([2]!Table1[[#This Row],[الوزن]]&lt;&gt;"",[2]!Table1[[#This Row],[الوزن]]-([2]!Table1[[#This Row],[الطول]]-100),"")</f>
        <v>1</v>
      </c>
      <c r="AJ575" t="s">
        <v>2019</v>
      </c>
      <c r="AN575" t="s">
        <v>733</v>
      </c>
    </row>
    <row r="576" spans="1:40" ht="18.75" customHeight="1" x14ac:dyDescent="0.3">
      <c r="A576" s="1">
        <v>2015132403254</v>
      </c>
      <c r="B576" t="s">
        <v>106</v>
      </c>
      <c r="C576" t="s">
        <v>2020</v>
      </c>
      <c r="D576" t="s">
        <v>1987</v>
      </c>
      <c r="E576" t="s">
        <v>447</v>
      </c>
      <c r="F576">
        <v>155</v>
      </c>
      <c r="G576">
        <v>42369</v>
      </c>
      <c r="H576">
        <v>42932</v>
      </c>
      <c r="I576">
        <v>44927</v>
      </c>
      <c r="K576">
        <v>45592</v>
      </c>
      <c r="L576" t="s">
        <v>135</v>
      </c>
      <c r="M576" t="s">
        <v>1171</v>
      </c>
      <c r="N576" t="s">
        <v>1992</v>
      </c>
      <c r="O576" t="s">
        <v>2005</v>
      </c>
      <c r="R576">
        <v>3</v>
      </c>
      <c r="S576">
        <v>0</v>
      </c>
      <c r="T576">
        <v>0</v>
      </c>
      <c r="U576" t="s">
        <v>2021</v>
      </c>
      <c r="V576" t="s">
        <v>2022</v>
      </c>
      <c r="W576">
        <v>2970702705454</v>
      </c>
      <c r="X576">
        <v>35618</v>
      </c>
      <c r="Y576" t="s">
        <v>103</v>
      </c>
      <c r="Z576">
        <v>1</v>
      </c>
      <c r="AC576" t="s">
        <v>2023</v>
      </c>
      <c r="AF576">
        <v>71</v>
      </c>
      <c r="AG576">
        <v>170</v>
      </c>
      <c r="AH576">
        <f>IF([2]!Table1[[#This Row],[الوزن]]&lt;&gt;"",[2]!Table1[[#This Row],[الوزن]]-([2]!Table1[[#This Row],[الطول]]-100),"")</f>
        <v>1</v>
      </c>
      <c r="AJ576" t="s">
        <v>2024</v>
      </c>
      <c r="AN576" t="s">
        <v>733</v>
      </c>
    </row>
    <row r="577" spans="1:40" ht="18.75" customHeight="1" x14ac:dyDescent="0.3">
      <c r="A577" s="1">
        <v>2018130401501</v>
      </c>
      <c r="B577" t="s">
        <v>106</v>
      </c>
      <c r="C577" t="s">
        <v>2025</v>
      </c>
      <c r="D577" t="s">
        <v>1987</v>
      </c>
      <c r="E577" t="s">
        <v>447</v>
      </c>
      <c r="F577">
        <v>158</v>
      </c>
      <c r="G577">
        <v>43338</v>
      </c>
      <c r="H577">
        <v>44117</v>
      </c>
      <c r="I577">
        <v>44117</v>
      </c>
      <c r="K577">
        <v>44866</v>
      </c>
      <c r="L577" t="s">
        <v>135</v>
      </c>
      <c r="M577" t="s">
        <v>158</v>
      </c>
      <c r="N577" t="s">
        <v>78</v>
      </c>
      <c r="O577" t="s">
        <v>620</v>
      </c>
      <c r="R577">
        <v>4</v>
      </c>
      <c r="S577">
        <v>0</v>
      </c>
      <c r="T577">
        <v>0</v>
      </c>
      <c r="U577" t="s">
        <v>2026</v>
      </c>
      <c r="V577" t="s">
        <v>2027</v>
      </c>
      <c r="W577">
        <v>30103031301457</v>
      </c>
      <c r="X577">
        <v>36953</v>
      </c>
      <c r="Y577" t="s">
        <v>406</v>
      </c>
      <c r="Z577">
        <v>0</v>
      </c>
      <c r="AC577" t="s">
        <v>2028</v>
      </c>
      <c r="AF577">
        <v>75</v>
      </c>
      <c r="AG577">
        <v>174</v>
      </c>
      <c r="AH577">
        <f>IF([2]!Table1[[#This Row],[الوزن]]&lt;&gt;"",[2]!Table1[[#This Row],[الوزن]]-([2]!Table1[[#This Row],[الطول]]-100),"")</f>
        <v>13</v>
      </c>
      <c r="AJ577" t="s">
        <v>2029</v>
      </c>
      <c r="AN577" t="s">
        <v>733</v>
      </c>
    </row>
    <row r="578" spans="1:40" ht="18.75" customHeight="1" x14ac:dyDescent="0.3">
      <c r="A578" s="1">
        <v>2019131801378</v>
      </c>
      <c r="B578" t="s">
        <v>125</v>
      </c>
      <c r="C578" t="s">
        <v>2030</v>
      </c>
      <c r="D578" t="s">
        <v>341</v>
      </c>
      <c r="E578" t="s">
        <v>43</v>
      </c>
      <c r="G578">
        <v>43692</v>
      </c>
      <c r="H578">
        <v>45197</v>
      </c>
      <c r="I578">
        <v>45197</v>
      </c>
      <c r="J578">
        <v>45595</v>
      </c>
      <c r="K578">
        <v>45595</v>
      </c>
      <c r="L578" t="s">
        <v>135</v>
      </c>
      <c r="M578" t="s">
        <v>342</v>
      </c>
      <c r="N578" t="s">
        <v>727</v>
      </c>
      <c r="O578" t="s">
        <v>608</v>
      </c>
      <c r="P578" t="s">
        <v>49</v>
      </c>
      <c r="R578">
        <v>4</v>
      </c>
      <c r="S578">
        <v>0</v>
      </c>
      <c r="T578">
        <v>0</v>
      </c>
      <c r="U578" t="s">
        <v>2031</v>
      </c>
      <c r="W578">
        <v>30005260103535</v>
      </c>
      <c r="X578">
        <v>36672</v>
      </c>
      <c r="Y578" t="s">
        <v>51</v>
      </c>
      <c r="Z578">
        <v>0</v>
      </c>
      <c r="AA578">
        <v>0</v>
      </c>
      <c r="AB578">
        <v>0</v>
      </c>
      <c r="AC578">
        <v>46157</v>
      </c>
      <c r="AD578" t="s">
        <v>2032</v>
      </c>
      <c r="AE578" t="s">
        <v>93</v>
      </c>
      <c r="AF578">
        <v>85</v>
      </c>
      <c r="AG578">
        <v>172</v>
      </c>
      <c r="AH578">
        <f>IF([2]!Table1[[#This Row],[الوزن]]&lt;&gt;"",[2]!Table1[[#This Row],[الوزن]]-([2]!Table1[[#This Row],[الطول]]-100),"")</f>
        <v>-1</v>
      </c>
      <c r="AJ578" t="s">
        <v>2033</v>
      </c>
      <c r="AN578" t="s">
        <v>145</v>
      </c>
    </row>
    <row r="579" spans="1:40" ht="18.75" customHeight="1" x14ac:dyDescent="0.3">
      <c r="A579" s="1">
        <v>2019132400989</v>
      </c>
      <c r="B579" t="s">
        <v>125</v>
      </c>
      <c r="C579" t="s">
        <v>2034</v>
      </c>
      <c r="D579" t="s">
        <v>1987</v>
      </c>
      <c r="E579" t="s">
        <v>447</v>
      </c>
      <c r="F579">
        <v>159</v>
      </c>
      <c r="G579">
        <v>43703</v>
      </c>
      <c r="H579">
        <v>44482</v>
      </c>
      <c r="I579">
        <v>44482</v>
      </c>
      <c r="K579">
        <v>44497</v>
      </c>
      <c r="L579" t="s">
        <v>135</v>
      </c>
      <c r="M579" t="s">
        <v>1171</v>
      </c>
      <c r="N579" t="s">
        <v>1297</v>
      </c>
      <c r="O579" t="s">
        <v>2035</v>
      </c>
      <c r="R579">
        <v>4</v>
      </c>
      <c r="S579">
        <v>0</v>
      </c>
      <c r="T579">
        <v>0</v>
      </c>
      <c r="U579" t="s">
        <v>2036</v>
      </c>
      <c r="V579" t="s">
        <v>2037</v>
      </c>
      <c r="W579">
        <v>29905292200791</v>
      </c>
      <c r="X579">
        <v>36309</v>
      </c>
      <c r="Y579" t="s">
        <v>153</v>
      </c>
      <c r="Z579">
        <v>0</v>
      </c>
      <c r="AC579" t="s">
        <v>2038</v>
      </c>
      <c r="AF579">
        <v>70</v>
      </c>
      <c r="AG579">
        <v>171</v>
      </c>
      <c r="AH579">
        <f>IF([2]!Table1[[#This Row],[الوزن]]&lt;&gt;"",[2]!Table1[[#This Row],[الوزن]]-([2]!Table1[[#This Row],[الطول]]-100),"")</f>
        <v>-5</v>
      </c>
      <c r="AN579" t="s">
        <v>733</v>
      </c>
    </row>
    <row r="580" spans="1:40" ht="18.75" customHeight="1" x14ac:dyDescent="0.3">
      <c r="A580" s="1">
        <v>2019138301264</v>
      </c>
      <c r="B580" t="s">
        <v>125</v>
      </c>
      <c r="C580" t="s">
        <v>2039</v>
      </c>
      <c r="D580" t="s">
        <v>1987</v>
      </c>
      <c r="E580" t="s">
        <v>447</v>
      </c>
      <c r="F580">
        <v>159</v>
      </c>
      <c r="G580">
        <v>43692</v>
      </c>
      <c r="H580">
        <v>44482</v>
      </c>
      <c r="I580">
        <v>44482</v>
      </c>
      <c r="K580">
        <v>45641</v>
      </c>
      <c r="L580" t="s">
        <v>135</v>
      </c>
      <c r="M580" t="s">
        <v>1171</v>
      </c>
      <c r="N580" t="s">
        <v>127</v>
      </c>
      <c r="O580" t="s">
        <v>2040</v>
      </c>
      <c r="R580">
        <v>2</v>
      </c>
      <c r="S580">
        <v>0</v>
      </c>
      <c r="T580">
        <v>0</v>
      </c>
      <c r="U580" t="s">
        <v>2041</v>
      </c>
      <c r="V580" t="s">
        <v>1989</v>
      </c>
      <c r="W580">
        <v>30207200101713</v>
      </c>
      <c r="X580">
        <v>37439</v>
      </c>
      <c r="Y580" t="s">
        <v>153</v>
      </c>
      <c r="Z580">
        <v>0</v>
      </c>
      <c r="AC580" t="s">
        <v>2042</v>
      </c>
      <c r="AF580">
        <v>69</v>
      </c>
      <c r="AG580">
        <v>174</v>
      </c>
      <c r="AH580">
        <f>IF([2]!Table1[[#This Row],[الوزن]]&lt;&gt;"",[2]!Table1[[#This Row],[الوزن]]-([2]!Table1[[#This Row],[الطول]]-100),"")</f>
        <v>4</v>
      </c>
      <c r="AJ580" t="s">
        <v>2043</v>
      </c>
      <c r="AN580" t="s">
        <v>733</v>
      </c>
    </row>
    <row r="581" spans="1:40" ht="18.75" customHeight="1" x14ac:dyDescent="0.3">
      <c r="A581" s="1">
        <v>2019138307775</v>
      </c>
      <c r="B581" t="s">
        <v>125</v>
      </c>
      <c r="C581" t="s">
        <v>2044</v>
      </c>
      <c r="D581" t="s">
        <v>1987</v>
      </c>
      <c r="E581" t="s">
        <v>447</v>
      </c>
      <c r="F581">
        <v>159</v>
      </c>
      <c r="G581">
        <v>43692</v>
      </c>
      <c r="H581">
        <v>44482</v>
      </c>
      <c r="I581">
        <v>44482</v>
      </c>
      <c r="K581">
        <v>45974</v>
      </c>
      <c r="L581" t="s">
        <v>135</v>
      </c>
      <c r="M581" t="s">
        <v>1171</v>
      </c>
      <c r="N581" t="s">
        <v>127</v>
      </c>
      <c r="O581" t="s">
        <v>2040</v>
      </c>
      <c r="R581">
        <v>2</v>
      </c>
      <c r="U581" t="s">
        <v>2045</v>
      </c>
      <c r="V581" t="s">
        <v>2045</v>
      </c>
      <c r="W581">
        <v>30010011305733</v>
      </c>
      <c r="X581">
        <v>36800</v>
      </c>
      <c r="Y581" t="s">
        <v>153</v>
      </c>
      <c r="Z581">
        <v>0</v>
      </c>
      <c r="AC581" t="s">
        <v>2046</v>
      </c>
      <c r="AF581">
        <v>85</v>
      </c>
      <c r="AG581">
        <v>181</v>
      </c>
      <c r="AH581">
        <f>IF([2]!Table1[[#This Row],[الوزن]]&lt;&gt;"",[2]!Table1[[#This Row],[الوزن]]-([2]!Table1[[#This Row],[الطول]]-100),"")</f>
        <v>-3</v>
      </c>
      <c r="AJ581" t="s">
        <v>2047</v>
      </c>
      <c r="AN581" t="s">
        <v>733</v>
      </c>
    </row>
    <row r="582" spans="1:40" ht="18.75" customHeight="1" x14ac:dyDescent="0.3">
      <c r="A582" s="1">
        <v>2021138309958</v>
      </c>
      <c r="B582" t="s">
        <v>125</v>
      </c>
      <c r="C582" t="s">
        <v>2048</v>
      </c>
      <c r="D582" t="s">
        <v>1987</v>
      </c>
      <c r="E582" t="s">
        <v>447</v>
      </c>
      <c r="F582">
        <v>161</v>
      </c>
      <c r="G582">
        <v>44546</v>
      </c>
      <c r="H582">
        <v>45581</v>
      </c>
      <c r="I582">
        <v>45581</v>
      </c>
      <c r="K582">
        <v>45589</v>
      </c>
      <c r="L582" t="s">
        <v>135</v>
      </c>
      <c r="M582" t="s">
        <v>1171</v>
      </c>
      <c r="N582" t="s">
        <v>127</v>
      </c>
      <c r="R582">
        <v>0</v>
      </c>
      <c r="S582">
        <v>0</v>
      </c>
      <c r="T582">
        <v>0</v>
      </c>
      <c r="U582" t="s">
        <v>2049</v>
      </c>
      <c r="V582" t="s">
        <v>2050</v>
      </c>
      <c r="W582">
        <v>30210151804798</v>
      </c>
      <c r="X582">
        <v>37544</v>
      </c>
      <c r="Y582" t="s">
        <v>153</v>
      </c>
      <c r="Z582">
        <v>0</v>
      </c>
      <c r="AC582" t="s">
        <v>2051</v>
      </c>
      <c r="AF582">
        <v>80</v>
      </c>
      <c r="AG582">
        <v>183</v>
      </c>
      <c r="AH582">
        <f>IF([2]!Table1[[#This Row],[الوزن]]&lt;&gt;"",[2]!Table1[[#This Row],[الوزن]]-([2]!Table1[[#This Row],[الطول]]-100),"")</f>
        <v>7</v>
      </c>
      <c r="AN582" t="s">
        <v>733</v>
      </c>
    </row>
    <row r="583" spans="1:40" ht="18.75" customHeight="1" x14ac:dyDescent="0.3">
      <c r="A583" s="1">
        <v>2002134790953</v>
      </c>
      <c r="B583" t="s">
        <v>495</v>
      </c>
      <c r="C583" t="s">
        <v>2052</v>
      </c>
      <c r="D583" t="s">
        <v>2053</v>
      </c>
      <c r="E583" t="s">
        <v>447</v>
      </c>
      <c r="F583" t="s">
        <v>2054</v>
      </c>
      <c r="G583">
        <v>37501</v>
      </c>
      <c r="H583">
        <v>37502</v>
      </c>
      <c r="I583">
        <v>44927</v>
      </c>
      <c r="L583" t="s">
        <v>135</v>
      </c>
      <c r="M583" t="s">
        <v>342</v>
      </c>
      <c r="N583" t="s">
        <v>47</v>
      </c>
      <c r="O583" t="s">
        <v>2055</v>
      </c>
      <c r="Q583" t="s">
        <v>49</v>
      </c>
      <c r="R583">
        <v>2</v>
      </c>
      <c r="S583">
        <v>0</v>
      </c>
      <c r="T583">
        <v>0</v>
      </c>
      <c r="U583" t="s">
        <v>2056</v>
      </c>
      <c r="V583" t="s">
        <v>2057</v>
      </c>
      <c r="W583">
        <v>28809281601899</v>
      </c>
      <c r="X583">
        <v>32414</v>
      </c>
      <c r="Y583" t="s">
        <v>103</v>
      </c>
      <c r="Z583">
        <v>3</v>
      </c>
      <c r="AA583">
        <v>2</v>
      </c>
      <c r="AC583" t="s">
        <v>2058</v>
      </c>
      <c r="AF583">
        <v>77</v>
      </c>
      <c r="AG583">
        <v>170</v>
      </c>
      <c r="AH583">
        <f>IF([2]!Table1[[#This Row],[الوزن]]&lt;&gt;"",[2]!Table1[[#This Row],[الوزن]]-([2]!Table1[[#This Row],[الطول]]-100),"")</f>
        <v>7</v>
      </c>
      <c r="AJ583" t="s">
        <v>2059</v>
      </c>
      <c r="AN583" t="s">
        <v>145</v>
      </c>
    </row>
    <row r="584" spans="1:40" ht="18.75" customHeight="1" x14ac:dyDescent="0.3">
      <c r="A584" s="1">
        <v>2004134790529</v>
      </c>
      <c r="B584" t="s">
        <v>495</v>
      </c>
      <c r="C584" t="s">
        <v>2060</v>
      </c>
      <c r="D584" t="s">
        <v>2053</v>
      </c>
      <c r="E584" t="s">
        <v>447</v>
      </c>
      <c r="F584" t="s">
        <v>2061</v>
      </c>
      <c r="G584">
        <v>38231</v>
      </c>
      <c r="H584">
        <v>38232</v>
      </c>
      <c r="I584">
        <v>45658</v>
      </c>
      <c r="L584" t="s">
        <v>135</v>
      </c>
      <c r="M584" t="s">
        <v>342</v>
      </c>
      <c r="N584" t="s">
        <v>47</v>
      </c>
      <c r="O584" t="s">
        <v>2055</v>
      </c>
      <c r="Q584" t="s">
        <v>49</v>
      </c>
      <c r="R584">
        <v>6</v>
      </c>
      <c r="S584">
        <v>0</v>
      </c>
      <c r="T584">
        <v>0</v>
      </c>
      <c r="U584" t="s">
        <v>2062</v>
      </c>
      <c r="V584" t="s">
        <v>2063</v>
      </c>
      <c r="W584">
        <v>29002281601115</v>
      </c>
      <c r="X584">
        <v>32932</v>
      </c>
      <c r="Y584" t="s">
        <v>103</v>
      </c>
      <c r="Z584">
        <v>4</v>
      </c>
      <c r="AA584">
        <v>3</v>
      </c>
      <c r="AC584" t="s">
        <v>2064</v>
      </c>
      <c r="AF584">
        <v>78</v>
      </c>
      <c r="AG584">
        <v>171</v>
      </c>
      <c r="AH584">
        <f>IF([2]!Table1[[#This Row],[الوزن]]&lt;&gt;"",[2]!Table1[[#This Row],[الوزن]]-([2]!Table1[[#This Row],[الطول]]-100),"")</f>
        <v>9</v>
      </c>
      <c r="AJ584" t="s">
        <v>2065</v>
      </c>
      <c r="AN584" t="s">
        <v>145</v>
      </c>
    </row>
    <row r="585" spans="1:40" ht="18.75" customHeight="1" x14ac:dyDescent="0.3">
      <c r="A585" s="1">
        <v>2004134790793</v>
      </c>
      <c r="B585" t="s">
        <v>495</v>
      </c>
      <c r="C585" t="s">
        <v>2066</v>
      </c>
      <c r="D585" t="s">
        <v>2053</v>
      </c>
      <c r="E585" t="s">
        <v>447</v>
      </c>
      <c r="F585" t="s">
        <v>2061</v>
      </c>
      <c r="G585">
        <v>38231</v>
      </c>
      <c r="H585">
        <v>38232</v>
      </c>
      <c r="I585">
        <v>45658</v>
      </c>
      <c r="L585" t="s">
        <v>135</v>
      </c>
      <c r="M585" t="s">
        <v>342</v>
      </c>
      <c r="N585" t="s">
        <v>47</v>
      </c>
      <c r="O585" t="s">
        <v>2055</v>
      </c>
      <c r="Q585" t="s">
        <v>49</v>
      </c>
      <c r="R585">
        <v>3</v>
      </c>
      <c r="S585">
        <v>0</v>
      </c>
      <c r="T585">
        <v>0</v>
      </c>
      <c r="U585" t="s">
        <v>2067</v>
      </c>
      <c r="V585" t="s">
        <v>2068</v>
      </c>
      <c r="W585">
        <v>29003141801072</v>
      </c>
      <c r="X585">
        <v>32946</v>
      </c>
      <c r="Y585" t="s">
        <v>103</v>
      </c>
      <c r="Z585">
        <v>3</v>
      </c>
      <c r="AA585">
        <v>1</v>
      </c>
      <c r="AC585" t="s">
        <v>2069</v>
      </c>
      <c r="AF585">
        <v>79</v>
      </c>
      <c r="AG585">
        <v>170</v>
      </c>
      <c r="AH585">
        <f>IF([2]!Table1[[#This Row],[الوزن]]&lt;&gt;"",[2]!Table1[[#This Row],[الوزن]]-([2]!Table1[[#This Row],[الطول]]-100),"")</f>
        <v>8</v>
      </c>
      <c r="AJ585" t="s">
        <v>2070</v>
      </c>
      <c r="AN585" t="s">
        <v>145</v>
      </c>
    </row>
    <row r="586" spans="1:40" ht="18.75" customHeight="1" x14ac:dyDescent="0.3">
      <c r="A586" s="1">
        <v>2007138311523</v>
      </c>
      <c r="B586" t="s">
        <v>57</v>
      </c>
      <c r="C586" t="s">
        <v>2071</v>
      </c>
      <c r="D586" t="s">
        <v>2053</v>
      </c>
      <c r="E586" t="s">
        <v>447</v>
      </c>
      <c r="F586">
        <v>138</v>
      </c>
      <c r="G586">
        <v>39284</v>
      </c>
      <c r="H586">
        <v>39759</v>
      </c>
      <c r="I586">
        <v>45292</v>
      </c>
      <c r="L586" t="s">
        <v>135</v>
      </c>
      <c r="M586" t="s">
        <v>342</v>
      </c>
      <c r="N586" t="s">
        <v>127</v>
      </c>
      <c r="O586" t="s">
        <v>1915</v>
      </c>
      <c r="Q586" t="s">
        <v>49</v>
      </c>
      <c r="R586">
        <v>4</v>
      </c>
      <c r="S586">
        <v>0</v>
      </c>
      <c r="T586">
        <v>0</v>
      </c>
      <c r="U586" t="s">
        <v>2072</v>
      </c>
      <c r="V586" t="s">
        <v>2073</v>
      </c>
      <c r="W586">
        <v>28908181200674</v>
      </c>
      <c r="X586">
        <v>32738</v>
      </c>
      <c r="Y586" t="s">
        <v>103</v>
      </c>
      <c r="Z586">
        <v>1</v>
      </c>
      <c r="AA586">
        <v>0</v>
      </c>
      <c r="AC586" t="s">
        <v>2074</v>
      </c>
      <c r="AF586">
        <v>90</v>
      </c>
      <c r="AG586">
        <v>182</v>
      </c>
      <c r="AH586">
        <f>IF([2]!Table1[[#This Row],[الوزن]]&lt;&gt;"",[2]!Table1[[#This Row],[الوزن]]-([2]!Table1[[#This Row],[الطول]]-100),"")</f>
        <v>2</v>
      </c>
      <c r="AJ586" t="s">
        <v>280</v>
      </c>
      <c r="AN586" t="s">
        <v>145</v>
      </c>
    </row>
    <row r="587" spans="1:40" ht="18.75" customHeight="1" x14ac:dyDescent="0.3">
      <c r="A587" s="1">
        <v>2015134704189</v>
      </c>
      <c r="B587" t="s">
        <v>106</v>
      </c>
      <c r="C587" t="s">
        <v>2075</v>
      </c>
      <c r="D587" t="s">
        <v>2053</v>
      </c>
      <c r="E587" t="s">
        <v>447</v>
      </c>
      <c r="F587">
        <v>153</v>
      </c>
      <c r="G587">
        <v>42030</v>
      </c>
      <c r="H587">
        <v>42501</v>
      </c>
      <c r="I587">
        <v>44380</v>
      </c>
      <c r="L587" t="s">
        <v>135</v>
      </c>
      <c r="M587" t="s">
        <v>342</v>
      </c>
      <c r="N587" t="s">
        <v>47</v>
      </c>
      <c r="O587" t="s">
        <v>2076</v>
      </c>
      <c r="P587" t="s">
        <v>49</v>
      </c>
      <c r="R587">
        <v>0</v>
      </c>
      <c r="S587">
        <v>0</v>
      </c>
      <c r="T587">
        <v>0</v>
      </c>
      <c r="U587" t="s">
        <v>2077</v>
      </c>
      <c r="V587" t="s">
        <v>2078</v>
      </c>
      <c r="W587">
        <v>2620104262994</v>
      </c>
      <c r="X587">
        <v>33617</v>
      </c>
      <c r="Y587" t="s">
        <v>1392</v>
      </c>
      <c r="Z587">
        <v>3</v>
      </c>
      <c r="AA587">
        <v>3</v>
      </c>
      <c r="AC587" t="s">
        <v>2079</v>
      </c>
      <c r="AF587">
        <v>71</v>
      </c>
      <c r="AG587">
        <v>169</v>
      </c>
      <c r="AH587">
        <f>IF([2]!Table1[[#This Row],[الوزن]]&lt;&gt;"",[2]!Table1[[#This Row],[الوزن]]-([2]!Table1[[#This Row],[الطول]]-100),"")</f>
        <v>-9</v>
      </c>
      <c r="AJ587" t="s">
        <v>280</v>
      </c>
      <c r="AN587" t="s">
        <v>145</v>
      </c>
    </row>
    <row r="588" spans="1:40" ht="18.75" customHeight="1" x14ac:dyDescent="0.3">
      <c r="A588" s="1">
        <v>2015134706789</v>
      </c>
      <c r="B588" t="s">
        <v>75</v>
      </c>
      <c r="C588" t="s">
        <v>2080</v>
      </c>
      <c r="D588" t="s">
        <v>2053</v>
      </c>
      <c r="E588" t="s">
        <v>447</v>
      </c>
      <c r="F588">
        <v>154</v>
      </c>
      <c r="G588">
        <v>42224</v>
      </c>
      <c r="H588">
        <v>42789</v>
      </c>
      <c r="I588">
        <v>44743</v>
      </c>
      <c r="L588" t="s">
        <v>88</v>
      </c>
      <c r="M588" t="s">
        <v>342</v>
      </c>
      <c r="N588" t="s">
        <v>47</v>
      </c>
      <c r="O588" t="s">
        <v>2081</v>
      </c>
      <c r="P588" t="s">
        <v>49</v>
      </c>
      <c r="R588">
        <v>0</v>
      </c>
      <c r="S588">
        <v>0</v>
      </c>
      <c r="T588">
        <v>0</v>
      </c>
      <c r="U588" t="s">
        <v>2082</v>
      </c>
      <c r="V588" t="s">
        <v>2083</v>
      </c>
      <c r="W588">
        <v>29503111802778</v>
      </c>
      <c r="X588">
        <v>34769</v>
      </c>
      <c r="Y588" t="s">
        <v>103</v>
      </c>
      <c r="Z588">
        <v>1</v>
      </c>
      <c r="AA588">
        <v>0</v>
      </c>
      <c r="AC588" t="s">
        <v>2084</v>
      </c>
      <c r="AF588">
        <v>70</v>
      </c>
      <c r="AG588">
        <v>179</v>
      </c>
      <c r="AH588">
        <f>IF([2]!Table1[[#This Row],[الوزن]]&lt;&gt;"",[2]!Table1[[#This Row],[الوزن]]-([2]!Table1[[#This Row],[الطول]]-100),"")</f>
        <v>-10</v>
      </c>
      <c r="AJ588" t="s">
        <v>2085</v>
      </c>
      <c r="AN588" t="s">
        <v>145</v>
      </c>
    </row>
    <row r="589" spans="1:40" ht="18.75" customHeight="1" x14ac:dyDescent="0.3">
      <c r="A589" s="1">
        <v>2016134703650</v>
      </c>
      <c r="B589" t="s">
        <v>75</v>
      </c>
      <c r="C589" t="s">
        <v>2086</v>
      </c>
      <c r="D589" t="s">
        <v>2053</v>
      </c>
      <c r="E589" t="s">
        <v>447</v>
      </c>
      <c r="F589">
        <v>156</v>
      </c>
      <c r="G589">
        <v>42575</v>
      </c>
      <c r="H589">
        <v>43321</v>
      </c>
      <c r="I589">
        <v>45292</v>
      </c>
      <c r="L589" t="s">
        <v>88</v>
      </c>
      <c r="M589" t="s">
        <v>342</v>
      </c>
      <c r="N589" t="s">
        <v>47</v>
      </c>
      <c r="O589" t="s">
        <v>2055</v>
      </c>
      <c r="P589" t="s">
        <v>49</v>
      </c>
      <c r="R589">
        <v>0</v>
      </c>
      <c r="S589">
        <v>0</v>
      </c>
      <c r="T589">
        <v>0</v>
      </c>
      <c r="U589" t="s">
        <v>2087</v>
      </c>
      <c r="V589" t="s">
        <v>2088</v>
      </c>
      <c r="W589">
        <v>29705121701394</v>
      </c>
      <c r="X589">
        <v>35562</v>
      </c>
      <c r="Y589" t="s">
        <v>103</v>
      </c>
      <c r="Z589">
        <v>2</v>
      </c>
      <c r="AA589">
        <v>1</v>
      </c>
      <c r="AC589" t="s">
        <v>2089</v>
      </c>
      <c r="AF589">
        <v>65</v>
      </c>
      <c r="AG589">
        <v>175</v>
      </c>
      <c r="AH589">
        <f>IF([2]!Table1[[#This Row],[الوزن]]&lt;&gt;"",[2]!Table1[[#This Row],[الوزن]]-([2]!Table1[[#This Row],[الطول]]-100),"")</f>
        <v>-5</v>
      </c>
      <c r="AJ589" t="s">
        <v>280</v>
      </c>
      <c r="AN589" t="s">
        <v>145</v>
      </c>
    </row>
    <row r="590" spans="1:40" ht="18.75" customHeight="1" x14ac:dyDescent="0.3">
      <c r="A590" s="1">
        <v>2018134702509</v>
      </c>
      <c r="B590" t="s">
        <v>75</v>
      </c>
      <c r="C590" t="s">
        <v>2090</v>
      </c>
      <c r="D590" t="s">
        <v>2053</v>
      </c>
      <c r="E590" t="s">
        <v>447</v>
      </c>
      <c r="F590">
        <v>158</v>
      </c>
      <c r="G590">
        <v>43279</v>
      </c>
      <c r="H590">
        <v>44117</v>
      </c>
      <c r="I590">
        <v>44117</v>
      </c>
      <c r="L590" t="s">
        <v>88</v>
      </c>
      <c r="M590" t="s">
        <v>342</v>
      </c>
      <c r="N590" t="s">
        <v>47</v>
      </c>
      <c r="O590" t="s">
        <v>2055</v>
      </c>
      <c r="P590" t="s">
        <v>49</v>
      </c>
      <c r="R590">
        <v>1</v>
      </c>
      <c r="S590">
        <v>0</v>
      </c>
      <c r="T590">
        <v>0</v>
      </c>
      <c r="U590" t="s">
        <v>2091</v>
      </c>
      <c r="V590" t="s">
        <v>2092</v>
      </c>
      <c r="W590">
        <v>29905101805257</v>
      </c>
      <c r="X590">
        <v>36281</v>
      </c>
      <c r="Y590" t="s">
        <v>103</v>
      </c>
      <c r="Z590">
        <v>2</v>
      </c>
      <c r="AA590">
        <v>1</v>
      </c>
      <c r="AC590" t="s">
        <v>2093</v>
      </c>
      <c r="AF590">
        <v>70</v>
      </c>
      <c r="AG590">
        <v>175</v>
      </c>
      <c r="AH590">
        <f>IF([2]!Table1[[#This Row],[الوزن]]&lt;&gt;"",[2]!Table1[[#This Row],[الوزن]]-([2]!Table1[[#This Row],[الطول]]-100),"")</f>
        <v>4</v>
      </c>
      <c r="AJ590" t="s">
        <v>280</v>
      </c>
      <c r="AN590" t="s">
        <v>145</v>
      </c>
    </row>
    <row r="591" spans="1:40" ht="18.75" customHeight="1" x14ac:dyDescent="0.3">
      <c r="A591" s="1">
        <v>2021134714862</v>
      </c>
      <c r="B591" t="s">
        <v>125</v>
      </c>
      <c r="C591" t="s">
        <v>2094</v>
      </c>
      <c r="D591" t="s">
        <v>2053</v>
      </c>
      <c r="E591" t="s">
        <v>447</v>
      </c>
      <c r="F591">
        <v>161</v>
      </c>
      <c r="G591">
        <v>44546</v>
      </c>
      <c r="H591">
        <v>45581</v>
      </c>
      <c r="I591">
        <v>45566</v>
      </c>
      <c r="L591" t="s">
        <v>135</v>
      </c>
      <c r="M591" t="s">
        <v>342</v>
      </c>
      <c r="N591" t="s">
        <v>47</v>
      </c>
      <c r="O591" t="s">
        <v>2095</v>
      </c>
      <c r="R591">
        <v>0</v>
      </c>
      <c r="S591">
        <v>0</v>
      </c>
      <c r="T591">
        <v>0</v>
      </c>
      <c r="U591" t="s">
        <v>2096</v>
      </c>
      <c r="V591" t="s">
        <v>2097</v>
      </c>
      <c r="W591">
        <v>28901011350595</v>
      </c>
      <c r="X591">
        <v>35796</v>
      </c>
      <c r="Y591" t="s">
        <v>550</v>
      </c>
      <c r="Z591">
        <v>0</v>
      </c>
      <c r="AA591">
        <v>0</v>
      </c>
      <c r="AC591" t="s">
        <v>2098</v>
      </c>
      <c r="AF591">
        <v>79</v>
      </c>
      <c r="AG591">
        <v>175</v>
      </c>
      <c r="AH591">
        <f>IF([2]!Table1[[#This Row],[الوزن]]&lt;&gt;"",[2]!Table1[[#This Row],[الوزن]]-([2]!Table1[[#This Row],[الطول]]-100),"")</f>
        <v>-10</v>
      </c>
      <c r="AJ591" t="s">
        <v>280</v>
      </c>
      <c r="AN591" t="s">
        <v>145</v>
      </c>
    </row>
    <row r="592" spans="1:40" ht="18.75" customHeight="1" x14ac:dyDescent="0.3">
      <c r="A592" s="1">
        <v>2021134719094</v>
      </c>
      <c r="B592" t="s">
        <v>125</v>
      </c>
      <c r="C592" t="s">
        <v>2099</v>
      </c>
      <c r="D592" t="s">
        <v>2053</v>
      </c>
      <c r="E592" t="s">
        <v>447</v>
      </c>
      <c r="F592">
        <v>161</v>
      </c>
      <c r="G592">
        <v>44546</v>
      </c>
      <c r="H592">
        <v>45581</v>
      </c>
      <c r="I592">
        <v>45566</v>
      </c>
      <c r="L592" t="s">
        <v>135</v>
      </c>
      <c r="M592" t="s">
        <v>342</v>
      </c>
      <c r="N592" t="s">
        <v>47</v>
      </c>
      <c r="O592" t="s">
        <v>2095</v>
      </c>
      <c r="R592">
        <v>0</v>
      </c>
      <c r="S592">
        <v>0</v>
      </c>
      <c r="T592">
        <v>0</v>
      </c>
      <c r="U592" t="s">
        <v>2100</v>
      </c>
      <c r="V592" t="s">
        <v>2101</v>
      </c>
      <c r="W592">
        <v>30502101203697</v>
      </c>
      <c r="X592">
        <v>38393</v>
      </c>
      <c r="Y592" t="s">
        <v>550</v>
      </c>
      <c r="Z592">
        <v>0</v>
      </c>
      <c r="AA592">
        <v>0</v>
      </c>
      <c r="AC592" t="s">
        <v>2102</v>
      </c>
      <c r="AF592">
        <v>60</v>
      </c>
      <c r="AG592">
        <v>170</v>
      </c>
      <c r="AH592" t="str">
        <f>IF([2]!Table1[[#This Row],[الوزن]]&lt;&gt;"",[2]!Table1[[#This Row],[الوزن]]-([2]!Table1[[#This Row],[الطول]]-100),"")</f>
        <v/>
      </c>
      <c r="AJ592" t="s">
        <v>280</v>
      </c>
      <c r="AN592" t="s">
        <v>145</v>
      </c>
    </row>
    <row r="593" spans="1:40" ht="18.75" customHeight="1" x14ac:dyDescent="0.3">
      <c r="A593" s="1">
        <v>2002134702320</v>
      </c>
      <c r="B593" t="s">
        <v>210</v>
      </c>
      <c r="C593" t="s">
        <v>2103</v>
      </c>
      <c r="D593" t="s">
        <v>2104</v>
      </c>
      <c r="E593" t="s">
        <v>447</v>
      </c>
      <c r="F593" t="s">
        <v>2105</v>
      </c>
      <c r="G593">
        <v>37439</v>
      </c>
      <c r="H593">
        <v>37912</v>
      </c>
      <c r="I593">
        <v>43831</v>
      </c>
      <c r="L593" t="s">
        <v>135</v>
      </c>
      <c r="M593" t="s">
        <v>46</v>
      </c>
      <c r="N593" t="s">
        <v>47</v>
      </c>
      <c r="O593" t="s">
        <v>2106</v>
      </c>
      <c r="P593" t="s">
        <v>49</v>
      </c>
      <c r="R593">
        <v>13</v>
      </c>
      <c r="S593">
        <v>0</v>
      </c>
      <c r="T593">
        <v>0</v>
      </c>
      <c r="U593" t="s">
        <v>2107</v>
      </c>
      <c r="V593" t="s">
        <v>2108</v>
      </c>
      <c r="W593">
        <v>27811302600511</v>
      </c>
      <c r="X593">
        <v>28824</v>
      </c>
      <c r="Y593" t="s">
        <v>103</v>
      </c>
      <c r="Z593">
        <v>6</v>
      </c>
      <c r="AA593">
        <v>4</v>
      </c>
      <c r="AC593" t="s">
        <v>2109</v>
      </c>
      <c r="AH593" t="str">
        <f>IF([2]!Table1[[#This Row],[الوزن]]&lt;&gt;"",[2]!Table1[[#This Row],[الوزن]]-([2]!Table1[[#This Row],[الطول]]-100),"")</f>
        <v/>
      </c>
      <c r="AJ593" t="s">
        <v>2110</v>
      </c>
      <c r="AN593" t="s">
        <v>145</v>
      </c>
    </row>
    <row r="594" spans="1:40" ht="18.75" customHeight="1" x14ac:dyDescent="0.3">
      <c r="A594" s="1">
        <v>2005134700518</v>
      </c>
      <c r="B594" t="s">
        <v>210</v>
      </c>
      <c r="C594" t="s">
        <v>2111</v>
      </c>
      <c r="D594" t="s">
        <v>2104</v>
      </c>
      <c r="E594" t="s">
        <v>447</v>
      </c>
      <c r="F594">
        <v>133</v>
      </c>
      <c r="G594">
        <v>38376</v>
      </c>
      <c r="H594">
        <v>38572</v>
      </c>
      <c r="I594">
        <v>44562</v>
      </c>
      <c r="L594" t="s">
        <v>135</v>
      </c>
      <c r="M594" t="s">
        <v>46</v>
      </c>
      <c r="N594" t="s">
        <v>47</v>
      </c>
      <c r="O594" t="s">
        <v>2112</v>
      </c>
      <c r="P594" t="s">
        <v>49</v>
      </c>
      <c r="R594">
        <v>5</v>
      </c>
      <c r="S594">
        <v>5</v>
      </c>
      <c r="T594">
        <v>0</v>
      </c>
      <c r="U594" t="s">
        <v>2113</v>
      </c>
      <c r="V594" t="s">
        <v>2114</v>
      </c>
      <c r="W594">
        <v>28103161200173</v>
      </c>
      <c r="X594">
        <v>29661</v>
      </c>
      <c r="Y594" t="s">
        <v>103</v>
      </c>
      <c r="Z594">
        <v>3</v>
      </c>
      <c r="AA594">
        <v>1</v>
      </c>
      <c r="AC594" t="s">
        <v>2115</v>
      </c>
      <c r="AH594" t="str">
        <f>IF([2]!Table1[[#This Row],[الوزن]]&lt;&gt;"",[2]!Table1[[#This Row],[الوزن]]-([2]!Table1[[#This Row],[الطول]]-100),"")</f>
        <v/>
      </c>
      <c r="AJ594" t="s">
        <v>2116</v>
      </c>
      <c r="AN594" t="s">
        <v>145</v>
      </c>
    </row>
    <row r="595" spans="1:40" ht="18.75" customHeight="1" x14ac:dyDescent="0.3">
      <c r="A595" s="1">
        <v>2008134700942</v>
      </c>
      <c r="B595" t="s">
        <v>210</v>
      </c>
      <c r="C595" t="s">
        <v>2117</v>
      </c>
      <c r="D595" t="s">
        <v>2104</v>
      </c>
      <c r="E595" t="s">
        <v>447</v>
      </c>
      <c r="F595">
        <v>136</v>
      </c>
      <c r="G595">
        <v>39473</v>
      </c>
      <c r="H595">
        <v>39670</v>
      </c>
      <c r="I595">
        <v>43466</v>
      </c>
      <c r="L595" t="s">
        <v>88</v>
      </c>
      <c r="M595" t="s">
        <v>46</v>
      </c>
      <c r="N595" t="s">
        <v>47</v>
      </c>
      <c r="O595" t="s">
        <v>2118</v>
      </c>
      <c r="Q595" t="s">
        <v>49</v>
      </c>
      <c r="R595">
        <v>4</v>
      </c>
      <c r="S595">
        <v>1</v>
      </c>
      <c r="T595">
        <v>0</v>
      </c>
      <c r="U595" t="s">
        <v>2119</v>
      </c>
      <c r="V595" t="s">
        <v>2120</v>
      </c>
      <c r="W595">
        <v>2861201160399</v>
      </c>
      <c r="X595">
        <v>31747</v>
      </c>
      <c r="Y595" t="s">
        <v>103</v>
      </c>
      <c r="Z595">
        <v>4</v>
      </c>
      <c r="AA595">
        <v>1</v>
      </c>
      <c r="AC595" t="s">
        <v>2121</v>
      </c>
      <c r="AH595" t="str">
        <f>IF([2]!Table1[[#This Row],[الوزن]]&lt;&gt;"",[2]!Table1[[#This Row],[الوزن]]-([2]!Table1[[#This Row],[الطول]]-100),"")</f>
        <v/>
      </c>
      <c r="AJ595" t="s">
        <v>2122</v>
      </c>
      <c r="AN595" t="s">
        <v>145</v>
      </c>
    </row>
    <row r="596" spans="1:40" ht="18.75" customHeight="1" x14ac:dyDescent="0.3">
      <c r="A596" s="1">
        <v>2011134700432</v>
      </c>
      <c r="B596" t="s">
        <v>210</v>
      </c>
      <c r="C596" t="s">
        <v>2123</v>
      </c>
      <c r="D596" t="s">
        <v>2104</v>
      </c>
      <c r="E596" t="s">
        <v>447</v>
      </c>
      <c r="F596">
        <v>145</v>
      </c>
      <c r="G596">
        <v>40558</v>
      </c>
      <c r="H596">
        <v>40754</v>
      </c>
      <c r="I596">
        <v>44562</v>
      </c>
      <c r="L596" t="s">
        <v>135</v>
      </c>
      <c r="M596" t="s">
        <v>46</v>
      </c>
      <c r="N596" t="s">
        <v>47</v>
      </c>
      <c r="O596" t="s">
        <v>2124</v>
      </c>
      <c r="P596" t="s">
        <v>49</v>
      </c>
      <c r="R596">
        <v>0</v>
      </c>
      <c r="S596">
        <v>0</v>
      </c>
      <c r="T596">
        <v>0</v>
      </c>
      <c r="U596" t="s">
        <v>2125</v>
      </c>
      <c r="V596" t="s">
        <v>2126</v>
      </c>
      <c r="W596">
        <v>29208171301555</v>
      </c>
      <c r="X596">
        <v>33833</v>
      </c>
      <c r="Y596" t="s">
        <v>103</v>
      </c>
      <c r="Z596">
        <v>3</v>
      </c>
      <c r="AA596">
        <v>1</v>
      </c>
      <c r="AC596" t="s">
        <v>2127</v>
      </c>
      <c r="AH596" t="str">
        <f>IF([2]!Table1[[#This Row],[الوزن]]&lt;&gt;"",[2]!Table1[[#This Row],[الوزن]]-([2]!Table1[[#This Row],[الطول]]-100),"")</f>
        <v/>
      </c>
      <c r="AI596" t="s">
        <v>2128</v>
      </c>
      <c r="AJ596" t="s">
        <v>2129</v>
      </c>
      <c r="AN596" t="s">
        <v>145</v>
      </c>
    </row>
    <row r="597" spans="1:40" ht="18.75" customHeight="1" x14ac:dyDescent="0.3">
      <c r="A597" s="1">
        <v>2012134792114</v>
      </c>
      <c r="B597" t="s">
        <v>66</v>
      </c>
      <c r="C597" t="s">
        <v>2130</v>
      </c>
      <c r="D597" t="s">
        <v>2104</v>
      </c>
      <c r="E597" t="s">
        <v>447</v>
      </c>
      <c r="F597" t="s">
        <v>68</v>
      </c>
      <c r="G597">
        <v>41154</v>
      </c>
      <c r="H597">
        <v>41155</v>
      </c>
      <c r="I597">
        <v>44927</v>
      </c>
      <c r="L597" t="s">
        <v>135</v>
      </c>
      <c r="M597" t="s">
        <v>46</v>
      </c>
      <c r="N597" t="s">
        <v>47</v>
      </c>
      <c r="O597" t="s">
        <v>48</v>
      </c>
      <c r="P597" t="s">
        <v>49</v>
      </c>
      <c r="R597">
        <v>0</v>
      </c>
      <c r="S597">
        <v>0</v>
      </c>
      <c r="T597">
        <v>0</v>
      </c>
      <c r="U597" t="s">
        <v>2131</v>
      </c>
      <c r="V597" t="s">
        <v>2132</v>
      </c>
      <c r="W597">
        <v>29705221600633</v>
      </c>
      <c r="X597">
        <v>35572</v>
      </c>
      <c r="Y597" t="s">
        <v>103</v>
      </c>
      <c r="Z597">
        <v>1</v>
      </c>
      <c r="AA597">
        <v>1</v>
      </c>
      <c r="AC597" t="s">
        <v>2058</v>
      </c>
      <c r="AH597" t="str">
        <f>IF([2]!Table1[[#This Row],[الوزن]]&lt;&gt;"",[2]!Table1[[#This Row],[الوزن]]-([2]!Table1[[#This Row],[الطول]]-100),"")</f>
        <v/>
      </c>
      <c r="AJ597" t="s">
        <v>2133</v>
      </c>
      <c r="AN597" t="s">
        <v>145</v>
      </c>
    </row>
    <row r="598" spans="1:40" ht="18.75" customHeight="1" x14ac:dyDescent="0.3">
      <c r="A598" s="1">
        <v>2014134703836</v>
      </c>
      <c r="B598" t="s">
        <v>106</v>
      </c>
      <c r="C598" t="s">
        <v>2134</v>
      </c>
      <c r="D598" t="s">
        <v>2104</v>
      </c>
      <c r="E598" t="s">
        <v>447</v>
      </c>
      <c r="F598">
        <v>153</v>
      </c>
      <c r="G598">
        <v>41853</v>
      </c>
      <c r="H598">
        <v>42501</v>
      </c>
      <c r="I598">
        <v>44378</v>
      </c>
      <c r="L598" t="s">
        <v>135</v>
      </c>
      <c r="M598" t="s">
        <v>46</v>
      </c>
      <c r="N598" t="s">
        <v>47</v>
      </c>
      <c r="O598" t="s">
        <v>2135</v>
      </c>
      <c r="P598" t="s">
        <v>49</v>
      </c>
      <c r="R598">
        <v>1</v>
      </c>
      <c r="S598">
        <v>0</v>
      </c>
      <c r="T598">
        <v>1</v>
      </c>
      <c r="U598" t="s">
        <v>2136</v>
      </c>
      <c r="V598" t="s">
        <v>2137</v>
      </c>
      <c r="W598">
        <v>29303011403095</v>
      </c>
      <c r="X598">
        <v>34029</v>
      </c>
      <c r="Y598" t="s">
        <v>103</v>
      </c>
      <c r="Z598">
        <v>2</v>
      </c>
      <c r="AA598">
        <v>0</v>
      </c>
      <c r="AC598" t="s">
        <v>2138</v>
      </c>
      <c r="AH598" t="str">
        <f>IF([2]!Table1[[#This Row],[الوزن]]&lt;&gt;"",[2]!Table1[[#This Row],[الوزن]]-([2]!Table1[[#This Row],[الطول]]-100),"")</f>
        <v/>
      </c>
      <c r="AJ598" t="s">
        <v>2139</v>
      </c>
      <c r="AN598" t="s">
        <v>145</v>
      </c>
    </row>
    <row r="599" spans="1:40" ht="18.75" customHeight="1" x14ac:dyDescent="0.3">
      <c r="A599" s="1">
        <v>2015134704866</v>
      </c>
      <c r="B599" t="s">
        <v>106</v>
      </c>
      <c r="C599" t="s">
        <v>2140</v>
      </c>
      <c r="D599" t="s">
        <v>2104</v>
      </c>
      <c r="E599" t="s">
        <v>447</v>
      </c>
      <c r="F599">
        <v>153</v>
      </c>
      <c r="G599">
        <v>42030</v>
      </c>
      <c r="H599">
        <v>42501</v>
      </c>
      <c r="I599">
        <v>44378</v>
      </c>
      <c r="L599" t="s">
        <v>135</v>
      </c>
      <c r="M599" t="s">
        <v>46</v>
      </c>
      <c r="N599" t="s">
        <v>47</v>
      </c>
      <c r="O599" t="s">
        <v>48</v>
      </c>
      <c r="P599" t="s">
        <v>49</v>
      </c>
      <c r="R599">
        <v>1</v>
      </c>
      <c r="S599">
        <v>0</v>
      </c>
      <c r="T599">
        <v>0</v>
      </c>
      <c r="U599" t="s">
        <v>2141</v>
      </c>
      <c r="V599" t="s">
        <v>2142</v>
      </c>
      <c r="W599">
        <v>29503011708553</v>
      </c>
      <c r="X599">
        <v>34759</v>
      </c>
      <c r="Y599" t="s">
        <v>103</v>
      </c>
      <c r="Z599">
        <v>1</v>
      </c>
      <c r="AA599">
        <v>1</v>
      </c>
      <c r="AC599" t="s">
        <v>2143</v>
      </c>
      <c r="AH599" t="str">
        <f>IF([2]!Table1[[#This Row],[الوزن]]&lt;&gt;"",[2]!Table1[[#This Row],[الوزن]]-([2]!Table1[[#This Row],[الطول]]-100),"")</f>
        <v/>
      </c>
      <c r="AJ599" t="s">
        <v>2144</v>
      </c>
      <c r="AN599" t="s">
        <v>145</v>
      </c>
    </row>
    <row r="600" spans="1:40" ht="18.75" customHeight="1" x14ac:dyDescent="0.3">
      <c r="A600" s="1">
        <v>2015134709080</v>
      </c>
      <c r="B600" t="s">
        <v>106</v>
      </c>
      <c r="C600" t="s">
        <v>2145</v>
      </c>
      <c r="D600" t="s">
        <v>2104</v>
      </c>
      <c r="E600" t="s">
        <v>447</v>
      </c>
      <c r="F600">
        <v>154</v>
      </c>
      <c r="G600">
        <v>42224</v>
      </c>
      <c r="H600">
        <v>42790</v>
      </c>
      <c r="I600">
        <v>44743</v>
      </c>
      <c r="L600" t="s">
        <v>135</v>
      </c>
      <c r="M600" t="s">
        <v>46</v>
      </c>
      <c r="N600" t="s">
        <v>47</v>
      </c>
      <c r="O600" t="s">
        <v>2146</v>
      </c>
      <c r="P600" t="s">
        <v>49</v>
      </c>
      <c r="R600">
        <v>3</v>
      </c>
      <c r="S600">
        <v>0</v>
      </c>
      <c r="T600">
        <v>0</v>
      </c>
      <c r="U600" t="s">
        <v>2147</v>
      </c>
      <c r="V600" t="s">
        <v>2148</v>
      </c>
      <c r="W600">
        <v>29806011803478</v>
      </c>
      <c r="X600">
        <v>35947</v>
      </c>
      <c r="Y600" t="s">
        <v>103</v>
      </c>
      <c r="Z600">
        <v>2</v>
      </c>
      <c r="AA600">
        <v>2</v>
      </c>
      <c r="AC600" t="s">
        <v>2149</v>
      </c>
      <c r="AH600" t="str">
        <f>IF([2]!Table1[[#This Row],[الوزن]]&lt;&gt;"",[2]!Table1[[#This Row],[الوزن]]-([2]!Table1[[#This Row],[الطول]]-100),"")</f>
        <v/>
      </c>
      <c r="AJ600" t="s">
        <v>2150</v>
      </c>
      <c r="AN600" t="s">
        <v>145</v>
      </c>
    </row>
    <row r="601" spans="1:40" ht="18.75" customHeight="1" x14ac:dyDescent="0.3">
      <c r="A601" s="1">
        <v>2015134710053</v>
      </c>
      <c r="B601" t="s">
        <v>106</v>
      </c>
      <c r="C601" t="s">
        <v>2151</v>
      </c>
      <c r="D601" t="s">
        <v>2104</v>
      </c>
      <c r="E601" t="s">
        <v>447</v>
      </c>
      <c r="F601">
        <v>154</v>
      </c>
      <c r="G601">
        <v>42224</v>
      </c>
      <c r="H601">
        <v>42790</v>
      </c>
      <c r="I601">
        <v>44743</v>
      </c>
      <c r="L601" t="s">
        <v>135</v>
      </c>
      <c r="M601" t="s">
        <v>46</v>
      </c>
      <c r="N601" t="s">
        <v>47</v>
      </c>
      <c r="O601" t="s">
        <v>108</v>
      </c>
      <c r="P601" t="s">
        <v>49</v>
      </c>
      <c r="R601">
        <v>11</v>
      </c>
      <c r="S601">
        <v>1</v>
      </c>
      <c r="T601">
        <v>0</v>
      </c>
      <c r="U601" t="s">
        <v>2152</v>
      </c>
      <c r="V601" t="s">
        <v>2153</v>
      </c>
      <c r="W601">
        <v>29806021600079</v>
      </c>
      <c r="X601">
        <v>35948</v>
      </c>
      <c r="Y601" t="s">
        <v>153</v>
      </c>
      <c r="Z601">
        <v>0</v>
      </c>
      <c r="AA601">
        <v>0</v>
      </c>
      <c r="AC601" t="s">
        <v>582</v>
      </c>
      <c r="AH601" t="str">
        <f>IF([2]!Table1[[#This Row],[الوزن]]&lt;&gt;"",[2]!Table1[[#This Row],[الوزن]]-([2]!Table1[[#This Row],[الطول]]-100),"")</f>
        <v/>
      </c>
      <c r="AJ601" t="s">
        <v>2154</v>
      </c>
      <c r="AN601" t="s">
        <v>145</v>
      </c>
    </row>
    <row r="602" spans="1:40" ht="18.75" customHeight="1" x14ac:dyDescent="0.3">
      <c r="A602" s="1">
        <v>2018134700488</v>
      </c>
      <c r="B602" t="s">
        <v>75</v>
      </c>
      <c r="C602" t="s">
        <v>2155</v>
      </c>
      <c r="D602" t="s">
        <v>2104</v>
      </c>
      <c r="E602" t="s">
        <v>447</v>
      </c>
      <c r="F602">
        <v>158</v>
      </c>
      <c r="G602">
        <v>43279</v>
      </c>
      <c r="H602">
        <v>44117</v>
      </c>
      <c r="I602">
        <v>44117</v>
      </c>
      <c r="L602" t="s">
        <v>135</v>
      </c>
      <c r="M602" t="s">
        <v>46</v>
      </c>
      <c r="N602" t="s">
        <v>47</v>
      </c>
      <c r="O602" t="s">
        <v>48</v>
      </c>
      <c r="P602" t="s">
        <v>49</v>
      </c>
      <c r="R602">
        <v>0</v>
      </c>
      <c r="S602">
        <v>0</v>
      </c>
      <c r="T602">
        <v>0</v>
      </c>
      <c r="U602" t="s">
        <v>2156</v>
      </c>
      <c r="V602" t="s">
        <v>2157</v>
      </c>
      <c r="W602">
        <v>29802011407194</v>
      </c>
      <c r="X602">
        <v>35827</v>
      </c>
      <c r="Y602" t="s">
        <v>103</v>
      </c>
      <c r="Z602">
        <v>1</v>
      </c>
      <c r="AA602">
        <v>1</v>
      </c>
      <c r="AC602" t="s">
        <v>2158</v>
      </c>
      <c r="AH602" t="str">
        <f>IF([2]!Table1[[#This Row],[الوزن]]&lt;&gt;"",[2]!Table1[[#This Row],[الوزن]]-([2]!Table1[[#This Row],[الطول]]-100),"")</f>
        <v/>
      </c>
      <c r="AJ602" t="s">
        <v>2150</v>
      </c>
      <c r="AN602" t="s">
        <v>145</v>
      </c>
    </row>
    <row r="603" spans="1:40" ht="18.75" customHeight="1" x14ac:dyDescent="0.3">
      <c r="A603" s="1">
        <v>2018134702070</v>
      </c>
      <c r="B603" t="s">
        <v>75</v>
      </c>
      <c r="C603" t="s">
        <v>2159</v>
      </c>
      <c r="D603" t="s">
        <v>2104</v>
      </c>
      <c r="E603" t="s">
        <v>447</v>
      </c>
      <c r="F603">
        <v>158</v>
      </c>
      <c r="G603">
        <v>43279</v>
      </c>
      <c r="H603">
        <v>44117</v>
      </c>
      <c r="I603">
        <v>44117</v>
      </c>
      <c r="L603" t="s">
        <v>135</v>
      </c>
      <c r="M603" t="s">
        <v>46</v>
      </c>
      <c r="N603" t="s">
        <v>47</v>
      </c>
      <c r="O603" t="s">
        <v>2160</v>
      </c>
      <c r="P603" t="s">
        <v>49</v>
      </c>
      <c r="R603">
        <v>0</v>
      </c>
      <c r="S603">
        <v>0</v>
      </c>
      <c r="T603">
        <v>0</v>
      </c>
      <c r="U603" t="s">
        <v>2161</v>
      </c>
      <c r="V603" t="s">
        <v>2162</v>
      </c>
      <c r="W603">
        <v>29701232300997</v>
      </c>
      <c r="X603">
        <v>35453</v>
      </c>
      <c r="Y603" t="s">
        <v>103</v>
      </c>
      <c r="Z603">
        <v>1</v>
      </c>
      <c r="AA603">
        <v>0</v>
      </c>
      <c r="AC603" t="s">
        <v>2163</v>
      </c>
      <c r="AH603" t="str">
        <f>IF([2]!Table1[[#This Row],[الوزن]]&lt;&gt;"",[2]!Table1[[#This Row],[الوزن]]-([2]!Table1[[#This Row],[الطول]]-100),"")</f>
        <v/>
      </c>
      <c r="AJ603" t="s">
        <v>2164</v>
      </c>
      <c r="AN603" t="s">
        <v>145</v>
      </c>
    </row>
    <row r="604" spans="1:40" ht="18.75" customHeight="1" x14ac:dyDescent="0.3">
      <c r="A604" s="1">
        <v>2018134708557</v>
      </c>
      <c r="B604" t="s">
        <v>106</v>
      </c>
      <c r="C604" t="s">
        <v>2165</v>
      </c>
      <c r="D604" t="s">
        <v>2104</v>
      </c>
      <c r="E604" t="s">
        <v>447</v>
      </c>
      <c r="F604">
        <v>158</v>
      </c>
      <c r="G604">
        <v>43279</v>
      </c>
      <c r="H604">
        <v>44117</v>
      </c>
      <c r="I604">
        <v>44117</v>
      </c>
      <c r="L604" t="s">
        <v>135</v>
      </c>
      <c r="M604" t="s">
        <v>46</v>
      </c>
      <c r="N604" t="s">
        <v>47</v>
      </c>
      <c r="O604" t="s">
        <v>2135</v>
      </c>
      <c r="P604" t="s">
        <v>49</v>
      </c>
      <c r="R604">
        <v>1</v>
      </c>
      <c r="S604">
        <v>0</v>
      </c>
      <c r="T604">
        <v>0</v>
      </c>
      <c r="U604" t="s">
        <v>2166</v>
      </c>
      <c r="V604" t="s">
        <v>2167</v>
      </c>
      <c r="W604">
        <v>2961109270079</v>
      </c>
      <c r="X604">
        <v>35375</v>
      </c>
      <c r="Y604" t="s">
        <v>103</v>
      </c>
      <c r="Z604">
        <v>1</v>
      </c>
      <c r="AA604">
        <v>1</v>
      </c>
      <c r="AC604" t="s">
        <v>2168</v>
      </c>
      <c r="AH604" t="str">
        <f>IF([2]!Table1[[#This Row],[الوزن]]&lt;&gt;"",[2]!Table1[[#This Row],[الوزن]]-([2]!Table1[[#This Row],[الطول]]-100),"")</f>
        <v/>
      </c>
      <c r="AJ604" t="s">
        <v>2169</v>
      </c>
      <c r="AN604" t="s">
        <v>145</v>
      </c>
    </row>
    <row r="605" spans="1:40" ht="18.75" customHeight="1" x14ac:dyDescent="0.3">
      <c r="A605" s="1">
        <v>2019134700965</v>
      </c>
      <c r="B605" t="s">
        <v>125</v>
      </c>
      <c r="C605" t="s">
        <v>2170</v>
      </c>
      <c r="D605" t="s">
        <v>2104</v>
      </c>
      <c r="E605" t="s">
        <v>447</v>
      </c>
      <c r="F605">
        <v>159</v>
      </c>
      <c r="G605">
        <v>43692</v>
      </c>
      <c r="H605">
        <v>44482</v>
      </c>
      <c r="I605">
        <v>44482</v>
      </c>
      <c r="L605" t="s">
        <v>135</v>
      </c>
      <c r="M605" t="s">
        <v>46</v>
      </c>
      <c r="N605" t="s">
        <v>47</v>
      </c>
      <c r="O605" t="s">
        <v>2171</v>
      </c>
      <c r="P605" t="s">
        <v>49</v>
      </c>
      <c r="R605">
        <v>0</v>
      </c>
      <c r="S605">
        <v>0</v>
      </c>
      <c r="T605">
        <v>0</v>
      </c>
      <c r="U605" t="s">
        <v>2172</v>
      </c>
      <c r="V605" t="s">
        <v>2173</v>
      </c>
      <c r="W605">
        <v>29707150103377</v>
      </c>
      <c r="X605">
        <v>35626</v>
      </c>
      <c r="Y605" t="s">
        <v>103</v>
      </c>
      <c r="Z605">
        <v>1</v>
      </c>
      <c r="AA605">
        <v>0</v>
      </c>
      <c r="AC605" t="s">
        <v>2174</v>
      </c>
      <c r="AH605" t="str">
        <f>IF([2]!Table1[[#This Row],[الوزن]]&lt;&gt;"",[2]!Table1[[#This Row],[الوزن]]-([2]!Table1[[#This Row],[الطول]]-100),"")</f>
        <v/>
      </c>
      <c r="AJ605" t="s">
        <v>2175</v>
      </c>
      <c r="AN605" t="s">
        <v>145</v>
      </c>
    </row>
    <row r="606" spans="1:40" ht="18.75" customHeight="1" x14ac:dyDescent="0.3">
      <c r="A606" s="1">
        <v>2019134700600</v>
      </c>
      <c r="B606" t="s">
        <v>125</v>
      </c>
      <c r="C606" t="s">
        <v>2176</v>
      </c>
      <c r="D606" t="s">
        <v>2104</v>
      </c>
      <c r="E606" t="s">
        <v>447</v>
      </c>
      <c r="F606">
        <v>159</v>
      </c>
      <c r="G606">
        <v>43692</v>
      </c>
      <c r="H606">
        <v>44482</v>
      </c>
      <c r="I606">
        <v>44117</v>
      </c>
      <c r="L606" t="s">
        <v>135</v>
      </c>
      <c r="M606" t="s">
        <v>46</v>
      </c>
      <c r="N606" t="s">
        <v>47</v>
      </c>
      <c r="O606" t="s">
        <v>2177</v>
      </c>
      <c r="P606" t="s">
        <v>49</v>
      </c>
      <c r="R606">
        <v>0</v>
      </c>
      <c r="S606">
        <v>0</v>
      </c>
      <c r="T606">
        <v>0</v>
      </c>
      <c r="U606" t="s">
        <v>2178</v>
      </c>
      <c r="V606" t="s">
        <v>2179</v>
      </c>
      <c r="W606">
        <v>29903081400856</v>
      </c>
      <c r="X606">
        <v>36227</v>
      </c>
      <c r="Y606" t="s">
        <v>103</v>
      </c>
      <c r="Z606">
        <v>1</v>
      </c>
      <c r="AA606">
        <v>0</v>
      </c>
      <c r="AC606" t="s">
        <v>2174</v>
      </c>
      <c r="AH606" t="str">
        <f>IF([2]!Table1[[#This Row],[الوزن]]&lt;&gt;"",[2]!Table1[[#This Row],[الوزن]]-([2]!Table1[[#This Row],[الطول]]-100),"")</f>
        <v/>
      </c>
      <c r="AJ606" t="s">
        <v>2180</v>
      </c>
      <c r="AN606" t="s">
        <v>145</v>
      </c>
    </row>
    <row r="607" spans="1:40" ht="18.75" customHeight="1" x14ac:dyDescent="0.3">
      <c r="A607" s="1">
        <v>2021134701760</v>
      </c>
      <c r="B607" t="s">
        <v>125</v>
      </c>
      <c r="C607" t="s">
        <v>2181</v>
      </c>
      <c r="D607" t="s">
        <v>2104</v>
      </c>
      <c r="E607" t="s">
        <v>447</v>
      </c>
      <c r="F607">
        <v>160</v>
      </c>
      <c r="G607">
        <v>44205</v>
      </c>
      <c r="H607">
        <v>45197</v>
      </c>
      <c r="I607">
        <v>45197</v>
      </c>
      <c r="L607" t="s">
        <v>135</v>
      </c>
      <c r="M607" t="s">
        <v>46</v>
      </c>
      <c r="N607" t="s">
        <v>47</v>
      </c>
      <c r="O607" t="s">
        <v>2171</v>
      </c>
      <c r="Q607" t="s">
        <v>49</v>
      </c>
      <c r="R607">
        <v>3</v>
      </c>
      <c r="S607">
        <v>0</v>
      </c>
      <c r="T607">
        <v>0</v>
      </c>
      <c r="U607" t="s">
        <v>2182</v>
      </c>
      <c r="V607" t="s">
        <v>2183</v>
      </c>
      <c r="W607">
        <v>30108201805651</v>
      </c>
      <c r="X607">
        <v>37123</v>
      </c>
      <c r="Y607" t="s">
        <v>550</v>
      </c>
      <c r="Z607">
        <v>0</v>
      </c>
      <c r="AA607">
        <v>0</v>
      </c>
      <c r="AC607" t="s">
        <v>2184</v>
      </c>
      <c r="AH607" t="str">
        <f>IF([2]!Table1[[#This Row],[الوزن]]&lt;&gt;"",[2]!Table1[[#This Row],[الوزن]]-([2]!Table1[[#This Row],[الطول]]-100),"")</f>
        <v/>
      </c>
      <c r="AJ607" t="s">
        <v>280</v>
      </c>
      <c r="AN607" t="s">
        <v>145</v>
      </c>
    </row>
    <row r="608" spans="1:40" ht="18.75" customHeight="1" x14ac:dyDescent="0.3">
      <c r="A608" s="1">
        <v>2021134702669</v>
      </c>
      <c r="B608" t="s">
        <v>125</v>
      </c>
      <c r="C608" t="s">
        <v>2185</v>
      </c>
      <c r="D608" t="s">
        <v>2104</v>
      </c>
      <c r="E608" t="s">
        <v>447</v>
      </c>
      <c r="F608">
        <v>160</v>
      </c>
      <c r="G608">
        <v>44205</v>
      </c>
      <c r="H608">
        <v>45197</v>
      </c>
      <c r="I608">
        <v>45197</v>
      </c>
      <c r="L608" t="s">
        <v>135</v>
      </c>
      <c r="M608" t="s">
        <v>46</v>
      </c>
      <c r="N608" t="s">
        <v>47</v>
      </c>
      <c r="O608" t="s">
        <v>48</v>
      </c>
      <c r="Q608" t="s">
        <v>49</v>
      </c>
      <c r="R608">
        <v>1</v>
      </c>
      <c r="S608">
        <v>0</v>
      </c>
      <c r="T608">
        <v>0</v>
      </c>
      <c r="U608" t="s">
        <v>2186</v>
      </c>
      <c r="V608" t="s">
        <v>2187</v>
      </c>
      <c r="W608">
        <v>30011251301014</v>
      </c>
      <c r="X608">
        <v>36855</v>
      </c>
      <c r="Y608" t="s">
        <v>51</v>
      </c>
      <c r="Z608">
        <v>0</v>
      </c>
      <c r="AA608">
        <v>0</v>
      </c>
      <c r="AC608" t="s">
        <v>2188</v>
      </c>
      <c r="AH608" t="str">
        <f>IF([2]!Table1[[#This Row],[الوزن]]&lt;&gt;"",[2]!Table1[[#This Row],[الوزن]]-([2]!Table1[[#This Row],[الطول]]-100),"")</f>
        <v/>
      </c>
      <c r="AJ608" t="s">
        <v>280</v>
      </c>
      <c r="AN608" t="s">
        <v>145</v>
      </c>
    </row>
    <row r="609" spans="1:40" ht="18.75" customHeight="1" x14ac:dyDescent="0.3">
      <c r="A609" s="1">
        <v>2021134704227</v>
      </c>
      <c r="B609" t="s">
        <v>125</v>
      </c>
      <c r="C609" t="s">
        <v>2189</v>
      </c>
      <c r="D609" t="s">
        <v>2104</v>
      </c>
      <c r="E609" t="s">
        <v>447</v>
      </c>
      <c r="F609">
        <v>160</v>
      </c>
      <c r="G609">
        <v>44205</v>
      </c>
      <c r="H609">
        <v>45197</v>
      </c>
      <c r="I609">
        <v>45197</v>
      </c>
      <c r="L609" t="s">
        <v>135</v>
      </c>
      <c r="M609" t="s">
        <v>46</v>
      </c>
      <c r="N609" t="s">
        <v>47</v>
      </c>
      <c r="O609" t="s">
        <v>2190</v>
      </c>
      <c r="Q609" t="s">
        <v>49</v>
      </c>
      <c r="R609">
        <v>2</v>
      </c>
      <c r="S609">
        <v>0</v>
      </c>
      <c r="T609">
        <v>0</v>
      </c>
      <c r="U609" t="s">
        <v>2191</v>
      </c>
      <c r="V609" t="s">
        <v>2192</v>
      </c>
      <c r="W609">
        <v>29705011300696</v>
      </c>
      <c r="X609">
        <v>35551</v>
      </c>
      <c r="Y609" t="s">
        <v>153</v>
      </c>
      <c r="Z609">
        <v>0</v>
      </c>
      <c r="AA609">
        <v>0</v>
      </c>
      <c r="AC609" t="s">
        <v>2193</v>
      </c>
      <c r="AH609" t="str">
        <f>IF([2]!Table1[[#This Row],[الوزن]]&lt;&gt;"",[2]!Table1[[#This Row],[الوزن]]-([2]!Table1[[#This Row],[الطول]]-100),"")</f>
        <v/>
      </c>
      <c r="AJ609" t="s">
        <v>280</v>
      </c>
      <c r="AN609" t="s">
        <v>145</v>
      </c>
    </row>
    <row r="610" spans="1:40" ht="18.75" customHeight="1" x14ac:dyDescent="0.3">
      <c r="A610" s="1">
        <v>2021134705118</v>
      </c>
      <c r="B610" t="s">
        <v>125</v>
      </c>
      <c r="C610" t="s">
        <v>2194</v>
      </c>
      <c r="D610" t="s">
        <v>2104</v>
      </c>
      <c r="E610" t="s">
        <v>447</v>
      </c>
      <c r="F610">
        <v>160</v>
      </c>
      <c r="G610">
        <v>44205</v>
      </c>
      <c r="H610">
        <v>45197</v>
      </c>
      <c r="I610">
        <v>45197</v>
      </c>
      <c r="L610" t="s">
        <v>135</v>
      </c>
      <c r="M610" t="s">
        <v>46</v>
      </c>
      <c r="N610" t="s">
        <v>47</v>
      </c>
      <c r="O610" t="s">
        <v>2135</v>
      </c>
      <c r="Q610" t="s">
        <v>49</v>
      </c>
      <c r="R610">
        <v>1</v>
      </c>
      <c r="S610">
        <v>0</v>
      </c>
      <c r="T610">
        <v>0</v>
      </c>
      <c r="U610" t="s">
        <v>2195</v>
      </c>
      <c r="V610" t="s">
        <v>2196</v>
      </c>
      <c r="W610">
        <v>30003211301957</v>
      </c>
      <c r="X610">
        <v>36616</v>
      </c>
      <c r="Y610" t="s">
        <v>153</v>
      </c>
      <c r="Z610">
        <v>0</v>
      </c>
      <c r="AA610">
        <v>0</v>
      </c>
      <c r="AC610" t="s">
        <v>2197</v>
      </c>
      <c r="AH610" t="str">
        <f>IF([2]!Table1[[#This Row],[الوزن]]&lt;&gt;"",[2]!Table1[[#This Row],[الوزن]]-([2]!Table1[[#This Row],[الطول]]-100),"")</f>
        <v/>
      </c>
      <c r="AJ610" t="s">
        <v>280</v>
      </c>
      <c r="AN610" t="s">
        <v>145</v>
      </c>
    </row>
    <row r="611" spans="1:40" ht="18.75" customHeight="1" x14ac:dyDescent="0.3">
      <c r="A611" s="1">
        <v>2023134701063</v>
      </c>
      <c r="B611" t="s">
        <v>125</v>
      </c>
      <c r="C611" t="s">
        <v>2198</v>
      </c>
      <c r="D611" t="s">
        <v>2104</v>
      </c>
      <c r="E611" t="s">
        <v>447</v>
      </c>
      <c r="F611">
        <v>162</v>
      </c>
      <c r="G611">
        <v>44941</v>
      </c>
      <c r="H611">
        <v>45976</v>
      </c>
      <c r="I611">
        <v>45976</v>
      </c>
      <c r="L611" t="s">
        <v>135</v>
      </c>
      <c r="M611" t="s">
        <v>46</v>
      </c>
      <c r="N611" t="s">
        <v>127</v>
      </c>
      <c r="O611" t="s">
        <v>89</v>
      </c>
      <c r="Q611" t="s">
        <v>49</v>
      </c>
      <c r="R611">
        <v>0</v>
      </c>
      <c r="S611">
        <v>0</v>
      </c>
      <c r="T611">
        <v>0</v>
      </c>
      <c r="U611" t="s">
        <v>2199</v>
      </c>
      <c r="V611" t="s">
        <v>2200</v>
      </c>
      <c r="W611">
        <v>30112091801997</v>
      </c>
      <c r="X611">
        <v>37234</v>
      </c>
      <c r="Y611" t="s">
        <v>153</v>
      </c>
      <c r="Z611">
        <v>0</v>
      </c>
      <c r="AA611">
        <v>0</v>
      </c>
      <c r="AC611" t="s">
        <v>2201</v>
      </c>
      <c r="AH611">
        <f>IF([2]!Table1[[#This Row],[الوزن]]&lt;&gt;"",[2]!Table1[[#This Row],[الوزن]]-([2]!Table1[[#This Row],[الطول]]-100),"")</f>
        <v>6</v>
      </c>
      <c r="AN611" t="s">
        <v>625</v>
      </c>
    </row>
    <row r="612" spans="1:40" ht="18.75" customHeight="1" x14ac:dyDescent="0.3">
      <c r="A612" s="1">
        <v>2000134703223</v>
      </c>
      <c r="B612" t="s">
        <v>210</v>
      </c>
      <c r="C612" t="s">
        <v>2202</v>
      </c>
      <c r="D612" t="s">
        <v>2203</v>
      </c>
      <c r="E612" t="s">
        <v>742</v>
      </c>
      <c r="G612">
        <v>36732</v>
      </c>
      <c r="H612">
        <v>37204</v>
      </c>
      <c r="I612">
        <v>44743</v>
      </c>
      <c r="J612">
        <v>41966</v>
      </c>
      <c r="K612">
        <v>44870</v>
      </c>
      <c r="L612" t="s">
        <v>135</v>
      </c>
      <c r="M612" t="s">
        <v>46</v>
      </c>
      <c r="N612" t="s">
        <v>47</v>
      </c>
      <c r="O612" t="s">
        <v>2204</v>
      </c>
      <c r="P612" t="s">
        <v>49</v>
      </c>
      <c r="R612">
        <v>21</v>
      </c>
      <c r="S612">
        <v>1</v>
      </c>
      <c r="T612">
        <v>0</v>
      </c>
      <c r="U612" t="s">
        <v>2205</v>
      </c>
      <c r="V612" t="s">
        <v>2206</v>
      </c>
      <c r="W612">
        <v>27907071701252</v>
      </c>
      <c r="X612">
        <v>29043</v>
      </c>
      <c r="Y612" t="s">
        <v>103</v>
      </c>
      <c r="Z612">
        <v>5</v>
      </c>
      <c r="AA612">
        <v>1</v>
      </c>
      <c r="AB612">
        <v>4</v>
      </c>
      <c r="AC612" t="s">
        <v>2207</v>
      </c>
      <c r="AD612" t="s">
        <v>1111</v>
      </c>
      <c r="AE612" t="s">
        <v>2208</v>
      </c>
      <c r="AF612">
        <v>76</v>
      </c>
      <c r="AG612">
        <v>170</v>
      </c>
      <c r="AH612" t="s">
        <v>787</v>
      </c>
      <c r="AJ612" t="s">
        <v>2209</v>
      </c>
      <c r="AN612" t="s">
        <v>145</v>
      </c>
    </row>
    <row r="613" spans="1:40" ht="18.75" customHeight="1" x14ac:dyDescent="0.3">
      <c r="A613" s="1">
        <v>2001134700524</v>
      </c>
      <c r="B613" t="s">
        <v>210</v>
      </c>
      <c r="C613" t="s">
        <v>2210</v>
      </c>
      <c r="D613" t="s">
        <v>2203</v>
      </c>
      <c r="E613" t="s">
        <v>742</v>
      </c>
      <c r="G613">
        <v>36911</v>
      </c>
      <c r="H613">
        <v>37380</v>
      </c>
      <c r="I613">
        <v>44743</v>
      </c>
      <c r="K613">
        <v>44886</v>
      </c>
      <c r="L613" t="s">
        <v>135</v>
      </c>
      <c r="R613">
        <v>10</v>
      </c>
      <c r="S613">
        <v>1</v>
      </c>
      <c r="T613">
        <v>0</v>
      </c>
      <c r="U613" t="s">
        <v>2211</v>
      </c>
      <c r="V613" t="s">
        <v>2212</v>
      </c>
      <c r="W613">
        <v>28012261700151</v>
      </c>
      <c r="X613">
        <v>29581</v>
      </c>
      <c r="Y613" t="s">
        <v>103</v>
      </c>
      <c r="Z613">
        <v>3</v>
      </c>
      <c r="AA613">
        <v>2</v>
      </c>
      <c r="AB613">
        <v>1</v>
      </c>
      <c r="AC613" t="s">
        <v>2213</v>
      </c>
      <c r="AD613" t="s">
        <v>347</v>
      </c>
      <c r="AE613" t="s">
        <v>167</v>
      </c>
      <c r="AF613">
        <v>60</v>
      </c>
      <c r="AG613">
        <v>165</v>
      </c>
      <c r="AH613" t="s">
        <v>787</v>
      </c>
      <c r="AI613" t="s">
        <v>298</v>
      </c>
      <c r="AJ613" t="s">
        <v>2214</v>
      </c>
      <c r="AN613" t="s">
        <v>145</v>
      </c>
    </row>
    <row r="614" spans="1:40" ht="18.75" customHeight="1" x14ac:dyDescent="0.3">
      <c r="A614" s="1">
        <v>2002134702338</v>
      </c>
      <c r="B614" t="s">
        <v>210</v>
      </c>
      <c r="C614" t="s">
        <v>2215</v>
      </c>
      <c r="D614" t="s">
        <v>2203</v>
      </c>
      <c r="E614" t="s">
        <v>742</v>
      </c>
      <c r="G614">
        <v>37440</v>
      </c>
      <c r="H614">
        <v>37912</v>
      </c>
      <c r="I614">
        <v>46023</v>
      </c>
      <c r="J614">
        <v>37964</v>
      </c>
      <c r="K614">
        <v>45970</v>
      </c>
      <c r="L614" t="s">
        <v>135</v>
      </c>
      <c r="M614" t="s">
        <v>46</v>
      </c>
      <c r="N614" t="s">
        <v>47</v>
      </c>
      <c r="O614" t="s">
        <v>2216</v>
      </c>
      <c r="Q614" t="s">
        <v>49</v>
      </c>
      <c r="R614">
        <v>15</v>
      </c>
      <c r="S614">
        <v>3</v>
      </c>
      <c r="T614">
        <v>1</v>
      </c>
      <c r="U614" t="s">
        <v>2217</v>
      </c>
      <c r="W614">
        <v>28110192600354</v>
      </c>
      <c r="X614">
        <v>29878</v>
      </c>
      <c r="Y614" t="s">
        <v>406</v>
      </c>
      <c r="Z614">
        <v>0</v>
      </c>
      <c r="AA614">
        <v>0</v>
      </c>
      <c r="AB614">
        <v>0</v>
      </c>
      <c r="AC614" t="s">
        <v>2218</v>
      </c>
      <c r="AD614" t="s">
        <v>2219</v>
      </c>
      <c r="AE614" t="s">
        <v>803</v>
      </c>
      <c r="AF614">
        <v>85</v>
      </c>
      <c r="AG614">
        <v>179</v>
      </c>
      <c r="AH614" t="s">
        <v>787</v>
      </c>
      <c r="AJ614" t="s">
        <v>2220</v>
      </c>
      <c r="AN614" t="s">
        <v>145</v>
      </c>
    </row>
    <row r="615" spans="1:40" ht="18.75" customHeight="1" x14ac:dyDescent="0.3">
      <c r="A615" s="1">
        <v>2008134702766</v>
      </c>
      <c r="B615" t="s">
        <v>210</v>
      </c>
      <c r="C615" t="s">
        <v>2221</v>
      </c>
      <c r="D615" t="s">
        <v>2203</v>
      </c>
      <c r="E615" t="s">
        <v>742</v>
      </c>
      <c r="F615">
        <v>140</v>
      </c>
      <c r="G615">
        <v>39655</v>
      </c>
      <c r="H615">
        <v>39854</v>
      </c>
      <c r="I615">
        <v>43647</v>
      </c>
      <c r="J615">
        <v>42682</v>
      </c>
      <c r="K615">
        <v>44138</v>
      </c>
      <c r="L615" t="s">
        <v>135</v>
      </c>
      <c r="M615" t="s">
        <v>46</v>
      </c>
      <c r="N615" t="s">
        <v>47</v>
      </c>
      <c r="O615" t="s">
        <v>2222</v>
      </c>
      <c r="Q615" t="s">
        <v>49</v>
      </c>
      <c r="R615">
        <v>3</v>
      </c>
      <c r="S615">
        <v>0</v>
      </c>
      <c r="T615">
        <v>0</v>
      </c>
      <c r="U615" t="s">
        <v>2223</v>
      </c>
      <c r="V615" t="s">
        <v>2224</v>
      </c>
      <c r="W615">
        <v>28708111800616</v>
      </c>
      <c r="X615">
        <v>32000</v>
      </c>
      <c r="Y615" t="s">
        <v>103</v>
      </c>
      <c r="Z615">
        <v>3</v>
      </c>
      <c r="AA615">
        <v>1</v>
      </c>
      <c r="AB615">
        <v>2</v>
      </c>
      <c r="AC615" t="s">
        <v>2225</v>
      </c>
      <c r="AD615" t="s">
        <v>184</v>
      </c>
      <c r="AE615" t="s">
        <v>54</v>
      </c>
      <c r="AF615">
        <v>85</v>
      </c>
      <c r="AG615">
        <v>184</v>
      </c>
      <c r="AH615" t="s">
        <v>787</v>
      </c>
      <c r="AI615" t="s">
        <v>298</v>
      </c>
      <c r="AJ615" t="s">
        <v>2226</v>
      </c>
      <c r="AN615" t="s">
        <v>145</v>
      </c>
    </row>
    <row r="616" spans="1:40" ht="18.75" customHeight="1" x14ac:dyDescent="0.3">
      <c r="A616" s="1">
        <v>2015134704626</v>
      </c>
      <c r="B616" t="s">
        <v>106</v>
      </c>
      <c r="C616" t="s">
        <v>2227</v>
      </c>
      <c r="D616" t="s">
        <v>2203</v>
      </c>
      <c r="E616" t="s">
        <v>742</v>
      </c>
      <c r="F616">
        <v>153</v>
      </c>
      <c r="G616">
        <v>42030</v>
      </c>
      <c r="H616">
        <v>42501</v>
      </c>
      <c r="I616">
        <v>44378</v>
      </c>
      <c r="J616">
        <v>44881</v>
      </c>
      <c r="K616">
        <v>44881</v>
      </c>
      <c r="L616" t="s">
        <v>135</v>
      </c>
      <c r="M616" t="s">
        <v>46</v>
      </c>
      <c r="N616" t="s">
        <v>47</v>
      </c>
      <c r="O616" t="s">
        <v>48</v>
      </c>
      <c r="P616" t="s">
        <v>49</v>
      </c>
      <c r="R616">
        <v>1</v>
      </c>
      <c r="S616">
        <v>0</v>
      </c>
      <c r="T616">
        <v>0</v>
      </c>
      <c r="U616" t="s">
        <v>2228</v>
      </c>
      <c r="V616" t="s">
        <v>2229</v>
      </c>
      <c r="W616">
        <v>29603011601672</v>
      </c>
      <c r="X616">
        <v>35125</v>
      </c>
      <c r="Y616" t="s">
        <v>103</v>
      </c>
      <c r="Z616">
        <v>2</v>
      </c>
      <c r="AA616">
        <v>0</v>
      </c>
      <c r="AB616">
        <v>2</v>
      </c>
      <c r="AC616" t="s">
        <v>428</v>
      </c>
      <c r="AD616" t="s">
        <v>429</v>
      </c>
      <c r="AE616" t="s">
        <v>73</v>
      </c>
      <c r="AF616">
        <v>61</v>
      </c>
      <c r="AG616">
        <v>166</v>
      </c>
      <c r="AH616" t="s">
        <v>787</v>
      </c>
      <c r="AJ616" t="s">
        <v>2230</v>
      </c>
      <c r="AN616" t="s">
        <v>145</v>
      </c>
    </row>
    <row r="617" spans="1:40" ht="18.75" customHeight="1" x14ac:dyDescent="0.3">
      <c r="A617" s="1">
        <v>2015134711522</v>
      </c>
      <c r="B617" t="s">
        <v>106</v>
      </c>
      <c r="C617" t="s">
        <v>2231</v>
      </c>
      <c r="D617" t="s">
        <v>2203</v>
      </c>
      <c r="E617" t="s">
        <v>742</v>
      </c>
      <c r="F617">
        <v>154</v>
      </c>
      <c r="G617">
        <v>42224</v>
      </c>
      <c r="H617">
        <v>42790</v>
      </c>
      <c r="I617">
        <v>44213</v>
      </c>
      <c r="J617">
        <v>45586</v>
      </c>
      <c r="K617">
        <v>45586</v>
      </c>
      <c r="L617" t="s">
        <v>135</v>
      </c>
      <c r="M617" t="s">
        <v>46</v>
      </c>
      <c r="N617" t="s">
        <v>47</v>
      </c>
      <c r="O617" t="s">
        <v>48</v>
      </c>
      <c r="P617" t="s">
        <v>49</v>
      </c>
      <c r="R617">
        <v>8</v>
      </c>
      <c r="S617">
        <v>0</v>
      </c>
      <c r="T617">
        <v>0</v>
      </c>
      <c r="U617" t="s">
        <v>2232</v>
      </c>
      <c r="V617" t="s">
        <v>2233</v>
      </c>
      <c r="W617">
        <v>2990911205833</v>
      </c>
      <c r="X617">
        <v>36404</v>
      </c>
      <c r="Y617" t="s">
        <v>103</v>
      </c>
      <c r="Z617">
        <v>1</v>
      </c>
      <c r="AA617">
        <v>0</v>
      </c>
      <c r="AB617">
        <v>1</v>
      </c>
      <c r="AC617" t="s">
        <v>2002</v>
      </c>
      <c r="AD617" t="s">
        <v>1293</v>
      </c>
      <c r="AE617" t="s">
        <v>118</v>
      </c>
      <c r="AF617">
        <v>70</v>
      </c>
      <c r="AG617">
        <v>176</v>
      </c>
      <c r="AH617" t="s">
        <v>787</v>
      </c>
      <c r="AJ617" t="s">
        <v>2150</v>
      </c>
      <c r="AN617" t="s">
        <v>145</v>
      </c>
    </row>
    <row r="618" spans="1:40" ht="18.75" customHeight="1" x14ac:dyDescent="0.3">
      <c r="A618" s="1">
        <v>2017134704531</v>
      </c>
      <c r="B618" t="s">
        <v>75</v>
      </c>
      <c r="C618" t="s">
        <v>2234</v>
      </c>
      <c r="D618" t="s">
        <v>2203</v>
      </c>
      <c r="E618" t="s">
        <v>742</v>
      </c>
      <c r="F618">
        <v>157</v>
      </c>
      <c r="G618">
        <v>42915</v>
      </c>
      <c r="H618">
        <v>43663</v>
      </c>
      <c r="I618">
        <v>45658</v>
      </c>
      <c r="J618">
        <v>45792</v>
      </c>
      <c r="K618">
        <v>45792</v>
      </c>
      <c r="L618" t="s">
        <v>135</v>
      </c>
      <c r="M618" t="s">
        <v>46</v>
      </c>
      <c r="N618" t="s">
        <v>47</v>
      </c>
      <c r="O618" t="s">
        <v>48</v>
      </c>
      <c r="Q618" t="s">
        <v>49</v>
      </c>
      <c r="R618">
        <v>1</v>
      </c>
      <c r="S618">
        <v>1</v>
      </c>
      <c r="T618">
        <v>0</v>
      </c>
      <c r="U618" t="s">
        <v>2235</v>
      </c>
      <c r="W618">
        <v>29306141300599</v>
      </c>
      <c r="X618">
        <v>34134</v>
      </c>
      <c r="Y618" t="s">
        <v>103</v>
      </c>
      <c r="Z618">
        <v>1</v>
      </c>
      <c r="AA618">
        <v>1</v>
      </c>
      <c r="AB618">
        <v>0</v>
      </c>
      <c r="AC618" t="s">
        <v>2236</v>
      </c>
      <c r="AD618" t="s">
        <v>297</v>
      </c>
      <c r="AE618" t="s">
        <v>64</v>
      </c>
      <c r="AF618">
        <v>76</v>
      </c>
      <c r="AG618">
        <v>169</v>
      </c>
      <c r="AH618" t="s">
        <v>787</v>
      </c>
      <c r="AJ618" t="s">
        <v>2237</v>
      </c>
      <c r="AN618" t="s">
        <v>145</v>
      </c>
    </row>
    <row r="619" spans="1:40" ht="18.75" customHeight="1" x14ac:dyDescent="0.3">
      <c r="A619" s="1">
        <v>2018134702202</v>
      </c>
      <c r="B619" t="s">
        <v>75</v>
      </c>
      <c r="C619" t="s">
        <v>2238</v>
      </c>
      <c r="D619" t="s">
        <v>2203</v>
      </c>
      <c r="E619" t="s">
        <v>742</v>
      </c>
      <c r="F619">
        <v>158</v>
      </c>
      <c r="G619">
        <v>43279</v>
      </c>
      <c r="H619">
        <v>44117</v>
      </c>
      <c r="I619">
        <v>46023</v>
      </c>
      <c r="J619">
        <v>44506</v>
      </c>
      <c r="K619">
        <v>45626</v>
      </c>
      <c r="L619" t="s">
        <v>135</v>
      </c>
      <c r="M619" t="s">
        <v>46</v>
      </c>
      <c r="N619" t="s">
        <v>47</v>
      </c>
      <c r="O619" t="s">
        <v>2239</v>
      </c>
      <c r="Q619" t="s">
        <v>49</v>
      </c>
      <c r="R619">
        <v>4</v>
      </c>
      <c r="S619">
        <v>0</v>
      </c>
      <c r="T619">
        <v>0</v>
      </c>
      <c r="U619" t="s">
        <v>2240</v>
      </c>
      <c r="V619" t="s">
        <v>2241</v>
      </c>
      <c r="W619">
        <v>29712012303831</v>
      </c>
      <c r="X619">
        <v>35765</v>
      </c>
      <c r="Y619" t="s">
        <v>103</v>
      </c>
      <c r="Z619">
        <v>2</v>
      </c>
      <c r="AA619">
        <v>1</v>
      </c>
      <c r="AB619">
        <v>1</v>
      </c>
      <c r="AC619" t="s">
        <v>2242</v>
      </c>
      <c r="AD619" t="s">
        <v>2243</v>
      </c>
      <c r="AE619" t="s">
        <v>1138</v>
      </c>
      <c r="AF619">
        <v>65</v>
      </c>
      <c r="AG619">
        <v>178</v>
      </c>
      <c r="AH619" t="s">
        <v>787</v>
      </c>
      <c r="AJ619" t="s">
        <v>2244</v>
      </c>
      <c r="AN619" t="s">
        <v>145</v>
      </c>
    </row>
    <row r="620" spans="1:40" ht="18.75" customHeight="1" x14ac:dyDescent="0.3">
      <c r="A620" s="1">
        <v>2019134702763</v>
      </c>
      <c r="B620" t="s">
        <v>125</v>
      </c>
      <c r="C620" t="s">
        <v>2245</v>
      </c>
      <c r="D620" t="s">
        <v>2203</v>
      </c>
      <c r="E620" t="s">
        <v>742</v>
      </c>
      <c r="F620">
        <v>159</v>
      </c>
      <c r="G620">
        <v>43692</v>
      </c>
      <c r="H620">
        <v>44482</v>
      </c>
      <c r="I620">
        <v>44482</v>
      </c>
      <c r="J620">
        <v>44857</v>
      </c>
      <c r="K620">
        <v>44857</v>
      </c>
      <c r="L620" t="s">
        <v>135</v>
      </c>
      <c r="M620" t="s">
        <v>46</v>
      </c>
      <c r="N620" t="s">
        <v>47</v>
      </c>
      <c r="O620" t="s">
        <v>48</v>
      </c>
      <c r="P620" t="s">
        <v>49</v>
      </c>
      <c r="R620">
        <v>3</v>
      </c>
      <c r="S620">
        <v>0</v>
      </c>
      <c r="T620">
        <v>0</v>
      </c>
      <c r="U620" t="s">
        <v>2246</v>
      </c>
      <c r="V620" t="s">
        <v>2247</v>
      </c>
      <c r="W620">
        <v>29408011902373</v>
      </c>
      <c r="X620">
        <v>34547</v>
      </c>
      <c r="Y620" t="s">
        <v>103</v>
      </c>
      <c r="Z620">
        <v>1</v>
      </c>
      <c r="AA620">
        <v>0</v>
      </c>
      <c r="AB620">
        <v>1</v>
      </c>
      <c r="AC620" t="s">
        <v>2248</v>
      </c>
      <c r="AD620" t="s">
        <v>2249</v>
      </c>
      <c r="AE620" t="s">
        <v>2250</v>
      </c>
      <c r="AF620">
        <v>80</v>
      </c>
      <c r="AG620">
        <v>175</v>
      </c>
      <c r="AH620" t="s">
        <v>787</v>
      </c>
      <c r="AI620" t="s">
        <v>298</v>
      </c>
      <c r="AJ620" t="s">
        <v>2251</v>
      </c>
      <c r="AK620" t="s">
        <v>298</v>
      </c>
      <c r="AL620" t="s">
        <v>298</v>
      </c>
      <c r="AN620" t="s">
        <v>145</v>
      </c>
    </row>
    <row r="621" spans="1:40" ht="18.75" customHeight="1" x14ac:dyDescent="0.3">
      <c r="A621" s="1">
        <v>2021134703451</v>
      </c>
      <c r="B621" t="s">
        <v>125</v>
      </c>
      <c r="C621" t="s">
        <v>2252</v>
      </c>
      <c r="D621" t="s">
        <v>2203</v>
      </c>
      <c r="E621" t="s">
        <v>742</v>
      </c>
      <c r="F621">
        <v>160</v>
      </c>
      <c r="G621">
        <v>44205</v>
      </c>
      <c r="H621">
        <v>45197</v>
      </c>
      <c r="I621">
        <v>45197</v>
      </c>
      <c r="J621">
        <v>45217</v>
      </c>
      <c r="K621">
        <v>45217</v>
      </c>
      <c r="L621" t="s">
        <v>135</v>
      </c>
      <c r="M621" t="s">
        <v>46</v>
      </c>
      <c r="N621" t="s">
        <v>47</v>
      </c>
      <c r="O621" t="s">
        <v>2222</v>
      </c>
      <c r="Q621" t="s">
        <v>49</v>
      </c>
      <c r="R621">
        <v>0</v>
      </c>
      <c r="S621">
        <v>0</v>
      </c>
      <c r="T621">
        <v>0</v>
      </c>
      <c r="U621" t="s">
        <v>2253</v>
      </c>
      <c r="V621" t="s">
        <v>2254</v>
      </c>
      <c r="W621">
        <v>30104171301453</v>
      </c>
      <c r="X621">
        <v>36998</v>
      </c>
      <c r="Y621" t="s">
        <v>103</v>
      </c>
      <c r="Z621">
        <v>1</v>
      </c>
      <c r="AA621">
        <v>0</v>
      </c>
      <c r="AB621">
        <v>1</v>
      </c>
      <c r="AC621" t="s">
        <v>2255</v>
      </c>
      <c r="AD621" t="s">
        <v>746</v>
      </c>
      <c r="AE621" t="s">
        <v>64</v>
      </c>
      <c r="AF621">
        <v>71</v>
      </c>
      <c r="AG621">
        <v>176</v>
      </c>
      <c r="AH621" t="s">
        <v>787</v>
      </c>
      <c r="AI621" t="s">
        <v>298</v>
      </c>
      <c r="AJ621" t="s">
        <v>298</v>
      </c>
      <c r="AK621" t="s">
        <v>298</v>
      </c>
      <c r="AL621" t="s">
        <v>298</v>
      </c>
      <c r="AN621" t="s">
        <v>145</v>
      </c>
    </row>
    <row r="622" spans="1:40" ht="18.75" customHeight="1" x14ac:dyDescent="0.3">
      <c r="A622" s="1">
        <v>2021134703526</v>
      </c>
      <c r="B622" t="s">
        <v>125</v>
      </c>
      <c r="C622" t="s">
        <v>2256</v>
      </c>
      <c r="D622" t="s">
        <v>2203</v>
      </c>
      <c r="E622" t="s">
        <v>742</v>
      </c>
      <c r="F622">
        <v>160</v>
      </c>
      <c r="G622">
        <v>44205</v>
      </c>
      <c r="H622">
        <v>45197</v>
      </c>
      <c r="I622">
        <v>45197</v>
      </c>
      <c r="J622">
        <v>45217</v>
      </c>
      <c r="K622">
        <v>45217</v>
      </c>
      <c r="L622" t="s">
        <v>135</v>
      </c>
      <c r="M622" t="s">
        <v>46</v>
      </c>
      <c r="N622" t="s">
        <v>47</v>
      </c>
      <c r="O622" t="s">
        <v>48</v>
      </c>
      <c r="Q622" t="s">
        <v>49</v>
      </c>
      <c r="R622">
        <v>1</v>
      </c>
      <c r="S622">
        <v>0</v>
      </c>
      <c r="T622">
        <v>0</v>
      </c>
      <c r="U622" t="s">
        <v>2257</v>
      </c>
      <c r="V622" t="s">
        <v>2258</v>
      </c>
      <c r="W622">
        <v>30109101305038</v>
      </c>
      <c r="X622">
        <v>37135</v>
      </c>
      <c r="Y622" t="s">
        <v>153</v>
      </c>
      <c r="Z622">
        <v>0</v>
      </c>
      <c r="AA622">
        <v>0</v>
      </c>
      <c r="AB622">
        <v>0</v>
      </c>
      <c r="AC622" t="s">
        <v>2259</v>
      </c>
      <c r="AD622" t="s">
        <v>1417</v>
      </c>
      <c r="AE622" t="s">
        <v>64</v>
      </c>
      <c r="AF622">
        <v>72</v>
      </c>
      <c r="AG622">
        <v>182</v>
      </c>
      <c r="AH622" t="s">
        <v>787</v>
      </c>
      <c r="AI622" t="s">
        <v>298</v>
      </c>
      <c r="AJ622" t="s">
        <v>298</v>
      </c>
      <c r="AK622" t="s">
        <v>298</v>
      </c>
      <c r="AL622" t="s">
        <v>298</v>
      </c>
      <c r="AN622" t="s">
        <v>145</v>
      </c>
    </row>
    <row r="623" spans="1:40" ht="18.75" customHeight="1" x14ac:dyDescent="0.3">
      <c r="A623" s="1">
        <v>2006134790335</v>
      </c>
      <c r="B623" t="s">
        <v>40</v>
      </c>
      <c r="C623" t="s">
        <v>2260</v>
      </c>
      <c r="D623" t="s">
        <v>2203</v>
      </c>
      <c r="E623" t="s">
        <v>742</v>
      </c>
      <c r="G623">
        <v>38963</v>
      </c>
      <c r="H623">
        <v>38963</v>
      </c>
      <c r="I623">
        <v>44743</v>
      </c>
      <c r="J623">
        <v>45989</v>
      </c>
      <c r="K623">
        <v>45989</v>
      </c>
      <c r="L623" t="s">
        <v>135</v>
      </c>
      <c r="M623" t="s">
        <v>46</v>
      </c>
      <c r="N623" t="s">
        <v>47</v>
      </c>
      <c r="O623" t="s">
        <v>2261</v>
      </c>
      <c r="P623" t="s">
        <v>49</v>
      </c>
      <c r="R623">
        <v>2</v>
      </c>
      <c r="S623">
        <v>0</v>
      </c>
      <c r="T623">
        <v>0</v>
      </c>
      <c r="U623" t="s">
        <v>2262</v>
      </c>
      <c r="V623" t="s">
        <v>2263</v>
      </c>
      <c r="W623">
        <v>29011011803378</v>
      </c>
      <c r="X623">
        <v>33178</v>
      </c>
      <c r="Y623" t="s">
        <v>103</v>
      </c>
      <c r="Z623">
        <v>4</v>
      </c>
      <c r="AA623">
        <v>2</v>
      </c>
      <c r="AB623">
        <v>2</v>
      </c>
      <c r="AC623" t="s">
        <v>2264</v>
      </c>
      <c r="AD623" t="s">
        <v>2265</v>
      </c>
      <c r="AE623" t="s">
        <v>54</v>
      </c>
      <c r="AF623">
        <v>82</v>
      </c>
      <c r="AG623">
        <v>176</v>
      </c>
      <c r="AH623" t="s">
        <v>787</v>
      </c>
      <c r="AJ623" t="s">
        <v>2266</v>
      </c>
      <c r="AN623" t="s">
        <v>145</v>
      </c>
    </row>
    <row r="624" spans="1:40" ht="18.75" customHeight="1" x14ac:dyDescent="0.3">
      <c r="A624" s="1">
        <v>2013134792229</v>
      </c>
      <c r="B624" t="s">
        <v>66</v>
      </c>
      <c r="C624" t="s">
        <v>2267</v>
      </c>
      <c r="D624" t="s">
        <v>2203</v>
      </c>
      <c r="E624" t="s">
        <v>742</v>
      </c>
      <c r="F624">
        <v>16</v>
      </c>
      <c r="G624">
        <v>41519</v>
      </c>
      <c r="H624">
        <v>41900</v>
      </c>
      <c r="I624">
        <v>45292</v>
      </c>
      <c r="J624">
        <v>41854</v>
      </c>
      <c r="K624">
        <v>45585</v>
      </c>
      <c r="L624" t="s">
        <v>135</v>
      </c>
      <c r="M624" t="s">
        <v>46</v>
      </c>
      <c r="N624" t="s">
        <v>47</v>
      </c>
      <c r="O624" t="s">
        <v>2268</v>
      </c>
      <c r="P624" t="s">
        <v>49</v>
      </c>
      <c r="R624">
        <v>6</v>
      </c>
      <c r="S624">
        <v>1</v>
      </c>
      <c r="T624">
        <v>0</v>
      </c>
      <c r="V624" t="s">
        <v>2269</v>
      </c>
      <c r="W624">
        <v>29805101703492</v>
      </c>
      <c r="X624">
        <v>35925</v>
      </c>
      <c r="Y624" t="s">
        <v>51</v>
      </c>
      <c r="Z624">
        <v>0</v>
      </c>
      <c r="AA624">
        <v>0</v>
      </c>
      <c r="AB624">
        <v>0</v>
      </c>
      <c r="AC624" t="s">
        <v>2270</v>
      </c>
      <c r="AD624" t="s">
        <v>1379</v>
      </c>
      <c r="AE624" t="s">
        <v>167</v>
      </c>
      <c r="AF624">
        <v>72</v>
      </c>
      <c r="AG624">
        <v>174</v>
      </c>
      <c r="AH624" t="s">
        <v>787</v>
      </c>
      <c r="AJ624" t="s">
        <v>2271</v>
      </c>
      <c r="AN624" t="s">
        <v>145</v>
      </c>
    </row>
    <row r="625" spans="1:40" ht="18.75" customHeight="1" x14ac:dyDescent="0.3">
      <c r="A625" s="1">
        <v>2013134792302</v>
      </c>
      <c r="B625" t="s">
        <v>66</v>
      </c>
      <c r="C625" t="s">
        <v>2272</v>
      </c>
      <c r="D625" t="s">
        <v>2203</v>
      </c>
      <c r="E625" t="s">
        <v>742</v>
      </c>
      <c r="F625">
        <v>16</v>
      </c>
      <c r="G625">
        <v>41519</v>
      </c>
      <c r="H625">
        <v>41520</v>
      </c>
      <c r="I625">
        <v>45292</v>
      </c>
      <c r="K625">
        <v>45593</v>
      </c>
      <c r="L625" t="s">
        <v>135</v>
      </c>
      <c r="M625" t="s">
        <v>46</v>
      </c>
      <c r="N625" t="s">
        <v>47</v>
      </c>
      <c r="O625" t="s">
        <v>2273</v>
      </c>
      <c r="Q625" t="s">
        <v>49</v>
      </c>
      <c r="R625">
        <v>17</v>
      </c>
      <c r="S625">
        <v>2</v>
      </c>
      <c r="T625">
        <v>0</v>
      </c>
      <c r="U625" t="s">
        <v>2274</v>
      </c>
      <c r="V625" t="s">
        <v>2275</v>
      </c>
      <c r="W625">
        <v>29701231500534</v>
      </c>
      <c r="X625">
        <v>35767</v>
      </c>
      <c r="Y625" t="s">
        <v>103</v>
      </c>
      <c r="Z625">
        <v>2</v>
      </c>
      <c r="AA625">
        <v>1</v>
      </c>
      <c r="AB625">
        <v>1</v>
      </c>
      <c r="AD625" t="s">
        <v>1457</v>
      </c>
      <c r="AE625" t="s">
        <v>2276</v>
      </c>
      <c r="AF625">
        <v>74</v>
      </c>
      <c r="AG625">
        <v>176</v>
      </c>
      <c r="AH625" t="s">
        <v>787</v>
      </c>
      <c r="AJ625" t="s">
        <v>2277</v>
      </c>
      <c r="AN625" t="s">
        <v>145</v>
      </c>
    </row>
    <row r="626" spans="1:40" ht="18.75" customHeight="1" x14ac:dyDescent="0.3">
      <c r="A626" s="1">
        <v>2014134791667</v>
      </c>
      <c r="B626" t="s">
        <v>66</v>
      </c>
      <c r="C626" t="s">
        <v>2278</v>
      </c>
      <c r="D626" t="s">
        <v>2203</v>
      </c>
      <c r="E626" t="s">
        <v>742</v>
      </c>
      <c r="F626">
        <v>17</v>
      </c>
      <c r="G626">
        <v>41883</v>
      </c>
      <c r="H626">
        <v>41884</v>
      </c>
      <c r="I626">
        <v>45658</v>
      </c>
      <c r="J626">
        <v>44881</v>
      </c>
      <c r="K626">
        <v>44881</v>
      </c>
      <c r="L626" t="s">
        <v>135</v>
      </c>
      <c r="M626" t="s">
        <v>46</v>
      </c>
      <c r="N626" t="s">
        <v>47</v>
      </c>
      <c r="O626" t="s">
        <v>2204</v>
      </c>
      <c r="Q626" t="s">
        <v>49</v>
      </c>
      <c r="R626">
        <v>3</v>
      </c>
      <c r="S626">
        <v>0</v>
      </c>
      <c r="T626">
        <v>0</v>
      </c>
      <c r="U626" t="s">
        <v>2279</v>
      </c>
      <c r="V626" t="s">
        <v>2280</v>
      </c>
      <c r="W626">
        <v>29811191601995</v>
      </c>
      <c r="X626">
        <v>36118</v>
      </c>
      <c r="Y626" t="s">
        <v>103</v>
      </c>
      <c r="Z626">
        <v>1</v>
      </c>
      <c r="AA626">
        <v>1</v>
      </c>
      <c r="AB626">
        <v>0</v>
      </c>
      <c r="AC626" t="s">
        <v>2281</v>
      </c>
      <c r="AD626" t="s">
        <v>1441</v>
      </c>
      <c r="AE626" t="s">
        <v>73</v>
      </c>
      <c r="AF626">
        <v>74</v>
      </c>
      <c r="AG626">
        <v>173</v>
      </c>
      <c r="AH626" t="s">
        <v>787</v>
      </c>
      <c r="AJ626" t="s">
        <v>2282</v>
      </c>
      <c r="AN626" t="s">
        <v>145</v>
      </c>
    </row>
    <row r="627" spans="1:40" ht="18.75" customHeight="1" x14ac:dyDescent="0.3">
      <c r="A627" s="1">
        <v>2007138301227</v>
      </c>
      <c r="B627" t="s">
        <v>106</v>
      </c>
      <c r="C627" t="s">
        <v>2283</v>
      </c>
      <c r="D627" t="s">
        <v>2284</v>
      </c>
      <c r="E627" t="s">
        <v>742</v>
      </c>
      <c r="F627">
        <v>137</v>
      </c>
      <c r="G627">
        <v>39095</v>
      </c>
      <c r="H627">
        <v>39567</v>
      </c>
      <c r="I627">
        <v>41640</v>
      </c>
      <c r="K627">
        <v>45978</v>
      </c>
      <c r="L627" t="s">
        <v>135</v>
      </c>
      <c r="M627" t="s">
        <v>817</v>
      </c>
      <c r="N627" t="s">
        <v>127</v>
      </c>
      <c r="O627" t="s">
        <v>2285</v>
      </c>
      <c r="P627" t="s">
        <v>49</v>
      </c>
      <c r="R627">
        <v>19</v>
      </c>
      <c r="S627">
        <v>7</v>
      </c>
      <c r="T627">
        <v>1</v>
      </c>
      <c r="U627" t="s">
        <v>2286</v>
      </c>
      <c r="W627">
        <v>28711011411494</v>
      </c>
      <c r="X627">
        <v>32082</v>
      </c>
      <c r="Y627" t="s">
        <v>103</v>
      </c>
      <c r="Z627">
        <v>4</v>
      </c>
      <c r="AF627">
        <v>90</v>
      </c>
      <c r="AG627">
        <v>185</v>
      </c>
      <c r="AH627">
        <v>5</v>
      </c>
      <c r="AN627" t="s">
        <v>145</v>
      </c>
    </row>
    <row r="628" spans="1:40" ht="18.75" customHeight="1" x14ac:dyDescent="0.3">
      <c r="A628" s="1">
        <v>2015138319413</v>
      </c>
      <c r="B628" t="s">
        <v>106</v>
      </c>
      <c r="C628" t="s">
        <v>2287</v>
      </c>
      <c r="D628" t="s">
        <v>2284</v>
      </c>
      <c r="E628" t="s">
        <v>742</v>
      </c>
      <c r="F628">
        <v>155</v>
      </c>
      <c r="G628">
        <v>42369</v>
      </c>
      <c r="H628">
        <v>42932</v>
      </c>
      <c r="I628">
        <v>44927</v>
      </c>
      <c r="K628">
        <v>45970</v>
      </c>
      <c r="L628" t="s">
        <v>45</v>
      </c>
      <c r="M628" t="s">
        <v>817</v>
      </c>
      <c r="N628" t="s">
        <v>127</v>
      </c>
      <c r="O628" t="s">
        <v>2285</v>
      </c>
      <c r="Q628" t="s">
        <v>49</v>
      </c>
      <c r="R628">
        <v>0</v>
      </c>
      <c r="S628">
        <v>0</v>
      </c>
      <c r="T628">
        <v>0</v>
      </c>
      <c r="U628" t="s">
        <v>2288</v>
      </c>
      <c r="W628">
        <v>29810201805016</v>
      </c>
      <c r="X628">
        <v>36088</v>
      </c>
      <c r="Y628" t="s">
        <v>51</v>
      </c>
      <c r="Z628">
        <v>0</v>
      </c>
      <c r="AF628">
        <v>70</v>
      </c>
      <c r="AG628">
        <v>176</v>
      </c>
      <c r="AH628">
        <v>-6</v>
      </c>
      <c r="AN628" t="s">
        <v>145</v>
      </c>
    </row>
    <row r="629" spans="1:40" ht="18.75" customHeight="1" x14ac:dyDescent="0.3">
      <c r="A629" s="1">
        <v>2019130402341</v>
      </c>
      <c r="B629" t="s">
        <v>125</v>
      </c>
      <c r="C629" t="s">
        <v>2289</v>
      </c>
      <c r="D629" t="s">
        <v>2290</v>
      </c>
      <c r="E629" t="s">
        <v>1354</v>
      </c>
      <c r="AG629" t="s">
        <v>787</v>
      </c>
    </row>
    <row r="630" spans="1:40" ht="18.75" customHeight="1" x14ac:dyDescent="0.3">
      <c r="A630" s="1">
        <v>2001138301899</v>
      </c>
      <c r="B630" t="s">
        <v>210</v>
      </c>
      <c r="C630" t="s">
        <v>2291</v>
      </c>
      <c r="D630" t="s">
        <v>1700</v>
      </c>
      <c r="E630" t="s">
        <v>742</v>
      </c>
      <c r="AG630" t="s">
        <v>787</v>
      </c>
    </row>
    <row r="631" spans="1:40" ht="18.75" customHeight="1" x14ac:dyDescent="0.3">
      <c r="A631" s="1">
        <v>2011138302466</v>
      </c>
      <c r="B631" t="s">
        <v>75</v>
      </c>
      <c r="C631" t="s">
        <v>2292</v>
      </c>
      <c r="D631" t="s">
        <v>1700</v>
      </c>
      <c r="E631" t="s">
        <v>742</v>
      </c>
      <c r="AG631" t="s">
        <v>787</v>
      </c>
    </row>
    <row r="632" spans="1:40" ht="18.75" customHeight="1" x14ac:dyDescent="0.3">
      <c r="A632" s="1">
        <v>2003138306564</v>
      </c>
      <c r="B632" t="s">
        <v>57</v>
      </c>
      <c r="C632" t="s">
        <v>2293</v>
      </c>
      <c r="D632" t="s">
        <v>2294</v>
      </c>
      <c r="E632" t="s">
        <v>742</v>
      </c>
      <c r="F632">
        <v>130</v>
      </c>
      <c r="G632">
        <v>37821</v>
      </c>
      <c r="H632">
        <v>38296</v>
      </c>
      <c r="I632">
        <v>45658</v>
      </c>
      <c r="L632" t="s">
        <v>45</v>
      </c>
      <c r="M632" t="s">
        <v>817</v>
      </c>
      <c r="N632" t="s">
        <v>127</v>
      </c>
      <c r="O632" t="s">
        <v>1105</v>
      </c>
      <c r="P632" t="s">
        <v>49</v>
      </c>
      <c r="R632">
        <v>10</v>
      </c>
      <c r="S632">
        <v>4</v>
      </c>
      <c r="T632">
        <v>2</v>
      </c>
      <c r="U632" t="s">
        <v>2295</v>
      </c>
      <c r="X632">
        <v>30346</v>
      </c>
      <c r="Y632" t="s">
        <v>153</v>
      </c>
      <c r="Z632">
        <v>0</v>
      </c>
      <c r="AA632">
        <v>0</v>
      </c>
      <c r="AB632">
        <v>0</v>
      </c>
      <c r="AF632">
        <v>72</v>
      </c>
      <c r="AG632">
        <v>174</v>
      </c>
      <c r="AH632">
        <v>-2</v>
      </c>
      <c r="AJ632" t="s">
        <v>2296</v>
      </c>
      <c r="AL632" t="s">
        <v>2297</v>
      </c>
      <c r="AN632" t="s">
        <v>145</v>
      </c>
    </row>
    <row r="633" spans="1:40" ht="18.75" customHeight="1" x14ac:dyDescent="0.3">
      <c r="A633" s="1">
        <v>2014138303749</v>
      </c>
      <c r="B633" t="s">
        <v>75</v>
      </c>
      <c r="C633" t="s">
        <v>2298</v>
      </c>
      <c r="D633" t="s">
        <v>2294</v>
      </c>
      <c r="E633" t="s">
        <v>742</v>
      </c>
      <c r="F633">
        <v>151</v>
      </c>
      <c r="G633">
        <v>41665</v>
      </c>
      <c r="H633">
        <v>42135</v>
      </c>
      <c r="I633">
        <v>45839</v>
      </c>
      <c r="M633" t="s">
        <v>817</v>
      </c>
      <c r="N633" t="s">
        <v>127</v>
      </c>
      <c r="O633" t="s">
        <v>2299</v>
      </c>
      <c r="Q633" t="s">
        <v>49</v>
      </c>
      <c r="R633">
        <v>10</v>
      </c>
      <c r="S633">
        <v>2</v>
      </c>
      <c r="T633">
        <v>1</v>
      </c>
      <c r="U633" t="s">
        <v>2300</v>
      </c>
      <c r="V633" t="s">
        <v>2301</v>
      </c>
      <c r="W633">
        <v>29608151600635</v>
      </c>
      <c r="Y633" t="s">
        <v>406</v>
      </c>
      <c r="Z633">
        <v>1</v>
      </c>
      <c r="AA633">
        <v>0</v>
      </c>
      <c r="AB633">
        <v>1</v>
      </c>
      <c r="AF633">
        <v>87</v>
      </c>
      <c r="AG633">
        <v>179</v>
      </c>
      <c r="AH633">
        <v>8</v>
      </c>
      <c r="AJ633" t="s">
        <v>2302</v>
      </c>
      <c r="AN633" t="s">
        <v>145</v>
      </c>
    </row>
    <row r="634" spans="1:40" ht="18.75" customHeight="1" x14ac:dyDescent="0.3">
      <c r="A634" s="1">
        <v>2014138308145</v>
      </c>
      <c r="B634" t="s">
        <v>75</v>
      </c>
      <c r="C634" t="s">
        <v>2303</v>
      </c>
      <c r="D634" t="s">
        <v>2294</v>
      </c>
      <c r="E634" t="s">
        <v>742</v>
      </c>
      <c r="F634">
        <v>151</v>
      </c>
      <c r="G634">
        <v>41673</v>
      </c>
      <c r="H634">
        <v>42135</v>
      </c>
      <c r="I634">
        <v>45839</v>
      </c>
      <c r="L634" t="s">
        <v>45</v>
      </c>
      <c r="M634" t="s">
        <v>817</v>
      </c>
      <c r="N634" t="s">
        <v>127</v>
      </c>
      <c r="O634" t="s">
        <v>2304</v>
      </c>
      <c r="Q634" t="s">
        <v>49</v>
      </c>
      <c r="R634">
        <v>4</v>
      </c>
      <c r="S634">
        <v>0</v>
      </c>
      <c r="T634">
        <v>0</v>
      </c>
      <c r="U634" t="s">
        <v>2305</v>
      </c>
      <c r="V634" t="s">
        <v>2306</v>
      </c>
      <c r="X634">
        <v>35286</v>
      </c>
      <c r="Y634" t="s">
        <v>103</v>
      </c>
      <c r="Z634">
        <v>1</v>
      </c>
      <c r="AC634">
        <v>0</v>
      </c>
      <c r="AF634">
        <v>78</v>
      </c>
      <c r="AG634">
        <v>170</v>
      </c>
      <c r="AH634">
        <v>8</v>
      </c>
      <c r="AJ634" t="s">
        <v>2307</v>
      </c>
      <c r="AN634" t="s">
        <v>145</v>
      </c>
    </row>
    <row r="635" spans="1:40" ht="18.75" customHeight="1" x14ac:dyDescent="0.3">
      <c r="A635" s="1">
        <v>2008138300920</v>
      </c>
      <c r="B635" t="s">
        <v>57</v>
      </c>
      <c r="C635" t="s">
        <v>2308</v>
      </c>
      <c r="D635" t="s">
        <v>2309</v>
      </c>
      <c r="E635" t="s">
        <v>742</v>
      </c>
      <c r="F635">
        <v>139</v>
      </c>
      <c r="G635">
        <v>39473</v>
      </c>
      <c r="H635">
        <v>39945</v>
      </c>
      <c r="I635">
        <v>45474</v>
      </c>
      <c r="J635">
        <v>45228</v>
      </c>
      <c r="L635" t="s">
        <v>45</v>
      </c>
      <c r="M635" t="s">
        <v>817</v>
      </c>
      <c r="N635" t="s">
        <v>127</v>
      </c>
      <c r="O635" t="s">
        <v>2310</v>
      </c>
      <c r="P635" t="s">
        <v>49</v>
      </c>
      <c r="R635">
        <v>3</v>
      </c>
      <c r="S635">
        <v>1</v>
      </c>
      <c r="T635">
        <v>0</v>
      </c>
      <c r="U635" t="s">
        <v>2311</v>
      </c>
      <c r="W635">
        <v>28904051801476</v>
      </c>
      <c r="X635">
        <v>32603</v>
      </c>
      <c r="Y635" t="s">
        <v>103</v>
      </c>
      <c r="Z635">
        <v>1</v>
      </c>
      <c r="AB635">
        <v>0</v>
      </c>
      <c r="AF635">
        <v>82</v>
      </c>
      <c r="AG635">
        <v>180</v>
      </c>
      <c r="AH635">
        <v>2</v>
      </c>
      <c r="AI635" t="s">
        <v>2312</v>
      </c>
      <c r="AJ635" t="s">
        <v>2313</v>
      </c>
      <c r="AK635" t="s">
        <v>2314</v>
      </c>
      <c r="AN635" t="s">
        <v>145</v>
      </c>
    </row>
    <row r="636" spans="1:40" ht="18.75" customHeight="1" x14ac:dyDescent="0.3">
      <c r="A636" s="1">
        <v>2014138311908</v>
      </c>
      <c r="B636" t="s">
        <v>75</v>
      </c>
      <c r="C636" t="s">
        <v>2315</v>
      </c>
      <c r="D636" t="s">
        <v>2309</v>
      </c>
      <c r="E636" t="s">
        <v>742</v>
      </c>
      <c r="F636">
        <v>152</v>
      </c>
      <c r="G636">
        <v>41853</v>
      </c>
      <c r="H636">
        <v>42326</v>
      </c>
      <c r="I636">
        <v>46023</v>
      </c>
      <c r="J636">
        <v>44509</v>
      </c>
      <c r="L636" t="s">
        <v>135</v>
      </c>
      <c r="M636" t="s">
        <v>817</v>
      </c>
      <c r="N636" t="s">
        <v>127</v>
      </c>
      <c r="O636" t="s">
        <v>1756</v>
      </c>
      <c r="Q636" t="s">
        <v>49</v>
      </c>
      <c r="R636">
        <v>0</v>
      </c>
      <c r="S636">
        <v>0</v>
      </c>
      <c r="T636">
        <v>0</v>
      </c>
      <c r="U636" t="s">
        <v>2316</v>
      </c>
      <c r="W636" t="s">
        <v>2317</v>
      </c>
      <c r="X636">
        <v>35796</v>
      </c>
      <c r="Y636" t="s">
        <v>103</v>
      </c>
      <c r="Z636">
        <v>1</v>
      </c>
      <c r="AB636">
        <v>0</v>
      </c>
      <c r="AF636">
        <v>79</v>
      </c>
      <c r="AG636">
        <v>180</v>
      </c>
      <c r="AH636">
        <v>-1</v>
      </c>
      <c r="AI636" t="s">
        <v>1847</v>
      </c>
      <c r="AJ636" t="s">
        <v>2318</v>
      </c>
      <c r="AK636" t="s">
        <v>2319</v>
      </c>
      <c r="AN636" t="s">
        <v>145</v>
      </c>
    </row>
    <row r="637" spans="1:40" ht="18.75" customHeight="1" x14ac:dyDescent="0.3">
      <c r="A637" s="1">
        <v>2008132400122</v>
      </c>
      <c r="B637" t="s">
        <v>57</v>
      </c>
      <c r="C637" t="s">
        <v>2320</v>
      </c>
      <c r="D637" t="s">
        <v>741</v>
      </c>
      <c r="E637" t="s">
        <v>742</v>
      </c>
      <c r="F637">
        <v>139</v>
      </c>
      <c r="G637">
        <v>39473</v>
      </c>
      <c r="H637">
        <v>39945</v>
      </c>
      <c r="I637">
        <v>45474</v>
      </c>
      <c r="L637" t="s">
        <v>135</v>
      </c>
      <c r="M637" t="s">
        <v>1171</v>
      </c>
      <c r="N637" t="s">
        <v>1172</v>
      </c>
      <c r="O637" t="s">
        <v>1992</v>
      </c>
      <c r="P637" t="s">
        <v>49</v>
      </c>
      <c r="R637">
        <v>3</v>
      </c>
      <c r="S637">
        <v>0</v>
      </c>
      <c r="T637">
        <v>0</v>
      </c>
      <c r="U637" t="s">
        <v>2321</v>
      </c>
      <c r="V637" t="s">
        <v>2322</v>
      </c>
      <c r="W637">
        <v>28609301301791</v>
      </c>
      <c r="X637">
        <v>31685</v>
      </c>
      <c r="Y637" t="s">
        <v>103</v>
      </c>
      <c r="Z637">
        <v>3</v>
      </c>
      <c r="AA637">
        <v>1</v>
      </c>
      <c r="AB637">
        <v>2</v>
      </c>
      <c r="AD637" t="s">
        <v>64</v>
      </c>
      <c r="AE637" t="s">
        <v>297</v>
      </c>
      <c r="AF637">
        <v>70</v>
      </c>
      <c r="AG637">
        <v>175</v>
      </c>
      <c r="AH637">
        <v>-5</v>
      </c>
      <c r="AJ637" t="s">
        <v>2323</v>
      </c>
      <c r="AK637" t="s">
        <v>2324</v>
      </c>
      <c r="AN637" t="s">
        <v>145</v>
      </c>
    </row>
    <row r="638" spans="1:40" ht="18.75" customHeight="1" x14ac:dyDescent="0.3">
      <c r="A638" s="1">
        <v>2012132400214</v>
      </c>
      <c r="B638" t="s">
        <v>75</v>
      </c>
      <c r="C638" t="s">
        <v>2325</v>
      </c>
      <c r="D638" t="s">
        <v>741</v>
      </c>
      <c r="E638" t="s">
        <v>742</v>
      </c>
      <c r="F638">
        <v>147</v>
      </c>
      <c r="G638">
        <v>40936</v>
      </c>
      <c r="H638">
        <v>41409</v>
      </c>
      <c r="I638">
        <v>45108</v>
      </c>
      <c r="L638" t="s">
        <v>135</v>
      </c>
      <c r="M638" t="s">
        <v>1171</v>
      </c>
      <c r="N638" t="s">
        <v>1172</v>
      </c>
      <c r="O638" t="s">
        <v>1297</v>
      </c>
      <c r="Q638" t="s">
        <v>49</v>
      </c>
      <c r="R638">
        <v>3</v>
      </c>
      <c r="S638">
        <v>0</v>
      </c>
      <c r="T638">
        <v>0</v>
      </c>
      <c r="U638" t="s">
        <v>2326</v>
      </c>
      <c r="V638" t="s">
        <v>2327</v>
      </c>
      <c r="W638">
        <v>29412262500859</v>
      </c>
      <c r="X638">
        <v>34694</v>
      </c>
      <c r="Y638" t="s">
        <v>786</v>
      </c>
      <c r="Z638">
        <v>5</v>
      </c>
      <c r="AA638">
        <v>3</v>
      </c>
      <c r="AB638">
        <v>2</v>
      </c>
      <c r="AD638" t="s">
        <v>43</v>
      </c>
      <c r="AE638" t="s">
        <v>225</v>
      </c>
      <c r="AF638">
        <v>85</v>
      </c>
      <c r="AG638">
        <v>175</v>
      </c>
      <c r="AH638">
        <v>10</v>
      </c>
      <c r="AJ638" t="s">
        <v>2328</v>
      </c>
      <c r="AK638" t="s">
        <v>2329</v>
      </c>
      <c r="AN638" t="s">
        <v>145</v>
      </c>
    </row>
    <row r="639" spans="1:40" ht="18.75" customHeight="1" x14ac:dyDescent="0.3">
      <c r="A639" s="1">
        <v>2012132400355</v>
      </c>
      <c r="B639" t="s">
        <v>75</v>
      </c>
      <c r="C639" t="s">
        <v>2330</v>
      </c>
      <c r="D639" t="s">
        <v>741</v>
      </c>
      <c r="E639" t="s">
        <v>742</v>
      </c>
      <c r="F639">
        <v>147</v>
      </c>
      <c r="G639">
        <v>40936</v>
      </c>
      <c r="H639">
        <v>41407</v>
      </c>
      <c r="I639">
        <v>45108</v>
      </c>
      <c r="L639" t="s">
        <v>135</v>
      </c>
      <c r="M639" t="s">
        <v>1171</v>
      </c>
      <c r="N639" t="s">
        <v>1172</v>
      </c>
      <c r="O639" t="s">
        <v>1992</v>
      </c>
      <c r="Q639" t="s">
        <v>49</v>
      </c>
      <c r="R639">
        <v>1</v>
      </c>
      <c r="S639">
        <v>0</v>
      </c>
      <c r="T639">
        <v>0</v>
      </c>
      <c r="U639" t="s">
        <v>2331</v>
      </c>
      <c r="W639">
        <v>28903221201839</v>
      </c>
      <c r="X639">
        <v>32589</v>
      </c>
      <c r="Y639" t="s">
        <v>103</v>
      </c>
      <c r="Z639">
        <v>3</v>
      </c>
      <c r="AA639">
        <v>1</v>
      </c>
      <c r="AB639">
        <v>2</v>
      </c>
      <c r="AD639" t="s">
        <v>118</v>
      </c>
      <c r="AE639" t="s">
        <v>2332</v>
      </c>
      <c r="AF639">
        <v>80</v>
      </c>
      <c r="AG639">
        <v>182</v>
      </c>
      <c r="AH639">
        <v>-2</v>
      </c>
      <c r="AJ639" t="s">
        <v>2333</v>
      </c>
      <c r="AN639" t="s">
        <v>145</v>
      </c>
    </row>
    <row r="640" spans="1:40" ht="18.75" customHeight="1" x14ac:dyDescent="0.3">
      <c r="A640" s="1">
        <v>2014132400898</v>
      </c>
      <c r="B640" t="s">
        <v>75</v>
      </c>
      <c r="C640" t="s">
        <v>2334</v>
      </c>
      <c r="D640" t="s">
        <v>741</v>
      </c>
      <c r="E640" t="s">
        <v>742</v>
      </c>
      <c r="F640">
        <v>152</v>
      </c>
      <c r="G640">
        <v>41853</v>
      </c>
      <c r="H640">
        <v>42326</v>
      </c>
      <c r="I640">
        <v>46023</v>
      </c>
      <c r="L640" t="s">
        <v>135</v>
      </c>
      <c r="M640" t="s">
        <v>1171</v>
      </c>
      <c r="N640" t="s">
        <v>1172</v>
      </c>
      <c r="O640" t="s">
        <v>2335</v>
      </c>
      <c r="P640" t="s">
        <v>49</v>
      </c>
      <c r="R640">
        <v>1</v>
      </c>
      <c r="S640">
        <v>0</v>
      </c>
      <c r="T640">
        <v>0</v>
      </c>
      <c r="U640" t="s">
        <v>2336</v>
      </c>
      <c r="V640" t="s">
        <v>2337</v>
      </c>
      <c r="W640">
        <v>29710011807654</v>
      </c>
      <c r="X640">
        <v>35704</v>
      </c>
      <c r="Y640" t="s">
        <v>51</v>
      </c>
      <c r="Z640">
        <v>0</v>
      </c>
      <c r="AD640" t="s">
        <v>54</v>
      </c>
      <c r="AE640" t="s">
        <v>184</v>
      </c>
      <c r="AF640">
        <v>71</v>
      </c>
      <c r="AG640">
        <v>172</v>
      </c>
      <c r="AH640">
        <v>-1</v>
      </c>
      <c r="AJ640" t="s">
        <v>2338</v>
      </c>
      <c r="AN640" t="s">
        <v>145</v>
      </c>
    </row>
    <row r="641" spans="1:40" ht="18.75" customHeight="1" x14ac:dyDescent="0.3">
      <c r="A641" s="1">
        <v>2014132401383</v>
      </c>
      <c r="B641" t="s">
        <v>106</v>
      </c>
      <c r="C641" t="s">
        <v>2339</v>
      </c>
      <c r="D641" t="s">
        <v>741</v>
      </c>
      <c r="E641" t="s">
        <v>742</v>
      </c>
      <c r="F641">
        <v>152</v>
      </c>
      <c r="G641">
        <v>41853</v>
      </c>
      <c r="H641">
        <v>42326</v>
      </c>
      <c r="I641">
        <v>44378</v>
      </c>
      <c r="L641" t="s">
        <v>135</v>
      </c>
      <c r="M641" t="s">
        <v>1171</v>
      </c>
      <c r="N641" t="s">
        <v>1172</v>
      </c>
      <c r="O641" t="s">
        <v>1992</v>
      </c>
      <c r="Q641" t="s">
        <v>49</v>
      </c>
      <c r="R641">
        <v>5</v>
      </c>
      <c r="S641">
        <v>1</v>
      </c>
      <c r="T641">
        <v>1</v>
      </c>
      <c r="U641" t="s">
        <v>2340</v>
      </c>
      <c r="V641" t="s">
        <v>2341</v>
      </c>
      <c r="W641">
        <v>29411141600612</v>
      </c>
      <c r="X641">
        <v>34652</v>
      </c>
      <c r="Y641" t="s">
        <v>103</v>
      </c>
      <c r="Z641">
        <v>2</v>
      </c>
      <c r="AA641">
        <v>0</v>
      </c>
      <c r="AB641">
        <v>2</v>
      </c>
      <c r="AD641" t="s">
        <v>73</v>
      </c>
      <c r="AE641" t="s">
        <v>271</v>
      </c>
      <c r="AF641">
        <v>66</v>
      </c>
      <c r="AG641">
        <v>173</v>
      </c>
      <c r="AH641">
        <v>-7</v>
      </c>
      <c r="AJ641" t="s">
        <v>2342</v>
      </c>
      <c r="AN641" t="s">
        <v>145</v>
      </c>
    </row>
    <row r="642" spans="1:40" ht="18.75" customHeight="1" x14ac:dyDescent="0.3">
      <c r="A642" s="1">
        <v>2016131800350</v>
      </c>
      <c r="B642" t="s">
        <v>106</v>
      </c>
      <c r="C642" t="s">
        <v>2343</v>
      </c>
      <c r="D642" t="s">
        <v>725</v>
      </c>
      <c r="E642" t="s">
        <v>43</v>
      </c>
      <c r="F642">
        <v>156</v>
      </c>
      <c r="G642">
        <v>42575</v>
      </c>
      <c r="H642">
        <v>43321</v>
      </c>
      <c r="I642">
        <v>45292</v>
      </c>
      <c r="J642">
        <v>45972</v>
      </c>
      <c r="K642">
        <v>45972</v>
      </c>
      <c r="L642" t="s">
        <v>135</v>
      </c>
      <c r="M642" t="s">
        <v>726</v>
      </c>
      <c r="N642" t="s">
        <v>727</v>
      </c>
      <c r="O642" t="s">
        <v>608</v>
      </c>
      <c r="Q642" t="s">
        <v>49</v>
      </c>
      <c r="R642">
        <v>14</v>
      </c>
      <c r="S642">
        <v>1</v>
      </c>
      <c r="T642">
        <v>0</v>
      </c>
      <c r="U642" t="s">
        <v>2344</v>
      </c>
      <c r="V642" t="s">
        <v>2345</v>
      </c>
      <c r="W642">
        <v>29301271400551</v>
      </c>
      <c r="X642">
        <v>33996</v>
      </c>
      <c r="Y642" t="s">
        <v>51</v>
      </c>
      <c r="Z642">
        <v>0</v>
      </c>
      <c r="AC642">
        <v>0</v>
      </c>
      <c r="AE642" t="s">
        <v>2346</v>
      </c>
      <c r="AF642">
        <v>67</v>
      </c>
      <c r="AG642">
        <v>174</v>
      </c>
      <c r="AH642">
        <f>IF([2]!Table1[[#This Row],[الوزن]]&lt;&gt;"",[2]!Table1[[#This Row],[الوزن]]-([2]!Table1[[#This Row],[الطول]]-100),"")</f>
        <v>-13</v>
      </c>
      <c r="AJ642" t="s">
        <v>2347</v>
      </c>
      <c r="AN642" t="s">
        <v>733</v>
      </c>
    </row>
    <row r="643" spans="1:40" ht="18.75" customHeight="1" x14ac:dyDescent="0.3">
      <c r="A643" s="1">
        <v>2015132401274</v>
      </c>
      <c r="B643" t="s">
        <v>106</v>
      </c>
      <c r="C643" t="s">
        <v>2348</v>
      </c>
      <c r="D643" t="s">
        <v>741</v>
      </c>
      <c r="E643" t="s">
        <v>742</v>
      </c>
      <c r="F643">
        <v>153</v>
      </c>
      <c r="G643">
        <v>42030</v>
      </c>
      <c r="H643">
        <v>42501</v>
      </c>
      <c r="I643">
        <v>44378</v>
      </c>
      <c r="L643" t="s">
        <v>135</v>
      </c>
      <c r="M643" t="s">
        <v>1171</v>
      </c>
      <c r="N643" t="s">
        <v>1172</v>
      </c>
      <c r="O643" t="s">
        <v>1992</v>
      </c>
      <c r="P643" t="s">
        <v>49</v>
      </c>
      <c r="R643">
        <v>1</v>
      </c>
      <c r="S643">
        <v>0</v>
      </c>
      <c r="T643">
        <v>0</v>
      </c>
      <c r="U643" t="s">
        <v>2349</v>
      </c>
      <c r="V643" t="s">
        <v>2350</v>
      </c>
      <c r="W643">
        <v>29509302203856</v>
      </c>
      <c r="X643">
        <v>34972</v>
      </c>
      <c r="Y643" t="s">
        <v>103</v>
      </c>
      <c r="Z643">
        <v>2</v>
      </c>
      <c r="AA643">
        <v>1</v>
      </c>
      <c r="AB643">
        <v>1</v>
      </c>
      <c r="AD643" t="s">
        <v>1520</v>
      </c>
      <c r="AE643" t="s">
        <v>1307</v>
      </c>
      <c r="AF643">
        <v>60</v>
      </c>
      <c r="AG643">
        <v>173</v>
      </c>
      <c r="AH643">
        <v>-13</v>
      </c>
      <c r="AJ643" t="s">
        <v>2024</v>
      </c>
      <c r="AN643" t="s">
        <v>145</v>
      </c>
    </row>
    <row r="644" spans="1:40" ht="18.75" customHeight="1" x14ac:dyDescent="0.3">
      <c r="A644" s="1">
        <v>2015132402173</v>
      </c>
      <c r="B644" t="s">
        <v>106</v>
      </c>
      <c r="C644" t="s">
        <v>2351</v>
      </c>
      <c r="D644" t="s">
        <v>741</v>
      </c>
      <c r="E644" t="s">
        <v>742</v>
      </c>
      <c r="F644">
        <v>154</v>
      </c>
      <c r="G644">
        <v>42224</v>
      </c>
      <c r="H644">
        <v>42789</v>
      </c>
      <c r="I644">
        <v>44743</v>
      </c>
      <c r="L644" t="s">
        <v>135</v>
      </c>
      <c r="M644" t="s">
        <v>1171</v>
      </c>
      <c r="N644" t="s">
        <v>1172</v>
      </c>
      <c r="O644" t="s">
        <v>1297</v>
      </c>
      <c r="Q644" t="s">
        <v>49</v>
      </c>
      <c r="R644">
        <v>2</v>
      </c>
      <c r="S644">
        <v>0</v>
      </c>
      <c r="T644">
        <v>0</v>
      </c>
      <c r="U644" t="s">
        <v>2352</v>
      </c>
      <c r="V644" t="s">
        <v>2353</v>
      </c>
      <c r="W644">
        <v>29309132700851</v>
      </c>
      <c r="X644">
        <v>34225</v>
      </c>
      <c r="Y644" t="s">
        <v>51</v>
      </c>
      <c r="Z644">
        <v>0</v>
      </c>
      <c r="AA644">
        <v>0</v>
      </c>
      <c r="AB644">
        <v>0</v>
      </c>
      <c r="AD644" t="s">
        <v>1264</v>
      </c>
      <c r="AE644" t="s">
        <v>2354</v>
      </c>
      <c r="AF644">
        <v>75</v>
      </c>
      <c r="AG644">
        <v>174</v>
      </c>
      <c r="AH644">
        <v>1</v>
      </c>
      <c r="AJ644" t="s">
        <v>2355</v>
      </c>
      <c r="AN644" t="s">
        <v>145</v>
      </c>
    </row>
    <row r="645" spans="1:40" ht="18.75" customHeight="1" x14ac:dyDescent="0.3">
      <c r="A645" s="1">
        <v>2018138304525</v>
      </c>
      <c r="B645" t="s">
        <v>106</v>
      </c>
      <c r="C645" t="s">
        <v>2356</v>
      </c>
      <c r="D645" t="s">
        <v>741</v>
      </c>
      <c r="E645" t="s">
        <v>742</v>
      </c>
      <c r="F645">
        <v>158</v>
      </c>
      <c r="G645">
        <v>43279</v>
      </c>
      <c r="H645">
        <v>44117</v>
      </c>
      <c r="I645">
        <v>46023</v>
      </c>
      <c r="L645" t="s">
        <v>135</v>
      </c>
      <c r="M645" t="s">
        <v>1171</v>
      </c>
      <c r="N645" t="s">
        <v>127</v>
      </c>
      <c r="O645" t="s">
        <v>2040</v>
      </c>
      <c r="Q645" t="s">
        <v>49</v>
      </c>
      <c r="R645">
        <v>8</v>
      </c>
      <c r="S645">
        <v>0</v>
      </c>
      <c r="T645">
        <v>0</v>
      </c>
      <c r="U645" t="s">
        <v>2357</v>
      </c>
      <c r="V645" t="s">
        <v>2358</v>
      </c>
      <c r="W645">
        <v>30209141600398</v>
      </c>
      <c r="X645">
        <v>37513</v>
      </c>
      <c r="Y645" t="s">
        <v>550</v>
      </c>
      <c r="Z645">
        <v>0</v>
      </c>
      <c r="AA645">
        <v>0</v>
      </c>
      <c r="AB645">
        <v>0</v>
      </c>
      <c r="AD645" t="s">
        <v>73</v>
      </c>
      <c r="AE645" t="s">
        <v>2359</v>
      </c>
      <c r="AF645">
        <v>83</v>
      </c>
      <c r="AG645">
        <v>180</v>
      </c>
      <c r="AH645">
        <v>3</v>
      </c>
      <c r="AJ645" t="s">
        <v>2360</v>
      </c>
      <c r="AN645" t="s">
        <v>145</v>
      </c>
    </row>
    <row r="646" spans="1:40" ht="18.75" customHeight="1" x14ac:dyDescent="0.3">
      <c r="A646" s="1">
        <v>2019130403547</v>
      </c>
      <c r="B646" t="s">
        <v>125</v>
      </c>
      <c r="C646" t="s">
        <v>2361</v>
      </c>
      <c r="D646" t="s">
        <v>741</v>
      </c>
      <c r="E646" t="s">
        <v>742</v>
      </c>
      <c r="F646">
        <v>159</v>
      </c>
      <c r="G646">
        <v>43692</v>
      </c>
      <c r="H646">
        <v>44481</v>
      </c>
      <c r="I646">
        <v>44481</v>
      </c>
      <c r="L646" t="s">
        <v>135</v>
      </c>
      <c r="M646" t="s">
        <v>1171</v>
      </c>
      <c r="N646" t="s">
        <v>78</v>
      </c>
      <c r="O646" t="s">
        <v>148</v>
      </c>
      <c r="P646" t="s">
        <v>49</v>
      </c>
      <c r="R646">
        <v>0</v>
      </c>
      <c r="S646">
        <v>0</v>
      </c>
      <c r="T646">
        <v>0</v>
      </c>
      <c r="U646" t="s">
        <v>2362</v>
      </c>
      <c r="V646" t="s">
        <v>2363</v>
      </c>
      <c r="W646">
        <v>30110222201475</v>
      </c>
      <c r="X646">
        <v>37186</v>
      </c>
      <c r="Y646" t="s">
        <v>103</v>
      </c>
      <c r="Z646">
        <v>1</v>
      </c>
      <c r="AA646">
        <v>0</v>
      </c>
      <c r="AB646">
        <v>1</v>
      </c>
      <c r="AD646" t="s">
        <v>1520</v>
      </c>
      <c r="AE646" t="s">
        <v>1307</v>
      </c>
      <c r="AF646">
        <v>71</v>
      </c>
      <c r="AG646">
        <v>173</v>
      </c>
      <c r="AH646">
        <v>-2</v>
      </c>
      <c r="AJ646" t="s">
        <v>298</v>
      </c>
      <c r="AN646" t="s">
        <v>145</v>
      </c>
    </row>
    <row r="647" spans="1:40" ht="18.75" customHeight="1" x14ac:dyDescent="0.3">
      <c r="A647" s="1">
        <v>2019132400731</v>
      </c>
      <c r="B647" t="s">
        <v>125</v>
      </c>
      <c r="C647" t="s">
        <v>2364</v>
      </c>
      <c r="D647" t="s">
        <v>741</v>
      </c>
      <c r="E647" t="s">
        <v>742</v>
      </c>
      <c r="F647">
        <v>159</v>
      </c>
      <c r="G647">
        <v>43692</v>
      </c>
      <c r="H647">
        <v>44482</v>
      </c>
      <c r="I647">
        <v>44482</v>
      </c>
      <c r="L647" t="s">
        <v>135</v>
      </c>
      <c r="M647" t="s">
        <v>1171</v>
      </c>
      <c r="N647" t="s">
        <v>1172</v>
      </c>
      <c r="O647" t="s">
        <v>1173</v>
      </c>
      <c r="P647" t="s">
        <v>49</v>
      </c>
      <c r="R647">
        <v>0</v>
      </c>
      <c r="S647">
        <v>0</v>
      </c>
      <c r="T647">
        <v>0</v>
      </c>
      <c r="U647" t="s">
        <v>2365</v>
      </c>
      <c r="V647" t="s">
        <v>2366</v>
      </c>
      <c r="W647">
        <v>29812052603599</v>
      </c>
      <c r="X647">
        <v>36134</v>
      </c>
      <c r="Y647" t="s">
        <v>153</v>
      </c>
      <c r="Z647">
        <v>0</v>
      </c>
      <c r="AA647">
        <v>0</v>
      </c>
      <c r="AB647">
        <v>0</v>
      </c>
      <c r="AD647" t="s">
        <v>1257</v>
      </c>
      <c r="AE647" t="s">
        <v>2367</v>
      </c>
      <c r="AF647">
        <v>72</v>
      </c>
      <c r="AG647">
        <v>176</v>
      </c>
      <c r="AH647">
        <v>-4</v>
      </c>
      <c r="AJ647" t="s">
        <v>298</v>
      </c>
      <c r="AN647" t="s">
        <v>145</v>
      </c>
    </row>
    <row r="648" spans="1:40" ht="18.75" customHeight="1" x14ac:dyDescent="0.3">
      <c r="A648" s="1">
        <v>2021132400843</v>
      </c>
      <c r="B648" t="s">
        <v>125</v>
      </c>
      <c r="C648" t="s">
        <v>2368</v>
      </c>
      <c r="D648" t="s">
        <v>741</v>
      </c>
      <c r="E648" t="s">
        <v>742</v>
      </c>
      <c r="F648">
        <v>161</v>
      </c>
      <c r="G648">
        <v>44546</v>
      </c>
      <c r="H648">
        <v>45581</v>
      </c>
      <c r="I648">
        <v>45581</v>
      </c>
      <c r="L648" t="s">
        <v>135</v>
      </c>
      <c r="M648" t="s">
        <v>1171</v>
      </c>
      <c r="N648" t="s">
        <v>1172</v>
      </c>
      <c r="O648" t="s">
        <v>1297</v>
      </c>
      <c r="P648" t="s">
        <v>49</v>
      </c>
      <c r="R648">
        <v>0</v>
      </c>
      <c r="S648">
        <v>0</v>
      </c>
      <c r="T648">
        <v>0</v>
      </c>
      <c r="U648" t="s">
        <v>2369</v>
      </c>
      <c r="V648" t="s">
        <v>2370</v>
      </c>
      <c r="W648">
        <v>30307071604295</v>
      </c>
      <c r="X648">
        <v>37809</v>
      </c>
      <c r="Y648" t="s">
        <v>550</v>
      </c>
      <c r="Z648">
        <v>0</v>
      </c>
      <c r="AA648">
        <v>0</v>
      </c>
      <c r="AB648">
        <v>0</v>
      </c>
      <c r="AD648" t="s">
        <v>73</v>
      </c>
      <c r="AE648" t="s">
        <v>429</v>
      </c>
      <c r="AF648">
        <v>77</v>
      </c>
      <c r="AG648">
        <v>179</v>
      </c>
      <c r="AH648">
        <v>-2</v>
      </c>
      <c r="AJ648" t="s">
        <v>2371</v>
      </c>
      <c r="AN648" t="s">
        <v>145</v>
      </c>
    </row>
    <row r="649" spans="1:40" ht="18.75" customHeight="1" x14ac:dyDescent="0.3">
      <c r="A649" s="1">
        <v>2021138303281</v>
      </c>
      <c r="B649" t="s">
        <v>125</v>
      </c>
      <c r="C649" t="s">
        <v>2372</v>
      </c>
      <c r="D649" t="s">
        <v>741</v>
      </c>
      <c r="E649" t="s">
        <v>742</v>
      </c>
      <c r="F649">
        <v>160</v>
      </c>
      <c r="G649">
        <v>44205</v>
      </c>
      <c r="H649">
        <v>45197</v>
      </c>
      <c r="I649">
        <v>45580</v>
      </c>
      <c r="L649" t="s">
        <v>135</v>
      </c>
      <c r="M649" t="s">
        <v>1171</v>
      </c>
      <c r="N649" t="s">
        <v>127</v>
      </c>
      <c r="O649" t="s">
        <v>2040</v>
      </c>
      <c r="P649" t="s">
        <v>49</v>
      </c>
      <c r="R649">
        <v>0</v>
      </c>
      <c r="S649">
        <v>0</v>
      </c>
      <c r="T649">
        <v>0</v>
      </c>
      <c r="U649" t="s">
        <v>2373</v>
      </c>
      <c r="V649" t="s">
        <v>2374</v>
      </c>
      <c r="W649">
        <v>30110151300574</v>
      </c>
      <c r="X649">
        <v>37179</v>
      </c>
      <c r="Y649" t="s">
        <v>550</v>
      </c>
      <c r="Z649">
        <v>0</v>
      </c>
      <c r="AA649">
        <v>0</v>
      </c>
      <c r="AB649">
        <v>0</v>
      </c>
      <c r="AD649" t="s">
        <v>64</v>
      </c>
      <c r="AE649" t="s">
        <v>408</v>
      </c>
      <c r="AF649">
        <v>56</v>
      </c>
      <c r="AG649">
        <v>174</v>
      </c>
      <c r="AH649">
        <v>-18</v>
      </c>
      <c r="AJ649" t="s">
        <v>2375</v>
      </c>
      <c r="AN649" t="s">
        <v>145</v>
      </c>
    </row>
    <row r="650" spans="1:40" ht="18.75" customHeight="1" x14ac:dyDescent="0.3">
      <c r="A650" s="1">
        <v>2021138314741</v>
      </c>
      <c r="B650" t="s">
        <v>125</v>
      </c>
      <c r="C650" t="s">
        <v>2376</v>
      </c>
      <c r="D650" t="s">
        <v>741</v>
      </c>
      <c r="E650" t="s">
        <v>742</v>
      </c>
      <c r="F650">
        <v>161</v>
      </c>
      <c r="G650">
        <v>44546</v>
      </c>
      <c r="H650">
        <v>45581</v>
      </c>
      <c r="I650">
        <v>45581</v>
      </c>
      <c r="L650" t="s">
        <v>135</v>
      </c>
      <c r="M650" t="s">
        <v>1171</v>
      </c>
      <c r="N650" t="s">
        <v>127</v>
      </c>
      <c r="O650" t="s">
        <v>2040</v>
      </c>
      <c r="P650" t="s">
        <v>49</v>
      </c>
      <c r="R650">
        <v>0</v>
      </c>
      <c r="S650">
        <v>0</v>
      </c>
      <c r="T650">
        <v>0</v>
      </c>
      <c r="U650" t="s">
        <v>2377</v>
      </c>
      <c r="V650" t="s">
        <v>2378</v>
      </c>
      <c r="W650">
        <v>30502011602959</v>
      </c>
      <c r="X650">
        <v>38384</v>
      </c>
      <c r="Y650" t="s">
        <v>153</v>
      </c>
      <c r="Z650">
        <v>0</v>
      </c>
      <c r="AA650">
        <v>0</v>
      </c>
      <c r="AB650">
        <v>0</v>
      </c>
      <c r="AD650" t="s">
        <v>73</v>
      </c>
      <c r="AE650" t="s">
        <v>1441</v>
      </c>
      <c r="AF650">
        <v>71</v>
      </c>
      <c r="AG650">
        <v>179</v>
      </c>
      <c r="AH650">
        <v>-8</v>
      </c>
      <c r="AJ650" t="s">
        <v>298</v>
      </c>
      <c r="AN650" t="s">
        <v>145</v>
      </c>
    </row>
    <row r="651" spans="1:40" ht="18.75" customHeight="1" x14ac:dyDescent="0.3">
      <c r="A651" s="1">
        <v>2003130400520</v>
      </c>
      <c r="B651" t="s">
        <v>210</v>
      </c>
      <c r="C651" t="s">
        <v>2379</v>
      </c>
      <c r="D651" t="s">
        <v>2380</v>
      </c>
      <c r="E651" t="s">
        <v>742</v>
      </c>
      <c r="F651">
        <v>129</v>
      </c>
      <c r="G651">
        <v>37639</v>
      </c>
      <c r="H651">
        <v>38110</v>
      </c>
      <c r="I651">
        <v>45658</v>
      </c>
      <c r="K651">
        <v>44534</v>
      </c>
      <c r="L651" t="s">
        <v>77</v>
      </c>
      <c r="M651" t="s">
        <v>1332</v>
      </c>
      <c r="N651" t="s">
        <v>78</v>
      </c>
      <c r="O651" t="s">
        <v>78</v>
      </c>
      <c r="Q651" t="s">
        <v>49</v>
      </c>
      <c r="R651">
        <v>15</v>
      </c>
      <c r="S651">
        <v>2</v>
      </c>
      <c r="T651">
        <v>0</v>
      </c>
      <c r="U651" t="s">
        <v>2381</v>
      </c>
      <c r="W651">
        <v>28501112600391</v>
      </c>
      <c r="X651">
        <v>34148</v>
      </c>
      <c r="Y651" t="s">
        <v>51</v>
      </c>
      <c r="Z651">
        <v>5</v>
      </c>
      <c r="AD651" t="s">
        <v>1257</v>
      </c>
      <c r="AE651" t="s">
        <v>2382</v>
      </c>
      <c r="AF651">
        <v>70</v>
      </c>
      <c r="AG651">
        <v>165</v>
      </c>
      <c r="AH651">
        <v>5</v>
      </c>
      <c r="AN651" t="s">
        <v>56</v>
      </c>
    </row>
    <row r="652" spans="1:40" ht="18.75" customHeight="1" x14ac:dyDescent="0.3">
      <c r="A652" s="1">
        <v>2012134706165</v>
      </c>
      <c r="B652" t="s">
        <v>57</v>
      </c>
      <c r="C652" t="s">
        <v>2383</v>
      </c>
      <c r="D652" t="s">
        <v>2380</v>
      </c>
      <c r="E652" t="s">
        <v>742</v>
      </c>
      <c r="F652">
        <v>148</v>
      </c>
      <c r="G652">
        <v>41111</v>
      </c>
      <c r="H652">
        <v>45108</v>
      </c>
      <c r="I652">
        <v>45108</v>
      </c>
      <c r="K652">
        <v>44534</v>
      </c>
      <c r="L652" t="s">
        <v>1599</v>
      </c>
      <c r="M652" t="s">
        <v>1332</v>
      </c>
      <c r="N652" t="s">
        <v>47</v>
      </c>
      <c r="O652" t="s">
        <v>1341</v>
      </c>
      <c r="Q652" t="s">
        <v>49</v>
      </c>
      <c r="R652">
        <v>1</v>
      </c>
      <c r="S652">
        <v>0</v>
      </c>
      <c r="T652">
        <v>0</v>
      </c>
      <c r="U652" t="s">
        <v>2381</v>
      </c>
      <c r="W652">
        <v>29306281700791</v>
      </c>
      <c r="X652">
        <v>34148</v>
      </c>
      <c r="Y652" t="s">
        <v>51</v>
      </c>
      <c r="Z652">
        <v>2</v>
      </c>
      <c r="AD652" t="s">
        <v>167</v>
      </c>
      <c r="AE652" t="s">
        <v>166</v>
      </c>
      <c r="AF652">
        <v>70</v>
      </c>
      <c r="AG652">
        <v>167</v>
      </c>
      <c r="AH652">
        <v>3</v>
      </c>
      <c r="AN652" t="s">
        <v>56</v>
      </c>
    </row>
    <row r="653" spans="1:40" ht="18.75" customHeight="1" x14ac:dyDescent="0.3">
      <c r="A653" s="1">
        <v>2014134702565</v>
      </c>
      <c r="B653" t="s">
        <v>57</v>
      </c>
      <c r="C653" t="s">
        <v>2384</v>
      </c>
      <c r="D653" t="s">
        <v>2380</v>
      </c>
      <c r="E653" t="s">
        <v>742</v>
      </c>
      <c r="F653">
        <v>152</v>
      </c>
      <c r="G653">
        <v>41853</v>
      </c>
      <c r="H653">
        <v>44230</v>
      </c>
      <c r="I653">
        <v>44013</v>
      </c>
      <c r="K653">
        <v>44508</v>
      </c>
      <c r="L653" t="s">
        <v>1599</v>
      </c>
      <c r="M653" t="s">
        <v>1332</v>
      </c>
      <c r="N653" t="s">
        <v>47</v>
      </c>
      <c r="O653" t="s">
        <v>2385</v>
      </c>
      <c r="P653" t="s">
        <v>49</v>
      </c>
      <c r="R653">
        <v>1</v>
      </c>
      <c r="S653">
        <v>0</v>
      </c>
      <c r="T653">
        <v>0</v>
      </c>
      <c r="U653" t="s">
        <v>2386</v>
      </c>
      <c r="W653">
        <v>29302171400274</v>
      </c>
      <c r="X653">
        <v>34017</v>
      </c>
      <c r="Y653" t="s">
        <v>51</v>
      </c>
      <c r="Z653">
        <v>2</v>
      </c>
      <c r="AD653" t="s">
        <v>1619</v>
      </c>
      <c r="AE653" t="s">
        <v>1556</v>
      </c>
      <c r="AF653">
        <v>86</v>
      </c>
      <c r="AG653">
        <v>186</v>
      </c>
      <c r="AH653">
        <v>0</v>
      </c>
      <c r="AN653" t="s">
        <v>56</v>
      </c>
    </row>
    <row r="654" spans="1:40" ht="18.75" customHeight="1" x14ac:dyDescent="0.3">
      <c r="A654" s="1">
        <v>2016134703882</v>
      </c>
      <c r="B654" t="s">
        <v>75</v>
      </c>
      <c r="C654" t="s">
        <v>2387</v>
      </c>
      <c r="D654" t="s">
        <v>2380</v>
      </c>
      <c r="E654" t="s">
        <v>742</v>
      </c>
      <c r="F654">
        <v>154</v>
      </c>
      <c r="G654">
        <v>42575</v>
      </c>
      <c r="H654">
        <v>43321</v>
      </c>
      <c r="I654">
        <v>45292</v>
      </c>
      <c r="K654">
        <v>45567</v>
      </c>
      <c r="L654" t="s">
        <v>1599</v>
      </c>
      <c r="M654" t="s">
        <v>1332</v>
      </c>
      <c r="N654" t="s">
        <v>47</v>
      </c>
      <c r="O654" t="s">
        <v>2388</v>
      </c>
      <c r="Q654" t="s">
        <v>49</v>
      </c>
      <c r="R654">
        <v>2</v>
      </c>
      <c r="S654">
        <v>0</v>
      </c>
      <c r="T654">
        <v>0</v>
      </c>
      <c r="U654" t="s">
        <v>2389</v>
      </c>
      <c r="W654">
        <v>29702081700293</v>
      </c>
      <c r="X654">
        <v>34148</v>
      </c>
      <c r="Y654" t="s">
        <v>51</v>
      </c>
      <c r="AD654" t="s">
        <v>167</v>
      </c>
      <c r="AE654" t="s">
        <v>1629</v>
      </c>
      <c r="AF654">
        <v>78</v>
      </c>
      <c r="AG654">
        <v>176</v>
      </c>
      <c r="AH654">
        <v>2</v>
      </c>
      <c r="AN654" t="s">
        <v>56</v>
      </c>
    </row>
    <row r="655" spans="1:40" ht="18.75" customHeight="1" x14ac:dyDescent="0.3">
      <c r="A655" s="1">
        <v>2018131803699</v>
      </c>
      <c r="B655" t="s">
        <v>106</v>
      </c>
      <c r="C655" t="s">
        <v>2390</v>
      </c>
      <c r="D655" t="s">
        <v>2380</v>
      </c>
      <c r="E655" t="s">
        <v>742</v>
      </c>
      <c r="F655">
        <v>158</v>
      </c>
      <c r="G655">
        <v>43279</v>
      </c>
      <c r="H655">
        <v>44117</v>
      </c>
      <c r="I655">
        <v>46023</v>
      </c>
      <c r="K655">
        <v>45978</v>
      </c>
      <c r="L655" t="s">
        <v>77</v>
      </c>
      <c r="M655" t="s">
        <v>46</v>
      </c>
      <c r="N655" t="s">
        <v>47</v>
      </c>
      <c r="O655" t="s">
        <v>743</v>
      </c>
      <c r="Q655" t="s">
        <v>49</v>
      </c>
      <c r="R655">
        <v>1</v>
      </c>
      <c r="S655">
        <v>0</v>
      </c>
      <c r="T655">
        <v>0</v>
      </c>
      <c r="U655" t="s">
        <v>2391</v>
      </c>
      <c r="W655">
        <v>29603301656</v>
      </c>
      <c r="X655">
        <v>35154</v>
      </c>
      <c r="Y655" t="s">
        <v>550</v>
      </c>
      <c r="AD655" t="s">
        <v>64</v>
      </c>
      <c r="AE655" t="s">
        <v>746</v>
      </c>
      <c r="AF655">
        <v>66</v>
      </c>
      <c r="AG655">
        <v>168</v>
      </c>
      <c r="AH655">
        <v>-2</v>
      </c>
      <c r="AN655" t="s">
        <v>56</v>
      </c>
    </row>
    <row r="656" spans="1:40" ht="18.75" customHeight="1" x14ac:dyDescent="0.3">
      <c r="A656" s="1">
        <v>2019138317237</v>
      </c>
      <c r="B656" t="s">
        <v>125</v>
      </c>
      <c r="C656" t="s">
        <v>2392</v>
      </c>
      <c r="D656" t="s">
        <v>2380</v>
      </c>
      <c r="E656" t="s">
        <v>742</v>
      </c>
      <c r="F656">
        <v>159</v>
      </c>
      <c r="G656">
        <v>43678</v>
      </c>
      <c r="H656">
        <v>44299</v>
      </c>
      <c r="I656">
        <v>44498</v>
      </c>
      <c r="L656" t="s">
        <v>77</v>
      </c>
      <c r="M656" t="s">
        <v>1332</v>
      </c>
      <c r="N656" t="s">
        <v>127</v>
      </c>
      <c r="O656" t="s">
        <v>1347</v>
      </c>
      <c r="Q656" t="s">
        <v>49</v>
      </c>
      <c r="U656" t="s">
        <v>2393</v>
      </c>
      <c r="W656">
        <v>3010220243478</v>
      </c>
      <c r="X656">
        <v>36911</v>
      </c>
      <c r="Y656" t="s">
        <v>51</v>
      </c>
      <c r="AD656" t="s">
        <v>376</v>
      </c>
      <c r="AE656" t="s">
        <v>376</v>
      </c>
      <c r="AG656" t="s">
        <v>787</v>
      </c>
      <c r="AN656" t="s">
        <v>56</v>
      </c>
    </row>
    <row r="657" spans="1:40" ht="18.75" customHeight="1" x14ac:dyDescent="0.3">
      <c r="A657" s="1">
        <v>2007134790648</v>
      </c>
      <c r="B657" t="s">
        <v>40</v>
      </c>
      <c r="C657" t="s">
        <v>2394</v>
      </c>
      <c r="D657" t="s">
        <v>2395</v>
      </c>
      <c r="E657" t="s">
        <v>750</v>
      </c>
      <c r="F657">
        <v>136</v>
      </c>
      <c r="G657">
        <v>39327</v>
      </c>
      <c r="H657">
        <v>39328</v>
      </c>
      <c r="I657">
        <v>44927</v>
      </c>
      <c r="K657">
        <v>45995</v>
      </c>
      <c r="L657" t="s">
        <v>135</v>
      </c>
      <c r="M657" t="s">
        <v>342</v>
      </c>
      <c r="N657" t="s">
        <v>47</v>
      </c>
      <c r="O657" t="s">
        <v>2396</v>
      </c>
      <c r="P657" t="s">
        <v>49</v>
      </c>
      <c r="R657">
        <v>8</v>
      </c>
      <c r="S657">
        <v>0</v>
      </c>
      <c r="T657">
        <v>0</v>
      </c>
      <c r="U657" t="s">
        <v>2397</v>
      </c>
      <c r="W657">
        <v>29010081801431</v>
      </c>
      <c r="X657">
        <v>33154</v>
      </c>
      <c r="Y657" t="s">
        <v>103</v>
      </c>
      <c r="AH657" t="s">
        <v>787</v>
      </c>
      <c r="AJ657" t="s">
        <v>2398</v>
      </c>
      <c r="AN657" t="s">
        <v>145</v>
      </c>
    </row>
    <row r="658" spans="1:40" ht="18.75" customHeight="1" x14ac:dyDescent="0.3">
      <c r="A658" s="1">
        <v>2007138311705</v>
      </c>
      <c r="B658" t="s">
        <v>75</v>
      </c>
      <c r="C658" t="s">
        <v>2399</v>
      </c>
      <c r="D658" t="s">
        <v>2395</v>
      </c>
      <c r="E658" t="s">
        <v>750</v>
      </c>
      <c r="F658">
        <v>138</v>
      </c>
      <c r="G658">
        <v>39284</v>
      </c>
      <c r="H658">
        <v>39759</v>
      </c>
      <c r="I658">
        <v>43831</v>
      </c>
      <c r="K658">
        <v>45586</v>
      </c>
      <c r="L658" t="s">
        <v>135</v>
      </c>
      <c r="M658" t="s">
        <v>342</v>
      </c>
      <c r="N658" t="s">
        <v>127</v>
      </c>
      <c r="O658" t="s">
        <v>1105</v>
      </c>
      <c r="P658" t="s">
        <v>49</v>
      </c>
      <c r="R658">
        <v>15</v>
      </c>
      <c r="S658">
        <v>10</v>
      </c>
      <c r="T658">
        <v>1</v>
      </c>
      <c r="U658" t="s">
        <v>2400</v>
      </c>
      <c r="W658">
        <v>28707151203533</v>
      </c>
      <c r="X658">
        <v>31973</v>
      </c>
      <c r="Y658" t="s">
        <v>103</v>
      </c>
      <c r="AH658" t="s">
        <v>787</v>
      </c>
      <c r="AJ658" t="s">
        <v>2401</v>
      </c>
      <c r="AN658" t="s">
        <v>145</v>
      </c>
    </row>
    <row r="659" spans="1:40" ht="18.75" customHeight="1" x14ac:dyDescent="0.3">
      <c r="A659" s="1">
        <v>2008138307900</v>
      </c>
      <c r="B659" t="s">
        <v>57</v>
      </c>
      <c r="C659" t="s">
        <v>2402</v>
      </c>
      <c r="D659" t="s">
        <v>2395</v>
      </c>
      <c r="E659" t="s">
        <v>750</v>
      </c>
      <c r="F659">
        <v>140</v>
      </c>
      <c r="G659">
        <v>39655</v>
      </c>
      <c r="H659">
        <v>40128</v>
      </c>
      <c r="I659">
        <v>45658</v>
      </c>
      <c r="K659">
        <v>44519</v>
      </c>
      <c r="L659" t="s">
        <v>45</v>
      </c>
      <c r="M659" t="s">
        <v>342</v>
      </c>
      <c r="N659" t="s">
        <v>127</v>
      </c>
      <c r="O659" t="s">
        <v>2403</v>
      </c>
      <c r="P659" t="s">
        <v>49</v>
      </c>
      <c r="R659">
        <v>9</v>
      </c>
      <c r="S659">
        <v>0</v>
      </c>
      <c r="T659">
        <v>0</v>
      </c>
      <c r="U659" t="s">
        <v>2404</v>
      </c>
      <c r="W659">
        <v>28501231300834</v>
      </c>
      <c r="X659">
        <v>31070</v>
      </c>
      <c r="Y659" t="s">
        <v>103</v>
      </c>
      <c r="AH659" t="s">
        <v>787</v>
      </c>
      <c r="AJ659" t="s">
        <v>2405</v>
      </c>
      <c r="AN659" t="s">
        <v>145</v>
      </c>
    </row>
    <row r="660" spans="1:40" ht="18.75" customHeight="1" x14ac:dyDescent="0.3">
      <c r="A660" s="1">
        <v>2009138302198</v>
      </c>
      <c r="B660" t="s">
        <v>57</v>
      </c>
      <c r="C660" t="s">
        <v>2406</v>
      </c>
      <c r="D660" t="s">
        <v>2395</v>
      </c>
      <c r="E660" t="s">
        <v>750</v>
      </c>
      <c r="F660">
        <v>141</v>
      </c>
      <c r="G660">
        <v>39837</v>
      </c>
      <c r="H660">
        <v>40308</v>
      </c>
      <c r="I660">
        <v>45839</v>
      </c>
      <c r="K660">
        <v>45594</v>
      </c>
      <c r="L660" t="s">
        <v>135</v>
      </c>
      <c r="M660" t="s">
        <v>342</v>
      </c>
      <c r="N660" t="s">
        <v>127</v>
      </c>
      <c r="O660" t="s">
        <v>2407</v>
      </c>
      <c r="P660" t="s">
        <v>49</v>
      </c>
      <c r="R660">
        <v>7</v>
      </c>
      <c r="S660">
        <v>0</v>
      </c>
      <c r="T660">
        <v>0</v>
      </c>
      <c r="U660" t="s">
        <v>2408</v>
      </c>
      <c r="W660">
        <v>28908011805237</v>
      </c>
      <c r="X660">
        <v>32721</v>
      </c>
      <c r="Y660" t="s">
        <v>786</v>
      </c>
      <c r="AH660" t="s">
        <v>787</v>
      </c>
      <c r="AJ660" t="s">
        <v>2409</v>
      </c>
      <c r="AN660" t="s">
        <v>145</v>
      </c>
    </row>
    <row r="661" spans="1:40" ht="18.75" customHeight="1" x14ac:dyDescent="0.3">
      <c r="A661" s="1">
        <v>2010134703248</v>
      </c>
      <c r="B661" t="s">
        <v>210</v>
      </c>
      <c r="C661" t="s">
        <v>2410</v>
      </c>
      <c r="D661" t="s">
        <v>2395</v>
      </c>
      <c r="E661" t="s">
        <v>750</v>
      </c>
      <c r="F661">
        <v>143</v>
      </c>
      <c r="G661">
        <v>40376</v>
      </c>
      <c r="H661">
        <v>40575</v>
      </c>
      <c r="I661">
        <v>45839</v>
      </c>
      <c r="K661">
        <v>44905</v>
      </c>
      <c r="L661" t="s">
        <v>88</v>
      </c>
      <c r="M661" t="s">
        <v>342</v>
      </c>
      <c r="N661" t="s">
        <v>47</v>
      </c>
      <c r="O661" t="s">
        <v>2396</v>
      </c>
      <c r="P661" t="s">
        <v>49</v>
      </c>
      <c r="R661">
        <v>3</v>
      </c>
      <c r="S661">
        <v>0</v>
      </c>
      <c r="T661">
        <v>0</v>
      </c>
      <c r="U661" t="s">
        <v>2411</v>
      </c>
      <c r="W661">
        <v>28910012501511</v>
      </c>
      <c r="X661">
        <v>32782</v>
      </c>
      <c r="Y661" t="s">
        <v>786</v>
      </c>
      <c r="AH661" t="str">
        <f>IF([2]!Table1[[#This Row],[الوزن]]&lt;&gt;"",[2]!Table1[[#This Row],[الوزن]]-([2]!Table1[[#This Row],[الطول]]-100),"")</f>
        <v/>
      </c>
      <c r="AJ661" t="s">
        <v>2412</v>
      </c>
      <c r="AN661" t="s">
        <v>145</v>
      </c>
    </row>
    <row r="662" spans="1:40" ht="18.75" customHeight="1" x14ac:dyDescent="0.3">
      <c r="A662" s="1">
        <v>2010138309191</v>
      </c>
      <c r="B662" t="s">
        <v>75</v>
      </c>
      <c r="C662" t="s">
        <v>2413</v>
      </c>
      <c r="D662" t="s">
        <v>2395</v>
      </c>
      <c r="E662" t="s">
        <v>750</v>
      </c>
      <c r="F662">
        <v>144</v>
      </c>
      <c r="G662">
        <v>40376</v>
      </c>
      <c r="H662">
        <v>40850</v>
      </c>
      <c r="I662">
        <v>44562</v>
      </c>
      <c r="K662">
        <v>44524</v>
      </c>
      <c r="L662" t="s">
        <v>45</v>
      </c>
      <c r="M662" t="s">
        <v>342</v>
      </c>
      <c r="N662" t="s">
        <v>127</v>
      </c>
      <c r="O662" t="s">
        <v>2407</v>
      </c>
      <c r="P662" t="s">
        <v>49</v>
      </c>
      <c r="R662">
        <v>1</v>
      </c>
      <c r="S662">
        <v>0</v>
      </c>
      <c r="T662">
        <v>0</v>
      </c>
      <c r="U662">
        <v>1017119314</v>
      </c>
      <c r="W662">
        <v>29410011405692</v>
      </c>
      <c r="X662">
        <v>34608</v>
      </c>
      <c r="Y662" t="s">
        <v>103</v>
      </c>
      <c r="AH662" t="s">
        <v>787</v>
      </c>
      <c r="AJ662" t="s">
        <v>2414</v>
      </c>
      <c r="AK662" t="s">
        <v>2415</v>
      </c>
      <c r="AN662" t="s">
        <v>145</v>
      </c>
    </row>
    <row r="663" spans="1:40" ht="18.75" customHeight="1" x14ac:dyDescent="0.3">
      <c r="A663" s="1">
        <v>2011138314552</v>
      </c>
      <c r="B663" t="s">
        <v>75</v>
      </c>
      <c r="C663" t="s">
        <v>2416</v>
      </c>
      <c r="D663" t="s">
        <v>2395</v>
      </c>
      <c r="E663" t="s">
        <v>750</v>
      </c>
      <c r="F663">
        <v>146</v>
      </c>
      <c r="G663">
        <v>40748</v>
      </c>
      <c r="H663">
        <v>41223</v>
      </c>
      <c r="I663">
        <v>44927</v>
      </c>
      <c r="K663">
        <v>45228</v>
      </c>
      <c r="L663" t="s">
        <v>45</v>
      </c>
      <c r="M663" t="s">
        <v>342</v>
      </c>
      <c r="N663" t="s">
        <v>127</v>
      </c>
      <c r="O663" t="s">
        <v>1730</v>
      </c>
      <c r="P663" t="s">
        <v>49</v>
      </c>
      <c r="R663">
        <v>1</v>
      </c>
      <c r="S663">
        <v>0</v>
      </c>
      <c r="T663">
        <v>0</v>
      </c>
      <c r="U663">
        <v>1010424540</v>
      </c>
      <c r="W663">
        <v>29307121302931</v>
      </c>
      <c r="X663">
        <v>34162</v>
      </c>
      <c r="Y663" t="s">
        <v>786</v>
      </c>
      <c r="AH663" t="s">
        <v>787</v>
      </c>
      <c r="AJ663" t="s">
        <v>2417</v>
      </c>
      <c r="AN663" t="s">
        <v>145</v>
      </c>
    </row>
    <row r="664" spans="1:40" ht="18.75" customHeight="1" x14ac:dyDescent="0.3">
      <c r="A664" s="1">
        <v>2012134702204</v>
      </c>
      <c r="B664" t="s">
        <v>57</v>
      </c>
      <c r="C664" t="s">
        <v>2418</v>
      </c>
      <c r="D664" t="s">
        <v>2395</v>
      </c>
      <c r="E664" t="s">
        <v>750</v>
      </c>
      <c r="F664">
        <v>146</v>
      </c>
      <c r="G664">
        <v>40936</v>
      </c>
      <c r="H664">
        <v>41133</v>
      </c>
      <c r="I664">
        <v>44927</v>
      </c>
      <c r="K664">
        <v>44916</v>
      </c>
      <c r="L664" t="s">
        <v>88</v>
      </c>
      <c r="M664" t="s">
        <v>342</v>
      </c>
      <c r="N664" t="s">
        <v>47</v>
      </c>
      <c r="O664" t="s">
        <v>360</v>
      </c>
      <c r="P664" t="s">
        <v>49</v>
      </c>
      <c r="R664">
        <v>4</v>
      </c>
      <c r="S664">
        <v>0</v>
      </c>
      <c r="T664">
        <v>0</v>
      </c>
      <c r="U664" t="s">
        <v>2419</v>
      </c>
      <c r="W664">
        <v>28803192400555</v>
      </c>
      <c r="X664">
        <v>32221</v>
      </c>
      <c r="Y664" t="s">
        <v>786</v>
      </c>
      <c r="AH664" t="s">
        <v>787</v>
      </c>
      <c r="AJ664" t="s">
        <v>2420</v>
      </c>
      <c r="AN664" t="s">
        <v>145</v>
      </c>
    </row>
    <row r="665" spans="1:40" ht="18.75" customHeight="1" x14ac:dyDescent="0.3">
      <c r="A665" s="1">
        <v>2012134704987</v>
      </c>
      <c r="B665" t="s">
        <v>57</v>
      </c>
      <c r="C665" t="s">
        <v>2421</v>
      </c>
      <c r="D665" t="s">
        <v>2395</v>
      </c>
      <c r="E665" t="s">
        <v>750</v>
      </c>
      <c r="F665">
        <v>147</v>
      </c>
      <c r="G665">
        <v>41111</v>
      </c>
      <c r="H665">
        <v>41310</v>
      </c>
      <c r="I665">
        <v>45108</v>
      </c>
      <c r="K665">
        <v>44916</v>
      </c>
      <c r="L665" t="s">
        <v>88</v>
      </c>
      <c r="M665" t="s">
        <v>342</v>
      </c>
      <c r="N665" t="s">
        <v>47</v>
      </c>
      <c r="O665" t="s">
        <v>2422</v>
      </c>
      <c r="P665" t="s">
        <v>49</v>
      </c>
      <c r="R665">
        <v>4</v>
      </c>
      <c r="S665">
        <v>0</v>
      </c>
      <c r="T665">
        <v>0</v>
      </c>
      <c r="U665" t="s">
        <v>2423</v>
      </c>
      <c r="W665">
        <v>29307201304455</v>
      </c>
      <c r="X665">
        <v>34170</v>
      </c>
      <c r="Y665" t="s">
        <v>103</v>
      </c>
      <c r="AH665" t="s">
        <v>787</v>
      </c>
      <c r="AJ665" t="s">
        <v>2424</v>
      </c>
      <c r="AN665" t="s">
        <v>145</v>
      </c>
    </row>
    <row r="666" spans="1:40" ht="18.75" customHeight="1" x14ac:dyDescent="0.3">
      <c r="A666" s="1">
        <v>2014134704206</v>
      </c>
      <c r="B666" t="s">
        <v>106</v>
      </c>
      <c r="C666" t="s">
        <v>2425</v>
      </c>
      <c r="D666" t="s">
        <v>2395</v>
      </c>
      <c r="E666" t="s">
        <v>750</v>
      </c>
      <c r="F666">
        <v>152</v>
      </c>
      <c r="G666">
        <v>41853</v>
      </c>
      <c r="H666">
        <v>42326</v>
      </c>
      <c r="I666">
        <v>46023</v>
      </c>
      <c r="K666">
        <v>45595</v>
      </c>
      <c r="L666" t="s">
        <v>45</v>
      </c>
      <c r="M666" t="s">
        <v>342</v>
      </c>
      <c r="N666" t="s">
        <v>47</v>
      </c>
      <c r="O666" t="s">
        <v>2426</v>
      </c>
      <c r="Q666" t="s">
        <v>49</v>
      </c>
      <c r="R666">
        <v>1</v>
      </c>
      <c r="S666">
        <v>0</v>
      </c>
      <c r="T666">
        <v>0</v>
      </c>
      <c r="U666">
        <v>1009023654</v>
      </c>
      <c r="W666">
        <v>29310211301072</v>
      </c>
      <c r="X666">
        <v>34263</v>
      </c>
      <c r="Y666" t="s">
        <v>103</v>
      </c>
      <c r="AH666" t="s">
        <v>787</v>
      </c>
      <c r="AJ666" t="s">
        <v>2427</v>
      </c>
      <c r="AN666" t="s">
        <v>145</v>
      </c>
    </row>
    <row r="667" spans="1:40" ht="18.75" customHeight="1" x14ac:dyDescent="0.3">
      <c r="A667" s="1">
        <v>2014134791477</v>
      </c>
      <c r="B667" t="s">
        <v>66</v>
      </c>
      <c r="C667" t="s">
        <v>2428</v>
      </c>
      <c r="D667" t="s">
        <v>2395</v>
      </c>
      <c r="E667" t="s">
        <v>750</v>
      </c>
      <c r="F667" t="s">
        <v>1882</v>
      </c>
      <c r="G667">
        <v>41883</v>
      </c>
      <c r="H667">
        <v>41884</v>
      </c>
      <c r="I667">
        <v>45658</v>
      </c>
      <c r="K667">
        <v>44917</v>
      </c>
      <c r="L667" t="s">
        <v>45</v>
      </c>
      <c r="M667" t="s">
        <v>342</v>
      </c>
      <c r="N667" t="s">
        <v>47</v>
      </c>
      <c r="O667" t="s">
        <v>2429</v>
      </c>
      <c r="Q667" t="s">
        <v>49</v>
      </c>
      <c r="R667">
        <v>3</v>
      </c>
      <c r="S667">
        <v>0</v>
      </c>
      <c r="T667">
        <v>0</v>
      </c>
      <c r="U667">
        <v>1008863799</v>
      </c>
      <c r="W667">
        <v>29903291600696</v>
      </c>
      <c r="X667">
        <v>36248</v>
      </c>
      <c r="Y667" t="s">
        <v>786</v>
      </c>
      <c r="AH667" t="s">
        <v>787</v>
      </c>
      <c r="AJ667" t="s">
        <v>2430</v>
      </c>
      <c r="AN667" t="s">
        <v>145</v>
      </c>
    </row>
    <row r="668" spans="1:40" ht="18.75" customHeight="1" x14ac:dyDescent="0.3">
      <c r="A668" s="1">
        <v>2015134706599</v>
      </c>
      <c r="B668" t="s">
        <v>75</v>
      </c>
      <c r="C668" t="s">
        <v>2431</v>
      </c>
      <c r="D668" t="s">
        <v>2395</v>
      </c>
      <c r="E668" t="s">
        <v>750</v>
      </c>
      <c r="F668">
        <v>154</v>
      </c>
      <c r="G668">
        <v>42224</v>
      </c>
      <c r="H668">
        <v>42790</v>
      </c>
      <c r="I668">
        <v>44743</v>
      </c>
      <c r="K668">
        <v>45221</v>
      </c>
      <c r="L668" t="s">
        <v>88</v>
      </c>
      <c r="M668" t="s">
        <v>342</v>
      </c>
      <c r="N668" t="s">
        <v>47</v>
      </c>
      <c r="O668" t="s">
        <v>2432</v>
      </c>
      <c r="P668" t="s">
        <v>49</v>
      </c>
      <c r="R668">
        <v>4</v>
      </c>
      <c r="S668">
        <v>4</v>
      </c>
      <c r="T668">
        <v>0</v>
      </c>
      <c r="U668" t="s">
        <v>2433</v>
      </c>
      <c r="W668">
        <v>29301231800572</v>
      </c>
      <c r="X668">
        <v>33992</v>
      </c>
      <c r="Y668" t="s">
        <v>103</v>
      </c>
      <c r="AH668" t="s">
        <v>787</v>
      </c>
      <c r="AJ668" t="s">
        <v>2417</v>
      </c>
      <c r="AN668" t="s">
        <v>145</v>
      </c>
    </row>
    <row r="669" spans="1:40" ht="18.75" customHeight="1" x14ac:dyDescent="0.3">
      <c r="A669" s="1">
        <v>2015134709907</v>
      </c>
      <c r="B669" t="s">
        <v>106</v>
      </c>
      <c r="C669" t="s">
        <v>2434</v>
      </c>
      <c r="D669" t="s">
        <v>2395</v>
      </c>
      <c r="E669" t="s">
        <v>750</v>
      </c>
      <c r="F669">
        <v>154</v>
      </c>
      <c r="G669">
        <v>42224</v>
      </c>
      <c r="H669">
        <v>42790</v>
      </c>
      <c r="I669">
        <v>44743</v>
      </c>
      <c r="K669">
        <v>45936</v>
      </c>
      <c r="L669" t="s">
        <v>135</v>
      </c>
      <c r="M669" t="s">
        <v>342</v>
      </c>
      <c r="N669" t="s">
        <v>47</v>
      </c>
      <c r="O669" t="s">
        <v>372</v>
      </c>
      <c r="P669" t="s">
        <v>49</v>
      </c>
      <c r="R669">
        <v>4</v>
      </c>
      <c r="S669">
        <v>0</v>
      </c>
      <c r="T669">
        <v>0</v>
      </c>
      <c r="U669" t="s">
        <v>2435</v>
      </c>
      <c r="W669">
        <v>29709091305494</v>
      </c>
      <c r="X669">
        <v>35682</v>
      </c>
      <c r="Y669" t="s">
        <v>103</v>
      </c>
      <c r="AH669" t="s">
        <v>787</v>
      </c>
      <c r="AJ669" t="s">
        <v>2436</v>
      </c>
      <c r="AN669" t="s">
        <v>145</v>
      </c>
    </row>
    <row r="670" spans="1:40" ht="18.75" customHeight="1" x14ac:dyDescent="0.3">
      <c r="A670" s="1">
        <v>2015134712934</v>
      </c>
      <c r="B670" t="s">
        <v>75</v>
      </c>
      <c r="C670" t="s">
        <v>2437</v>
      </c>
      <c r="D670" t="s">
        <v>2395</v>
      </c>
      <c r="E670" t="s">
        <v>750</v>
      </c>
      <c r="F670">
        <v>155</v>
      </c>
      <c r="G670">
        <v>42369</v>
      </c>
      <c r="H670">
        <v>42932</v>
      </c>
      <c r="I670">
        <v>44927</v>
      </c>
      <c r="K670">
        <v>44917</v>
      </c>
      <c r="L670" t="s">
        <v>88</v>
      </c>
      <c r="M670" t="s">
        <v>342</v>
      </c>
      <c r="N670" t="s">
        <v>47</v>
      </c>
      <c r="O670" t="s">
        <v>2438</v>
      </c>
      <c r="P670" t="s">
        <v>49</v>
      </c>
      <c r="R670">
        <v>1</v>
      </c>
      <c r="S670">
        <v>0</v>
      </c>
      <c r="T670">
        <v>0</v>
      </c>
      <c r="U670" t="s">
        <v>2439</v>
      </c>
      <c r="W670">
        <v>29603081800397</v>
      </c>
      <c r="X670">
        <v>35132</v>
      </c>
      <c r="Y670" t="s">
        <v>51</v>
      </c>
      <c r="AH670" t="s">
        <v>787</v>
      </c>
      <c r="AJ670" t="s">
        <v>2440</v>
      </c>
      <c r="AN670" t="s">
        <v>145</v>
      </c>
    </row>
    <row r="671" spans="1:40" ht="18.75" customHeight="1" x14ac:dyDescent="0.3">
      <c r="A671" s="1">
        <v>2015134713031</v>
      </c>
      <c r="B671" t="s">
        <v>75</v>
      </c>
      <c r="C671" t="s">
        <v>2441</v>
      </c>
      <c r="D671" t="s">
        <v>2395</v>
      </c>
      <c r="E671" t="s">
        <v>750</v>
      </c>
      <c r="F671">
        <v>155</v>
      </c>
      <c r="G671">
        <v>42369</v>
      </c>
      <c r="H671">
        <v>42932</v>
      </c>
      <c r="I671">
        <v>44927</v>
      </c>
      <c r="K671">
        <v>44917</v>
      </c>
      <c r="L671" t="s">
        <v>88</v>
      </c>
      <c r="M671" t="s">
        <v>342</v>
      </c>
      <c r="N671" t="s">
        <v>47</v>
      </c>
      <c r="O671" t="s">
        <v>2442</v>
      </c>
      <c r="P671" t="s">
        <v>49</v>
      </c>
      <c r="R671">
        <v>2</v>
      </c>
      <c r="S671">
        <v>0</v>
      </c>
      <c r="T671">
        <v>0</v>
      </c>
      <c r="U671" t="s">
        <v>2443</v>
      </c>
      <c r="W671">
        <v>29605041802934</v>
      </c>
      <c r="X671">
        <v>35189</v>
      </c>
      <c r="Y671" t="s">
        <v>103</v>
      </c>
      <c r="AH671" t="s">
        <v>787</v>
      </c>
      <c r="AJ671" t="s">
        <v>2444</v>
      </c>
      <c r="AN671" t="s">
        <v>145</v>
      </c>
    </row>
    <row r="672" spans="1:40" ht="18.75" customHeight="1" x14ac:dyDescent="0.3">
      <c r="A672" s="1">
        <v>2015134716671</v>
      </c>
      <c r="B672" t="s">
        <v>75</v>
      </c>
      <c r="C672" t="s">
        <v>2445</v>
      </c>
      <c r="D672" t="s">
        <v>2395</v>
      </c>
      <c r="E672" t="s">
        <v>750</v>
      </c>
      <c r="F672">
        <v>155</v>
      </c>
      <c r="G672">
        <v>42369</v>
      </c>
      <c r="H672">
        <v>42932</v>
      </c>
      <c r="I672">
        <v>44927</v>
      </c>
      <c r="K672">
        <v>45591</v>
      </c>
      <c r="L672" t="s">
        <v>88</v>
      </c>
      <c r="M672" t="s">
        <v>342</v>
      </c>
      <c r="N672" t="s">
        <v>47</v>
      </c>
      <c r="O672" t="s">
        <v>491</v>
      </c>
      <c r="P672" t="s">
        <v>49</v>
      </c>
      <c r="R672">
        <v>7</v>
      </c>
      <c r="S672">
        <v>0</v>
      </c>
      <c r="T672">
        <v>0</v>
      </c>
      <c r="U672" t="s">
        <v>2446</v>
      </c>
      <c r="W672">
        <v>29601142200514</v>
      </c>
      <c r="X672">
        <v>35078</v>
      </c>
      <c r="Y672" t="s">
        <v>103</v>
      </c>
      <c r="AH672" t="s">
        <v>787</v>
      </c>
      <c r="AJ672" t="s">
        <v>2447</v>
      </c>
      <c r="AN672" t="s">
        <v>145</v>
      </c>
    </row>
    <row r="673" spans="1:40" ht="18.75" customHeight="1" x14ac:dyDescent="0.3">
      <c r="A673" s="1">
        <v>2016134702975</v>
      </c>
      <c r="B673" t="s">
        <v>75</v>
      </c>
      <c r="C673" t="s">
        <v>2448</v>
      </c>
      <c r="D673" t="s">
        <v>2395</v>
      </c>
      <c r="E673" t="s">
        <v>750</v>
      </c>
      <c r="F673">
        <v>156</v>
      </c>
      <c r="G673">
        <v>42575</v>
      </c>
      <c r="H673">
        <v>43321</v>
      </c>
      <c r="I673">
        <v>45292</v>
      </c>
      <c r="K673">
        <v>45223</v>
      </c>
      <c r="L673" t="s">
        <v>88</v>
      </c>
      <c r="M673" t="s">
        <v>342</v>
      </c>
      <c r="N673" t="s">
        <v>47</v>
      </c>
      <c r="O673" t="s">
        <v>372</v>
      </c>
      <c r="Q673" t="s">
        <v>49</v>
      </c>
      <c r="R673">
        <v>0</v>
      </c>
      <c r="S673">
        <v>0</v>
      </c>
      <c r="T673">
        <v>0</v>
      </c>
      <c r="U673">
        <v>1023589446</v>
      </c>
      <c r="W673">
        <v>29604011604694</v>
      </c>
      <c r="X673">
        <v>35156</v>
      </c>
      <c r="Y673" t="s">
        <v>51</v>
      </c>
      <c r="AH673" t="s">
        <v>787</v>
      </c>
      <c r="AJ673" t="s">
        <v>2449</v>
      </c>
      <c r="AN673" t="s">
        <v>145</v>
      </c>
    </row>
    <row r="674" spans="1:40" ht="18.75" customHeight="1" x14ac:dyDescent="0.3">
      <c r="A674" s="1">
        <v>2018134702517</v>
      </c>
      <c r="B674" t="s">
        <v>106</v>
      </c>
      <c r="C674" t="s">
        <v>2450</v>
      </c>
      <c r="D674" t="s">
        <v>2395</v>
      </c>
      <c r="E674" t="s">
        <v>750</v>
      </c>
      <c r="F674">
        <v>158</v>
      </c>
      <c r="G674">
        <v>43279</v>
      </c>
      <c r="H674">
        <v>44117</v>
      </c>
      <c r="I674">
        <v>46023</v>
      </c>
      <c r="K674">
        <v>45600</v>
      </c>
      <c r="L674" t="s">
        <v>88</v>
      </c>
      <c r="M674" t="s">
        <v>342</v>
      </c>
      <c r="N674" t="s">
        <v>47</v>
      </c>
      <c r="O674" t="s">
        <v>2451</v>
      </c>
      <c r="Q674" t="s">
        <v>49</v>
      </c>
      <c r="R674">
        <v>1</v>
      </c>
      <c r="S674">
        <v>0</v>
      </c>
      <c r="T674">
        <v>0</v>
      </c>
      <c r="U674" t="s">
        <v>2452</v>
      </c>
      <c r="W674">
        <v>29804011803114</v>
      </c>
      <c r="X674">
        <v>35886</v>
      </c>
      <c r="Y674" t="s">
        <v>153</v>
      </c>
      <c r="AH674" t="s">
        <v>787</v>
      </c>
      <c r="AJ674" t="s">
        <v>2453</v>
      </c>
      <c r="AN674" t="s">
        <v>145</v>
      </c>
    </row>
    <row r="675" spans="1:40" ht="18.75" customHeight="1" x14ac:dyDescent="0.3">
      <c r="A675" s="1">
        <v>2018134706725</v>
      </c>
      <c r="B675" t="s">
        <v>106</v>
      </c>
      <c r="C675" t="s">
        <v>2454</v>
      </c>
      <c r="D675" t="s">
        <v>2395</v>
      </c>
      <c r="E675" t="s">
        <v>750</v>
      </c>
      <c r="F675">
        <v>158</v>
      </c>
      <c r="G675">
        <v>43279</v>
      </c>
      <c r="H675">
        <v>44117</v>
      </c>
      <c r="I675">
        <v>46023</v>
      </c>
      <c r="K675">
        <v>45979</v>
      </c>
      <c r="L675" t="s">
        <v>88</v>
      </c>
      <c r="M675" t="s">
        <v>342</v>
      </c>
      <c r="N675" t="s">
        <v>47</v>
      </c>
      <c r="O675" t="s">
        <v>343</v>
      </c>
      <c r="Q675" t="s">
        <v>49</v>
      </c>
      <c r="R675">
        <v>1</v>
      </c>
      <c r="S675">
        <v>0</v>
      </c>
      <c r="T675">
        <v>0</v>
      </c>
      <c r="U675" t="s">
        <v>2455</v>
      </c>
      <c r="W675">
        <v>29703151200338</v>
      </c>
      <c r="X675">
        <v>35504</v>
      </c>
      <c r="Y675" t="s">
        <v>51</v>
      </c>
      <c r="AH675" t="s">
        <v>787</v>
      </c>
      <c r="AJ675" t="s">
        <v>2456</v>
      </c>
      <c r="AN675" t="s">
        <v>145</v>
      </c>
    </row>
    <row r="676" spans="1:40" ht="18.75" customHeight="1" x14ac:dyDescent="0.3">
      <c r="A676" s="1">
        <v>2018134706965</v>
      </c>
      <c r="B676" t="s">
        <v>106</v>
      </c>
      <c r="C676" t="s">
        <v>2457</v>
      </c>
      <c r="D676" t="s">
        <v>2395</v>
      </c>
      <c r="E676" t="s">
        <v>750</v>
      </c>
      <c r="F676">
        <v>158</v>
      </c>
      <c r="G676">
        <v>43279</v>
      </c>
      <c r="H676">
        <v>44117</v>
      </c>
      <c r="I676">
        <v>46023</v>
      </c>
      <c r="K676">
        <v>45596</v>
      </c>
      <c r="L676" t="s">
        <v>88</v>
      </c>
      <c r="M676" t="s">
        <v>342</v>
      </c>
      <c r="N676" t="s">
        <v>47</v>
      </c>
      <c r="O676" t="s">
        <v>372</v>
      </c>
      <c r="Q676" t="s">
        <v>49</v>
      </c>
      <c r="R676">
        <v>0</v>
      </c>
      <c r="S676">
        <v>0</v>
      </c>
      <c r="T676">
        <v>0</v>
      </c>
      <c r="U676" t="s">
        <v>2458</v>
      </c>
      <c r="W676">
        <v>29811011505071</v>
      </c>
      <c r="X676">
        <v>36100</v>
      </c>
      <c r="Y676" t="s">
        <v>153</v>
      </c>
      <c r="AH676" t="s">
        <v>787</v>
      </c>
      <c r="AJ676" t="s">
        <v>2459</v>
      </c>
      <c r="AN676" t="s">
        <v>145</v>
      </c>
    </row>
    <row r="677" spans="1:40" ht="18.75" customHeight="1" x14ac:dyDescent="0.3">
      <c r="A677" s="1">
        <v>2018134707244</v>
      </c>
      <c r="B677" t="s">
        <v>106</v>
      </c>
      <c r="C677" t="s">
        <v>2460</v>
      </c>
      <c r="D677" t="s">
        <v>2395</v>
      </c>
      <c r="E677" t="s">
        <v>750</v>
      </c>
      <c r="F677">
        <v>158</v>
      </c>
      <c r="G677">
        <v>43279</v>
      </c>
      <c r="H677">
        <v>44117</v>
      </c>
      <c r="I677">
        <v>46023</v>
      </c>
      <c r="K677">
        <v>45595</v>
      </c>
      <c r="L677" t="s">
        <v>88</v>
      </c>
      <c r="M677" t="s">
        <v>342</v>
      </c>
      <c r="N677" t="s">
        <v>47</v>
      </c>
      <c r="O677" t="s">
        <v>372</v>
      </c>
      <c r="Q677" t="s">
        <v>49</v>
      </c>
      <c r="R677">
        <v>0</v>
      </c>
      <c r="S677">
        <v>0</v>
      </c>
      <c r="T677">
        <v>0</v>
      </c>
      <c r="U677">
        <v>1065060096</v>
      </c>
      <c r="W677">
        <v>29503112404334</v>
      </c>
      <c r="X677">
        <v>34769</v>
      </c>
      <c r="Y677" t="s">
        <v>103</v>
      </c>
      <c r="AH677" t="s">
        <v>787</v>
      </c>
      <c r="AJ677" t="s">
        <v>2461</v>
      </c>
      <c r="AN677" t="s">
        <v>145</v>
      </c>
    </row>
    <row r="678" spans="1:40" ht="18.75" customHeight="1" x14ac:dyDescent="0.3">
      <c r="A678" s="1">
        <v>2018134707252</v>
      </c>
      <c r="B678" t="s">
        <v>106</v>
      </c>
      <c r="C678" t="s">
        <v>2462</v>
      </c>
      <c r="D678" t="s">
        <v>2395</v>
      </c>
      <c r="E678" t="s">
        <v>750</v>
      </c>
      <c r="F678">
        <v>158</v>
      </c>
      <c r="G678">
        <v>43279</v>
      </c>
      <c r="H678">
        <v>44117</v>
      </c>
      <c r="I678">
        <v>46023</v>
      </c>
      <c r="K678">
        <v>45979</v>
      </c>
      <c r="L678" t="s">
        <v>88</v>
      </c>
      <c r="M678" t="s">
        <v>342</v>
      </c>
      <c r="N678" t="s">
        <v>47</v>
      </c>
      <c r="O678" t="s">
        <v>372</v>
      </c>
      <c r="Q678" t="s">
        <v>49</v>
      </c>
      <c r="R678">
        <v>1</v>
      </c>
      <c r="S678">
        <v>0</v>
      </c>
      <c r="T678">
        <v>0</v>
      </c>
      <c r="U678" t="s">
        <v>2463</v>
      </c>
      <c r="W678">
        <v>29708312200491</v>
      </c>
      <c r="X678">
        <v>35673</v>
      </c>
      <c r="Y678" t="s">
        <v>103</v>
      </c>
      <c r="AH678" t="s">
        <v>787</v>
      </c>
      <c r="AJ678" t="s">
        <v>2464</v>
      </c>
      <c r="AN678" t="s">
        <v>145</v>
      </c>
    </row>
    <row r="679" spans="1:40" ht="18.75" customHeight="1" x14ac:dyDescent="0.3">
      <c r="A679" s="1">
        <v>2019130400238</v>
      </c>
      <c r="B679" t="s">
        <v>125</v>
      </c>
      <c r="C679" t="s">
        <v>2465</v>
      </c>
      <c r="D679" t="s">
        <v>2395</v>
      </c>
      <c r="E679" t="s">
        <v>750</v>
      </c>
      <c r="F679">
        <v>159</v>
      </c>
      <c r="G679">
        <v>43692</v>
      </c>
      <c r="H679">
        <v>44482</v>
      </c>
      <c r="I679">
        <v>44482</v>
      </c>
      <c r="K679">
        <v>45223</v>
      </c>
      <c r="L679" t="s">
        <v>45</v>
      </c>
      <c r="M679" t="s">
        <v>342</v>
      </c>
      <c r="N679" t="s">
        <v>78</v>
      </c>
      <c r="O679" t="s">
        <v>148</v>
      </c>
      <c r="Q679" t="s">
        <v>49</v>
      </c>
      <c r="R679">
        <v>0</v>
      </c>
      <c r="S679">
        <v>0</v>
      </c>
      <c r="T679">
        <v>0</v>
      </c>
      <c r="U679">
        <v>1098524300</v>
      </c>
      <c r="W679">
        <v>30307151403193</v>
      </c>
      <c r="X679">
        <v>37817</v>
      </c>
      <c r="Y679" t="s">
        <v>550</v>
      </c>
      <c r="AH679" t="s">
        <v>787</v>
      </c>
      <c r="AJ679" t="s">
        <v>2466</v>
      </c>
      <c r="AN679" t="s">
        <v>145</v>
      </c>
    </row>
    <row r="680" spans="1:40" ht="18.75" customHeight="1" x14ac:dyDescent="0.3">
      <c r="A680" s="1">
        <v>2021131808105</v>
      </c>
      <c r="B680" t="s">
        <v>125</v>
      </c>
      <c r="C680" t="s">
        <v>2467</v>
      </c>
      <c r="D680" t="s">
        <v>2395</v>
      </c>
      <c r="E680" t="s">
        <v>750</v>
      </c>
      <c r="F680">
        <v>160</v>
      </c>
      <c r="G680">
        <v>44205</v>
      </c>
      <c r="H680">
        <v>45197</v>
      </c>
      <c r="I680">
        <v>45197</v>
      </c>
      <c r="K680">
        <v>45216</v>
      </c>
      <c r="L680" t="s">
        <v>45</v>
      </c>
      <c r="M680" t="s">
        <v>342</v>
      </c>
      <c r="N680" t="s">
        <v>307</v>
      </c>
      <c r="O680" t="s">
        <v>2468</v>
      </c>
      <c r="Q680" t="s">
        <v>49</v>
      </c>
      <c r="R680">
        <v>0</v>
      </c>
      <c r="S680">
        <v>0</v>
      </c>
      <c r="T680">
        <v>0</v>
      </c>
      <c r="U680">
        <v>1200378584</v>
      </c>
      <c r="W680">
        <v>29811224160307</v>
      </c>
      <c r="X680">
        <v>37503</v>
      </c>
      <c r="Y680" t="s">
        <v>51</v>
      </c>
      <c r="AH680" t="s">
        <v>787</v>
      </c>
      <c r="AJ680" t="s">
        <v>298</v>
      </c>
      <c r="AN680" t="s">
        <v>145</v>
      </c>
    </row>
    <row r="681" spans="1:40" ht="18.75" customHeight="1" x14ac:dyDescent="0.3">
      <c r="A681" s="1">
        <v>2021134707172</v>
      </c>
      <c r="B681" t="s">
        <v>125</v>
      </c>
      <c r="C681" t="s">
        <v>2469</v>
      </c>
      <c r="D681" t="s">
        <v>2395</v>
      </c>
      <c r="E681" t="s">
        <v>750</v>
      </c>
      <c r="F681">
        <v>160</v>
      </c>
      <c r="G681">
        <v>44205</v>
      </c>
      <c r="H681">
        <v>45197</v>
      </c>
      <c r="I681">
        <v>45197</v>
      </c>
      <c r="K681">
        <v>45584</v>
      </c>
      <c r="L681" t="s">
        <v>135</v>
      </c>
      <c r="M681" t="s">
        <v>342</v>
      </c>
      <c r="N681" t="s">
        <v>47</v>
      </c>
      <c r="O681" t="s">
        <v>491</v>
      </c>
      <c r="Q681" t="s">
        <v>49</v>
      </c>
      <c r="R681">
        <v>0</v>
      </c>
      <c r="S681">
        <v>0</v>
      </c>
      <c r="T681">
        <v>0</v>
      </c>
      <c r="U681" t="s">
        <v>2470</v>
      </c>
      <c r="W681">
        <v>29910301600653</v>
      </c>
      <c r="X681">
        <v>36463</v>
      </c>
      <c r="Y681" t="s">
        <v>51</v>
      </c>
      <c r="AH681" t="s">
        <v>787</v>
      </c>
      <c r="AJ681" t="s">
        <v>2471</v>
      </c>
      <c r="AN681" t="s">
        <v>145</v>
      </c>
    </row>
    <row r="682" spans="1:40" ht="18.75" customHeight="1" x14ac:dyDescent="0.3">
      <c r="A682" s="1">
        <v>2021134708112</v>
      </c>
      <c r="B682" t="s">
        <v>125</v>
      </c>
      <c r="C682" t="s">
        <v>2472</v>
      </c>
      <c r="D682" t="s">
        <v>2395</v>
      </c>
      <c r="E682" t="s">
        <v>750</v>
      </c>
      <c r="F682">
        <v>160</v>
      </c>
      <c r="G682">
        <v>44205</v>
      </c>
      <c r="H682">
        <v>45197</v>
      </c>
      <c r="I682">
        <v>45197</v>
      </c>
      <c r="K682">
        <v>45992</v>
      </c>
      <c r="L682" t="s">
        <v>45</v>
      </c>
      <c r="M682" t="s">
        <v>342</v>
      </c>
      <c r="N682" t="s">
        <v>47</v>
      </c>
      <c r="O682" t="s">
        <v>372</v>
      </c>
      <c r="Q682" t="s">
        <v>49</v>
      </c>
      <c r="R682">
        <v>2</v>
      </c>
      <c r="S682">
        <v>0</v>
      </c>
      <c r="T682">
        <v>0</v>
      </c>
      <c r="U682" t="s">
        <v>2473</v>
      </c>
      <c r="W682">
        <v>30108151604218</v>
      </c>
      <c r="X682">
        <v>37118</v>
      </c>
      <c r="Y682" t="s">
        <v>153</v>
      </c>
      <c r="AH682" t="s">
        <v>787</v>
      </c>
      <c r="AJ682" t="s">
        <v>2474</v>
      </c>
      <c r="AN682" t="s">
        <v>145</v>
      </c>
    </row>
    <row r="683" spans="1:40" ht="18.75" customHeight="1" x14ac:dyDescent="0.3">
      <c r="A683" s="1">
        <v>2021134714226</v>
      </c>
      <c r="B683" t="s">
        <v>125</v>
      </c>
      <c r="C683" t="s">
        <v>2475</v>
      </c>
      <c r="D683" t="s">
        <v>2395</v>
      </c>
      <c r="E683" t="s">
        <v>750</v>
      </c>
      <c r="F683">
        <v>161</v>
      </c>
      <c r="G683">
        <v>44546</v>
      </c>
      <c r="H683">
        <v>45566</v>
      </c>
      <c r="I683">
        <v>45566</v>
      </c>
      <c r="K683">
        <v>45566</v>
      </c>
      <c r="L683" t="s">
        <v>135</v>
      </c>
      <c r="M683" t="s">
        <v>342</v>
      </c>
      <c r="N683" t="s">
        <v>47</v>
      </c>
      <c r="O683" t="s">
        <v>491</v>
      </c>
      <c r="Q683" t="s">
        <v>49</v>
      </c>
      <c r="R683">
        <v>0</v>
      </c>
      <c r="S683">
        <v>0</v>
      </c>
      <c r="T683">
        <v>0</v>
      </c>
      <c r="U683" t="s">
        <v>2476</v>
      </c>
      <c r="W683">
        <v>30506211802435</v>
      </c>
      <c r="X683">
        <v>38524</v>
      </c>
      <c r="Y683" t="s">
        <v>153</v>
      </c>
      <c r="AH683" t="s">
        <v>787</v>
      </c>
      <c r="AJ683" t="s">
        <v>298</v>
      </c>
      <c r="AN683" t="s">
        <v>145</v>
      </c>
    </row>
    <row r="684" spans="1:40" ht="18.75" customHeight="1" x14ac:dyDescent="0.3">
      <c r="A684" s="1">
        <v>2021134714937</v>
      </c>
      <c r="B684" t="s">
        <v>125</v>
      </c>
      <c r="C684" t="s">
        <v>2477</v>
      </c>
      <c r="D684" t="s">
        <v>2395</v>
      </c>
      <c r="E684" t="s">
        <v>750</v>
      </c>
      <c r="F684">
        <v>161</v>
      </c>
      <c r="G684">
        <v>44546</v>
      </c>
      <c r="H684">
        <v>45566</v>
      </c>
      <c r="I684">
        <v>45566</v>
      </c>
      <c r="K684">
        <v>45566</v>
      </c>
      <c r="L684" t="s">
        <v>135</v>
      </c>
      <c r="M684" t="s">
        <v>342</v>
      </c>
      <c r="N684" t="s">
        <v>47</v>
      </c>
      <c r="O684" t="s">
        <v>372</v>
      </c>
      <c r="Q684" t="s">
        <v>49</v>
      </c>
      <c r="R684">
        <v>0</v>
      </c>
      <c r="S684">
        <v>0</v>
      </c>
      <c r="T684">
        <v>0</v>
      </c>
      <c r="U684" t="s">
        <v>2478</v>
      </c>
      <c r="W684">
        <v>30411011300272</v>
      </c>
      <c r="X684">
        <v>38292</v>
      </c>
      <c r="Y684" t="s">
        <v>153</v>
      </c>
      <c r="AH684" t="s">
        <v>787</v>
      </c>
      <c r="AJ684" t="s">
        <v>298</v>
      </c>
      <c r="AN684" t="s">
        <v>145</v>
      </c>
    </row>
    <row r="685" spans="1:40" ht="18.75" customHeight="1" x14ac:dyDescent="0.3">
      <c r="A685" s="1">
        <v>2023134703895</v>
      </c>
      <c r="B685" t="s">
        <v>125</v>
      </c>
      <c r="C685" t="s">
        <v>2479</v>
      </c>
      <c r="D685" t="s">
        <v>2395</v>
      </c>
      <c r="E685" t="s">
        <v>750</v>
      </c>
      <c r="F685">
        <v>162</v>
      </c>
      <c r="G685">
        <v>44941</v>
      </c>
      <c r="H685">
        <v>45976</v>
      </c>
      <c r="I685">
        <v>45976</v>
      </c>
      <c r="K685">
        <v>45967</v>
      </c>
      <c r="L685" t="s">
        <v>135</v>
      </c>
      <c r="M685" t="s">
        <v>342</v>
      </c>
      <c r="N685" t="s">
        <v>47</v>
      </c>
      <c r="O685" t="s">
        <v>2432</v>
      </c>
      <c r="Q685" t="s">
        <v>49</v>
      </c>
      <c r="R685">
        <v>0</v>
      </c>
      <c r="S685">
        <v>0</v>
      </c>
      <c r="T685">
        <v>0</v>
      </c>
      <c r="U685" t="s">
        <v>2480</v>
      </c>
      <c r="W685" t="s">
        <v>2481</v>
      </c>
      <c r="X685">
        <v>38317</v>
      </c>
      <c r="Y685" t="s">
        <v>153</v>
      </c>
      <c r="AH685" t="s">
        <v>787</v>
      </c>
      <c r="AJ685" t="s">
        <v>298</v>
      </c>
      <c r="AN685" t="s">
        <v>145</v>
      </c>
    </row>
    <row r="686" spans="1:40" ht="18.75" customHeight="1" x14ac:dyDescent="0.3">
      <c r="A686" s="1">
        <v>2023134704835</v>
      </c>
      <c r="B686" t="s">
        <v>125</v>
      </c>
      <c r="C686" t="s">
        <v>2482</v>
      </c>
      <c r="D686" t="s">
        <v>2395</v>
      </c>
      <c r="E686" t="s">
        <v>750</v>
      </c>
      <c r="F686">
        <v>162</v>
      </c>
      <c r="G686">
        <v>44941</v>
      </c>
      <c r="H686">
        <v>45976</v>
      </c>
      <c r="I686">
        <v>45976</v>
      </c>
      <c r="K686">
        <v>45967</v>
      </c>
      <c r="L686" t="s">
        <v>135</v>
      </c>
      <c r="M686" t="s">
        <v>342</v>
      </c>
      <c r="N686" t="s">
        <v>47</v>
      </c>
      <c r="O686" t="s">
        <v>491</v>
      </c>
      <c r="Q686" t="s">
        <v>49</v>
      </c>
      <c r="R686">
        <v>0</v>
      </c>
      <c r="S686">
        <v>0</v>
      </c>
      <c r="T686">
        <v>0</v>
      </c>
      <c r="U686" t="s">
        <v>2483</v>
      </c>
      <c r="W686">
        <v>30309172800519</v>
      </c>
      <c r="X686">
        <v>37881</v>
      </c>
      <c r="Y686" t="s">
        <v>153</v>
      </c>
      <c r="AH686" t="s">
        <v>787</v>
      </c>
      <c r="AJ686" t="s">
        <v>298</v>
      </c>
      <c r="AN686" t="s">
        <v>145</v>
      </c>
    </row>
    <row r="687" spans="1:40" ht="18.75" customHeight="1" x14ac:dyDescent="0.3">
      <c r="A687" s="1">
        <v>2023134707681</v>
      </c>
      <c r="B687" t="s">
        <v>125</v>
      </c>
      <c r="C687" t="s">
        <v>2484</v>
      </c>
      <c r="D687" t="s">
        <v>2395</v>
      </c>
      <c r="E687" t="s">
        <v>750</v>
      </c>
      <c r="F687">
        <v>162</v>
      </c>
      <c r="G687">
        <v>44941</v>
      </c>
      <c r="H687">
        <v>45976</v>
      </c>
      <c r="I687">
        <v>45976</v>
      </c>
      <c r="K687">
        <v>45967</v>
      </c>
      <c r="L687" t="s">
        <v>135</v>
      </c>
      <c r="M687" t="s">
        <v>342</v>
      </c>
      <c r="N687" t="s">
        <v>47</v>
      </c>
      <c r="O687" t="s">
        <v>2485</v>
      </c>
      <c r="Q687" t="s">
        <v>49</v>
      </c>
      <c r="R687">
        <v>0</v>
      </c>
      <c r="S687">
        <v>0</v>
      </c>
      <c r="T687">
        <v>0</v>
      </c>
      <c r="U687" t="s">
        <v>2486</v>
      </c>
      <c r="W687">
        <v>30209010205213</v>
      </c>
      <c r="X687">
        <v>37500</v>
      </c>
      <c r="Y687" t="s">
        <v>153</v>
      </c>
      <c r="AH687" t="s">
        <v>787</v>
      </c>
      <c r="AJ687" t="s">
        <v>298</v>
      </c>
      <c r="AN687" t="s">
        <v>145</v>
      </c>
    </row>
    <row r="688" spans="1:40" ht="18.75" customHeight="1" x14ac:dyDescent="0.3">
      <c r="A688" s="1">
        <v>2015132705155</v>
      </c>
      <c r="B688" t="s">
        <v>75</v>
      </c>
      <c r="C688" t="s">
        <v>2487</v>
      </c>
      <c r="D688" t="s">
        <v>2488</v>
      </c>
      <c r="E688" t="s">
        <v>750</v>
      </c>
      <c r="F688" t="s">
        <v>1260</v>
      </c>
      <c r="G688">
        <v>42309</v>
      </c>
      <c r="H688">
        <v>42967</v>
      </c>
      <c r="I688">
        <v>44927</v>
      </c>
      <c r="J688">
        <v>45226</v>
      </c>
      <c r="K688">
        <v>45227</v>
      </c>
      <c r="L688" t="s">
        <v>263</v>
      </c>
      <c r="M688" t="s">
        <v>264</v>
      </c>
      <c r="N688" t="s">
        <v>2489</v>
      </c>
      <c r="O688" t="s">
        <v>1237</v>
      </c>
      <c r="P688" t="s">
        <v>49</v>
      </c>
      <c r="R688">
        <v>1</v>
      </c>
      <c r="S688">
        <v>0</v>
      </c>
      <c r="T688">
        <v>0</v>
      </c>
      <c r="U688" t="s">
        <v>2490</v>
      </c>
      <c r="V688" t="s">
        <v>2491</v>
      </c>
      <c r="W688">
        <v>29705182502416</v>
      </c>
      <c r="X688">
        <v>35568</v>
      </c>
      <c r="Y688" t="s">
        <v>103</v>
      </c>
      <c r="AF688">
        <v>82</v>
      </c>
      <c r="AG688">
        <v>179</v>
      </c>
      <c r="AH688">
        <v>3</v>
      </c>
      <c r="AJ688" t="s">
        <v>2492</v>
      </c>
      <c r="AN688" t="s">
        <v>625</v>
      </c>
    </row>
    <row r="689" spans="1:40" ht="18.75" customHeight="1" x14ac:dyDescent="0.3">
      <c r="A689" s="1">
        <v>2016132702539</v>
      </c>
      <c r="B689" t="s">
        <v>75</v>
      </c>
      <c r="C689" t="s">
        <v>2493</v>
      </c>
      <c r="D689" t="s">
        <v>2488</v>
      </c>
      <c r="E689" t="s">
        <v>750</v>
      </c>
      <c r="F689" t="s">
        <v>2494</v>
      </c>
      <c r="G689">
        <v>42662</v>
      </c>
      <c r="H689">
        <v>43318</v>
      </c>
      <c r="I689">
        <v>45292</v>
      </c>
      <c r="J689">
        <v>45242</v>
      </c>
      <c r="K689">
        <v>45243</v>
      </c>
      <c r="L689" t="s">
        <v>263</v>
      </c>
      <c r="M689" t="s">
        <v>264</v>
      </c>
      <c r="N689" t="s">
        <v>2489</v>
      </c>
      <c r="O689" t="s">
        <v>2495</v>
      </c>
      <c r="P689" t="s">
        <v>49</v>
      </c>
      <c r="R689">
        <v>4</v>
      </c>
      <c r="S689">
        <v>0</v>
      </c>
      <c r="T689">
        <v>0</v>
      </c>
      <c r="U689" t="s">
        <v>2496</v>
      </c>
      <c r="V689" t="s">
        <v>2497</v>
      </c>
      <c r="W689">
        <v>29610171600776</v>
      </c>
      <c r="X689">
        <v>35355</v>
      </c>
      <c r="Y689" t="s">
        <v>103</v>
      </c>
      <c r="AF689">
        <v>70</v>
      </c>
      <c r="AG689">
        <v>170</v>
      </c>
      <c r="AH689">
        <v>0</v>
      </c>
      <c r="AJ689" t="s">
        <v>2498</v>
      </c>
      <c r="AN689" t="s">
        <v>625</v>
      </c>
    </row>
    <row r="690" spans="1:40" ht="18.75" customHeight="1" x14ac:dyDescent="0.3">
      <c r="A690" s="1">
        <v>2016132703058</v>
      </c>
      <c r="B690" t="s">
        <v>75</v>
      </c>
      <c r="C690" t="s">
        <v>2499</v>
      </c>
      <c r="D690" t="s">
        <v>2500</v>
      </c>
      <c r="E690" t="s">
        <v>750</v>
      </c>
      <c r="F690" t="s">
        <v>2494</v>
      </c>
      <c r="G690">
        <v>42662</v>
      </c>
      <c r="H690">
        <v>43318</v>
      </c>
      <c r="I690">
        <v>45292</v>
      </c>
      <c r="J690">
        <v>45971</v>
      </c>
      <c r="K690">
        <v>45971</v>
      </c>
      <c r="L690" t="s">
        <v>263</v>
      </c>
      <c r="M690" t="s">
        <v>264</v>
      </c>
      <c r="N690" t="s">
        <v>2489</v>
      </c>
      <c r="O690" t="s">
        <v>1237</v>
      </c>
      <c r="Q690" t="s">
        <v>49</v>
      </c>
      <c r="R690">
        <v>3</v>
      </c>
      <c r="S690">
        <v>0</v>
      </c>
      <c r="T690">
        <v>0</v>
      </c>
      <c r="U690" t="s">
        <v>2501</v>
      </c>
      <c r="V690" t="s">
        <v>2502</v>
      </c>
      <c r="W690">
        <v>29705011206011</v>
      </c>
      <c r="X690">
        <v>35551</v>
      </c>
      <c r="Y690" t="s">
        <v>103</v>
      </c>
      <c r="AF690">
        <v>81</v>
      </c>
      <c r="AG690">
        <v>177</v>
      </c>
      <c r="AH690">
        <v>4</v>
      </c>
      <c r="AJ690" t="s">
        <v>2503</v>
      </c>
      <c r="AN690" t="s">
        <v>625</v>
      </c>
    </row>
    <row r="691" spans="1:40" ht="18.75" customHeight="1" x14ac:dyDescent="0.3">
      <c r="A691" s="1">
        <v>2017132701729</v>
      </c>
      <c r="B691" t="s">
        <v>75</v>
      </c>
      <c r="C691" t="s">
        <v>2504</v>
      </c>
      <c r="D691" t="s">
        <v>2500</v>
      </c>
      <c r="E691" t="s">
        <v>750</v>
      </c>
      <c r="F691" t="s">
        <v>1285</v>
      </c>
      <c r="G691">
        <v>43040</v>
      </c>
      <c r="H691">
        <v>43683</v>
      </c>
      <c r="I691">
        <v>45292</v>
      </c>
      <c r="J691">
        <v>45216</v>
      </c>
      <c r="K691">
        <v>45216</v>
      </c>
      <c r="L691" t="s">
        <v>263</v>
      </c>
      <c r="M691" t="s">
        <v>264</v>
      </c>
      <c r="N691" t="s">
        <v>2489</v>
      </c>
      <c r="O691" t="s">
        <v>1237</v>
      </c>
      <c r="P691" t="s">
        <v>49</v>
      </c>
      <c r="R691">
        <v>1</v>
      </c>
      <c r="S691">
        <v>0</v>
      </c>
      <c r="T691">
        <v>0</v>
      </c>
      <c r="U691" t="s">
        <v>2505</v>
      </c>
      <c r="V691" t="s">
        <v>2506</v>
      </c>
      <c r="W691">
        <v>29801251801331</v>
      </c>
      <c r="X691">
        <v>36066</v>
      </c>
      <c r="Y691" t="s">
        <v>103</v>
      </c>
      <c r="AF691">
        <v>86</v>
      </c>
      <c r="AG691">
        <v>184</v>
      </c>
      <c r="AH691">
        <v>2</v>
      </c>
      <c r="AJ691" t="s">
        <v>2507</v>
      </c>
      <c r="AN691" t="s">
        <v>625</v>
      </c>
    </row>
    <row r="692" spans="1:40" ht="18.75" customHeight="1" x14ac:dyDescent="0.3">
      <c r="A692" s="1">
        <v>2017131809748</v>
      </c>
      <c r="B692" t="s">
        <v>106</v>
      </c>
      <c r="C692" t="s">
        <v>2508</v>
      </c>
      <c r="D692" t="s">
        <v>1700</v>
      </c>
      <c r="E692" t="s">
        <v>742</v>
      </c>
      <c r="AG692" t="s">
        <v>787</v>
      </c>
    </row>
    <row r="693" spans="1:40" ht="18.75" customHeight="1" x14ac:dyDescent="0.3">
      <c r="A693" s="1">
        <v>2009131800298</v>
      </c>
      <c r="B693" t="s">
        <v>57</v>
      </c>
      <c r="C693" t="s">
        <v>2509</v>
      </c>
      <c r="D693" t="s">
        <v>694</v>
      </c>
      <c r="E693" t="s">
        <v>43</v>
      </c>
      <c r="F693">
        <v>141</v>
      </c>
      <c r="G693">
        <v>39837</v>
      </c>
      <c r="H693">
        <v>40309</v>
      </c>
      <c r="I693">
        <v>45839</v>
      </c>
      <c r="J693">
        <v>45893</v>
      </c>
      <c r="K693">
        <v>45893</v>
      </c>
      <c r="L693" t="s">
        <v>135</v>
      </c>
      <c r="M693" t="s">
        <v>695</v>
      </c>
      <c r="N693" t="s">
        <v>727</v>
      </c>
      <c r="O693" t="s">
        <v>608</v>
      </c>
      <c r="Q693" t="s">
        <v>49</v>
      </c>
      <c r="R693">
        <v>14</v>
      </c>
      <c r="S693">
        <v>0</v>
      </c>
      <c r="T693">
        <v>0</v>
      </c>
      <c r="U693" t="s">
        <v>2510</v>
      </c>
      <c r="V693" t="s">
        <v>2511</v>
      </c>
      <c r="W693">
        <v>29109221302771</v>
      </c>
      <c r="X693">
        <v>33503</v>
      </c>
      <c r="Y693" t="s">
        <v>103</v>
      </c>
      <c r="Z693">
        <v>2</v>
      </c>
      <c r="AA693">
        <v>1</v>
      </c>
      <c r="AD693" t="s">
        <v>2512</v>
      </c>
      <c r="AF693">
        <v>85</v>
      </c>
      <c r="AG693">
        <v>175</v>
      </c>
      <c r="AH693">
        <f>IF([2]!Table1[[#This Row],[الوزن]]&lt;&gt;"",[2]!Table1[[#This Row],[الوزن]]-([2]!Table1[[#This Row],[الطول]]-100),"")</f>
        <v>-8</v>
      </c>
      <c r="AN693" t="s">
        <v>145</v>
      </c>
    </row>
    <row r="694" spans="1:40" ht="18.75" customHeight="1" x14ac:dyDescent="0.3">
      <c r="A694" s="1">
        <v>2011131801150</v>
      </c>
      <c r="B694" t="s">
        <v>75</v>
      </c>
      <c r="C694" t="s">
        <v>2513</v>
      </c>
      <c r="D694" t="s">
        <v>694</v>
      </c>
      <c r="E694" t="s">
        <v>43</v>
      </c>
      <c r="F694">
        <v>145</v>
      </c>
      <c r="G694">
        <v>40558</v>
      </c>
      <c r="H694">
        <v>41031</v>
      </c>
      <c r="I694">
        <v>44743</v>
      </c>
      <c r="J694">
        <v>42669</v>
      </c>
      <c r="K694">
        <v>42669</v>
      </c>
      <c r="L694" t="s">
        <v>135</v>
      </c>
      <c r="M694" t="s">
        <v>695</v>
      </c>
      <c r="N694" t="s">
        <v>727</v>
      </c>
      <c r="O694" t="s">
        <v>608</v>
      </c>
      <c r="Q694" t="s">
        <v>49</v>
      </c>
      <c r="R694">
        <v>2</v>
      </c>
      <c r="S694">
        <v>0</v>
      </c>
      <c r="T694">
        <v>0</v>
      </c>
      <c r="U694" t="s">
        <v>2514</v>
      </c>
      <c r="W694">
        <v>28907081601217</v>
      </c>
      <c r="X694">
        <v>32697</v>
      </c>
      <c r="Y694" t="s">
        <v>103</v>
      </c>
      <c r="Z694">
        <v>3</v>
      </c>
      <c r="AA694">
        <v>2</v>
      </c>
      <c r="AD694" t="s">
        <v>2515</v>
      </c>
      <c r="AF694">
        <v>72</v>
      </c>
      <c r="AG694">
        <v>180</v>
      </c>
      <c r="AH694">
        <f>IF([2]!Table1[[#This Row],[الوزن]]&lt;&gt;"",[2]!Table1[[#This Row],[الوزن]]-([2]!Table1[[#This Row],[الطول]]-100),"")</f>
        <v>1</v>
      </c>
      <c r="AJ694" t="s">
        <v>2516</v>
      </c>
      <c r="AN694" t="s">
        <v>145</v>
      </c>
    </row>
    <row r="695" spans="1:40" ht="18.75" customHeight="1" x14ac:dyDescent="0.3">
      <c r="A695" s="1">
        <v>2012131802205</v>
      </c>
      <c r="B695" t="s">
        <v>75</v>
      </c>
      <c r="C695" t="s">
        <v>2517</v>
      </c>
      <c r="D695" t="s">
        <v>694</v>
      </c>
      <c r="E695" t="s">
        <v>43</v>
      </c>
      <c r="F695">
        <v>147</v>
      </c>
      <c r="G695">
        <v>40936</v>
      </c>
      <c r="H695">
        <v>41406</v>
      </c>
      <c r="I695">
        <v>45108</v>
      </c>
      <c r="J695">
        <v>44504</v>
      </c>
      <c r="K695">
        <v>44504</v>
      </c>
      <c r="L695" t="s">
        <v>135</v>
      </c>
      <c r="M695" t="s">
        <v>695</v>
      </c>
      <c r="N695" t="s">
        <v>727</v>
      </c>
      <c r="O695" t="s">
        <v>608</v>
      </c>
      <c r="Q695" t="s">
        <v>49</v>
      </c>
      <c r="R695">
        <v>1</v>
      </c>
      <c r="S695">
        <v>0</v>
      </c>
      <c r="T695">
        <v>0</v>
      </c>
      <c r="U695" t="s">
        <v>2518</v>
      </c>
      <c r="V695" t="s">
        <v>2519</v>
      </c>
      <c r="W695">
        <v>29301022203397</v>
      </c>
      <c r="X695">
        <v>33971</v>
      </c>
      <c r="Y695" t="s">
        <v>103</v>
      </c>
      <c r="Z695">
        <v>3</v>
      </c>
      <c r="AA695">
        <v>2</v>
      </c>
      <c r="AD695" t="s">
        <v>401</v>
      </c>
      <c r="AF695">
        <v>70</v>
      </c>
      <c r="AG695">
        <v>169</v>
      </c>
      <c r="AH695">
        <f>IF([2]!Table1[[#This Row],[الوزن]]&lt;&gt;"",[2]!Table1[[#This Row],[الوزن]]-([2]!Table1[[#This Row],[الطول]]-100),"")</f>
        <v>2</v>
      </c>
      <c r="AN695" t="s">
        <v>145</v>
      </c>
    </row>
    <row r="696" spans="1:40" ht="18.75" customHeight="1" x14ac:dyDescent="0.3">
      <c r="A696" s="1">
        <v>2013131801718</v>
      </c>
      <c r="B696" t="s">
        <v>75</v>
      </c>
      <c r="C696" t="s">
        <v>2520</v>
      </c>
      <c r="D696" t="s">
        <v>694</v>
      </c>
      <c r="E696" t="s">
        <v>43</v>
      </c>
      <c r="F696">
        <v>149</v>
      </c>
      <c r="G696">
        <v>41307</v>
      </c>
      <c r="H696">
        <v>41776</v>
      </c>
      <c r="I696">
        <v>45474</v>
      </c>
      <c r="J696">
        <v>44504</v>
      </c>
      <c r="K696">
        <v>44504</v>
      </c>
      <c r="L696" t="s">
        <v>135</v>
      </c>
      <c r="M696" t="s">
        <v>695</v>
      </c>
      <c r="N696" t="s">
        <v>727</v>
      </c>
      <c r="O696" t="s">
        <v>608</v>
      </c>
      <c r="Q696" t="s">
        <v>49</v>
      </c>
      <c r="R696">
        <v>2</v>
      </c>
      <c r="S696">
        <v>0</v>
      </c>
      <c r="T696">
        <v>0</v>
      </c>
      <c r="U696" t="s">
        <v>2521</v>
      </c>
      <c r="V696" t="s">
        <v>2522</v>
      </c>
      <c r="W696">
        <v>29309271304552</v>
      </c>
      <c r="X696">
        <v>34239</v>
      </c>
      <c r="Y696" t="s">
        <v>103</v>
      </c>
      <c r="Z696">
        <v>3</v>
      </c>
      <c r="AA696">
        <v>2</v>
      </c>
      <c r="AD696" t="s">
        <v>2523</v>
      </c>
      <c r="AF696">
        <v>73</v>
      </c>
      <c r="AG696">
        <v>171</v>
      </c>
      <c r="AH696">
        <f>IF([2]!Table1[[#This Row],[الوزن]]&lt;&gt;"",[2]!Table1[[#This Row],[الوزن]]-([2]!Table1[[#This Row],[الطول]]-100),"")</f>
        <v>-1</v>
      </c>
      <c r="AN696" t="s">
        <v>145</v>
      </c>
    </row>
    <row r="697" spans="1:40" ht="18.75" customHeight="1" x14ac:dyDescent="0.3">
      <c r="A697" s="1">
        <v>2013131802914</v>
      </c>
      <c r="B697" t="s">
        <v>75</v>
      </c>
      <c r="C697" t="s">
        <v>2524</v>
      </c>
      <c r="D697" t="s">
        <v>694</v>
      </c>
      <c r="E697" t="s">
        <v>43</v>
      </c>
      <c r="F697">
        <v>149</v>
      </c>
      <c r="G697">
        <v>41307</v>
      </c>
      <c r="H697">
        <v>41776</v>
      </c>
      <c r="I697">
        <v>45474</v>
      </c>
      <c r="J697">
        <v>45972</v>
      </c>
      <c r="K697">
        <v>45972</v>
      </c>
      <c r="L697" t="s">
        <v>135</v>
      </c>
      <c r="M697" t="s">
        <v>695</v>
      </c>
      <c r="N697" t="s">
        <v>727</v>
      </c>
      <c r="O697" t="s">
        <v>608</v>
      </c>
      <c r="Q697" t="s">
        <v>49</v>
      </c>
      <c r="R697">
        <v>2</v>
      </c>
      <c r="S697">
        <v>0</v>
      </c>
      <c r="T697">
        <v>0</v>
      </c>
      <c r="U697" t="s">
        <v>2525</v>
      </c>
      <c r="W697">
        <v>29212041200134</v>
      </c>
      <c r="X697">
        <v>33942</v>
      </c>
      <c r="Y697" t="s">
        <v>103</v>
      </c>
      <c r="Z697">
        <v>3</v>
      </c>
      <c r="AA697">
        <v>1</v>
      </c>
      <c r="AD697" t="s">
        <v>2526</v>
      </c>
      <c r="AF697">
        <v>74</v>
      </c>
      <c r="AG697">
        <v>175</v>
      </c>
      <c r="AH697">
        <f>IF([2]!Table1[[#This Row],[الوزن]]&lt;&gt;"",[2]!Table1[[#This Row],[الوزن]]-([2]!Table1[[#This Row],[الطول]]-100),"")</f>
        <v>2</v>
      </c>
      <c r="AN697" t="s">
        <v>145</v>
      </c>
    </row>
    <row r="698" spans="1:40" ht="18.75" customHeight="1" x14ac:dyDescent="0.3">
      <c r="A698" s="1">
        <v>2013131805893</v>
      </c>
      <c r="B698" t="s">
        <v>75</v>
      </c>
      <c r="C698" t="s">
        <v>2527</v>
      </c>
      <c r="D698" t="s">
        <v>694</v>
      </c>
      <c r="E698" t="s">
        <v>43</v>
      </c>
      <c r="F698">
        <v>150</v>
      </c>
      <c r="G698">
        <v>41510</v>
      </c>
      <c r="H698">
        <v>41981</v>
      </c>
      <c r="I698">
        <v>45658</v>
      </c>
      <c r="J698">
        <v>45972</v>
      </c>
      <c r="K698">
        <v>45972</v>
      </c>
      <c r="L698" t="s">
        <v>135</v>
      </c>
      <c r="M698" t="s">
        <v>695</v>
      </c>
      <c r="N698" t="s">
        <v>727</v>
      </c>
      <c r="O698" t="s">
        <v>608</v>
      </c>
      <c r="Q698" t="s">
        <v>49</v>
      </c>
      <c r="R698">
        <v>0</v>
      </c>
      <c r="S698">
        <v>0</v>
      </c>
      <c r="T698">
        <v>0</v>
      </c>
      <c r="U698" t="s">
        <v>2528</v>
      </c>
      <c r="V698" t="s">
        <v>2529</v>
      </c>
      <c r="W698">
        <v>29303161500838</v>
      </c>
      <c r="X698">
        <v>34044</v>
      </c>
      <c r="Y698" t="s">
        <v>103</v>
      </c>
      <c r="Z698">
        <v>1</v>
      </c>
      <c r="AA698">
        <v>1</v>
      </c>
      <c r="AD698" t="s">
        <v>2530</v>
      </c>
      <c r="AF698">
        <v>81</v>
      </c>
      <c r="AG698">
        <v>179</v>
      </c>
      <c r="AH698">
        <f>IF([2]!Table1[[#This Row],[الوزن]]&lt;&gt;"",[2]!Table1[[#This Row],[الوزن]]-([2]!Table1[[#This Row],[الطول]]-100),"")</f>
        <v>-7</v>
      </c>
      <c r="AN698" t="s">
        <v>145</v>
      </c>
    </row>
    <row r="699" spans="1:40" ht="18.75" customHeight="1" x14ac:dyDescent="0.3">
      <c r="A699" s="1">
        <v>2014131800346</v>
      </c>
      <c r="B699" t="s">
        <v>75</v>
      </c>
      <c r="C699" t="s">
        <v>2531</v>
      </c>
      <c r="D699" t="s">
        <v>694</v>
      </c>
      <c r="E699" t="s">
        <v>43</v>
      </c>
      <c r="F699">
        <v>151</v>
      </c>
      <c r="G699">
        <v>41665</v>
      </c>
      <c r="H699">
        <v>42135</v>
      </c>
      <c r="I699">
        <v>45839</v>
      </c>
      <c r="J699">
        <v>45231</v>
      </c>
      <c r="K699">
        <v>45231</v>
      </c>
      <c r="L699" t="s">
        <v>135</v>
      </c>
      <c r="M699" t="s">
        <v>695</v>
      </c>
      <c r="N699" t="s">
        <v>727</v>
      </c>
      <c r="O699" t="s">
        <v>608</v>
      </c>
      <c r="Q699" t="s">
        <v>49</v>
      </c>
      <c r="R699">
        <v>2</v>
      </c>
      <c r="S699">
        <v>0</v>
      </c>
      <c r="T699">
        <v>0</v>
      </c>
      <c r="U699" t="s">
        <v>2532</v>
      </c>
      <c r="V699" t="s">
        <v>2533</v>
      </c>
      <c r="W699">
        <v>29609291801238</v>
      </c>
      <c r="X699">
        <v>35337</v>
      </c>
      <c r="Y699" t="s">
        <v>103</v>
      </c>
      <c r="Z699">
        <v>3</v>
      </c>
      <c r="AA699">
        <v>1</v>
      </c>
      <c r="AD699" t="s">
        <v>2534</v>
      </c>
      <c r="AF699">
        <v>67</v>
      </c>
      <c r="AG699">
        <v>174</v>
      </c>
      <c r="AH699">
        <f>IF([2]!Table1[[#This Row],[الوزن]]&lt;&gt;"",[2]!Table1[[#This Row],[الوزن]]-([2]!Table1[[#This Row],[الطول]]-100),"")</f>
        <v>-7</v>
      </c>
      <c r="AN699" t="s">
        <v>145</v>
      </c>
    </row>
    <row r="700" spans="1:40" ht="18.75" customHeight="1" x14ac:dyDescent="0.3">
      <c r="A700" s="1">
        <v>2014131800651</v>
      </c>
      <c r="B700" t="s">
        <v>75</v>
      </c>
      <c r="C700" t="s">
        <v>2535</v>
      </c>
      <c r="D700" t="s">
        <v>694</v>
      </c>
      <c r="E700" t="s">
        <v>43</v>
      </c>
      <c r="F700">
        <v>151</v>
      </c>
      <c r="G700">
        <v>41665</v>
      </c>
      <c r="H700">
        <v>42135</v>
      </c>
      <c r="I700">
        <v>45839</v>
      </c>
      <c r="J700">
        <v>45233</v>
      </c>
      <c r="K700">
        <v>45964</v>
      </c>
      <c r="L700" t="s">
        <v>135</v>
      </c>
      <c r="M700" t="s">
        <v>695</v>
      </c>
      <c r="N700" t="s">
        <v>727</v>
      </c>
      <c r="O700" t="s">
        <v>608</v>
      </c>
      <c r="Q700" t="s">
        <v>49</v>
      </c>
      <c r="R700">
        <v>3</v>
      </c>
      <c r="S700">
        <v>0</v>
      </c>
      <c r="T700">
        <v>0</v>
      </c>
      <c r="U700" t="s">
        <v>2536</v>
      </c>
      <c r="V700" t="s">
        <v>2537</v>
      </c>
      <c r="W700">
        <v>29401091802191</v>
      </c>
      <c r="X700">
        <v>34343</v>
      </c>
      <c r="Y700" t="s">
        <v>103</v>
      </c>
      <c r="Z700">
        <v>2</v>
      </c>
      <c r="AA700">
        <v>1</v>
      </c>
      <c r="AD700" t="s">
        <v>2538</v>
      </c>
      <c r="AF700">
        <v>60</v>
      </c>
      <c r="AG700">
        <v>167</v>
      </c>
      <c r="AH700">
        <f>IF([2]!Table1[[#This Row],[الوزن]]&lt;&gt;"",[2]!Table1[[#This Row],[الوزن]]-([2]!Table1[[#This Row],[الطول]]-100),"")</f>
        <v>8</v>
      </c>
      <c r="AN700" t="s">
        <v>145</v>
      </c>
    </row>
    <row r="701" spans="1:40" ht="18.75" customHeight="1" x14ac:dyDescent="0.3">
      <c r="A701" s="1">
        <v>2014131801138</v>
      </c>
      <c r="B701" t="s">
        <v>75</v>
      </c>
      <c r="C701" t="s">
        <v>2539</v>
      </c>
      <c r="D701" t="s">
        <v>694</v>
      </c>
      <c r="E701" t="s">
        <v>43</v>
      </c>
      <c r="F701">
        <v>151</v>
      </c>
      <c r="G701">
        <v>41665</v>
      </c>
      <c r="H701">
        <v>42135</v>
      </c>
      <c r="I701">
        <v>45839</v>
      </c>
      <c r="J701">
        <v>45972</v>
      </c>
      <c r="K701">
        <v>45972</v>
      </c>
      <c r="L701" t="s">
        <v>135</v>
      </c>
      <c r="M701" t="s">
        <v>695</v>
      </c>
      <c r="N701" t="s">
        <v>727</v>
      </c>
      <c r="O701" t="s">
        <v>608</v>
      </c>
      <c r="Q701" t="s">
        <v>49</v>
      </c>
      <c r="R701">
        <v>0</v>
      </c>
      <c r="S701">
        <v>0</v>
      </c>
      <c r="T701">
        <v>0</v>
      </c>
      <c r="U701" t="s">
        <v>2540</v>
      </c>
      <c r="V701" t="s">
        <v>2541</v>
      </c>
      <c r="W701">
        <v>29401311300192</v>
      </c>
      <c r="X701">
        <v>34365</v>
      </c>
      <c r="Y701" t="s">
        <v>103</v>
      </c>
      <c r="Z701">
        <v>3</v>
      </c>
      <c r="AA701">
        <v>2</v>
      </c>
      <c r="AD701" t="s">
        <v>2542</v>
      </c>
      <c r="AF701">
        <v>78</v>
      </c>
      <c r="AG701">
        <v>170</v>
      </c>
      <c r="AH701">
        <f>IF([2]!Table1[[#This Row],[الوزن]]&lt;&gt;"",[2]!Table1[[#This Row],[الوزن]]-([2]!Table1[[#This Row],[الطول]]-100),"")</f>
        <v>3</v>
      </c>
      <c r="AN701" t="s">
        <v>145</v>
      </c>
    </row>
    <row r="702" spans="1:40" ht="18.75" customHeight="1" x14ac:dyDescent="0.3">
      <c r="A702" s="1">
        <v>2006134790484</v>
      </c>
      <c r="B702" t="s">
        <v>40</v>
      </c>
      <c r="C702" t="s">
        <v>2543</v>
      </c>
      <c r="D702" t="s">
        <v>2544</v>
      </c>
      <c r="E702" t="s">
        <v>750</v>
      </c>
      <c r="F702" t="s">
        <v>2545</v>
      </c>
      <c r="G702">
        <v>38962</v>
      </c>
      <c r="H702">
        <v>38962</v>
      </c>
      <c r="J702">
        <v>44743</v>
      </c>
      <c r="K702">
        <v>45246</v>
      </c>
      <c r="L702" t="s">
        <v>1663</v>
      </c>
      <c r="M702" t="s">
        <v>2546</v>
      </c>
      <c r="N702" t="s">
        <v>47</v>
      </c>
      <c r="O702" t="s">
        <v>2547</v>
      </c>
      <c r="P702" t="s">
        <v>49</v>
      </c>
      <c r="R702">
        <v>65</v>
      </c>
      <c r="S702">
        <v>1</v>
      </c>
      <c r="T702">
        <v>1</v>
      </c>
      <c r="U702" t="s">
        <v>2548</v>
      </c>
      <c r="W702">
        <v>29207081800971</v>
      </c>
      <c r="X702">
        <v>33793</v>
      </c>
      <c r="Y702" t="s">
        <v>338</v>
      </c>
      <c r="Z702">
        <v>2</v>
      </c>
      <c r="AF702">
        <v>79</v>
      </c>
      <c r="AG702">
        <v>176</v>
      </c>
      <c r="AH702">
        <v>3</v>
      </c>
    </row>
    <row r="703" spans="1:40" ht="18.75" customHeight="1" x14ac:dyDescent="0.3">
      <c r="A703" s="1">
        <v>2012134701909</v>
      </c>
      <c r="B703" t="s">
        <v>57</v>
      </c>
      <c r="C703" t="s">
        <v>2549</v>
      </c>
      <c r="D703" t="s">
        <v>2544</v>
      </c>
      <c r="E703" t="s">
        <v>750</v>
      </c>
      <c r="G703">
        <v>44224</v>
      </c>
      <c r="K703">
        <v>45979</v>
      </c>
      <c r="L703" t="s">
        <v>2550</v>
      </c>
      <c r="M703" t="s">
        <v>2546</v>
      </c>
      <c r="N703" t="s">
        <v>47</v>
      </c>
      <c r="O703" t="s">
        <v>2551</v>
      </c>
      <c r="P703" t="s">
        <v>49</v>
      </c>
      <c r="R703">
        <v>1</v>
      </c>
      <c r="W703" t="s">
        <v>2552</v>
      </c>
      <c r="X703">
        <v>33678</v>
      </c>
      <c r="Y703" t="s">
        <v>338</v>
      </c>
      <c r="Z703">
        <v>2</v>
      </c>
      <c r="AF703">
        <v>70</v>
      </c>
      <c r="AG703">
        <v>168</v>
      </c>
      <c r="AH703">
        <v>2</v>
      </c>
      <c r="AI703" t="s">
        <v>2553</v>
      </c>
    </row>
    <row r="704" spans="1:40" ht="18.75" customHeight="1" x14ac:dyDescent="0.3">
      <c r="A704" s="1">
        <v>2018138310754</v>
      </c>
      <c r="B704" t="s">
        <v>106</v>
      </c>
      <c r="C704" t="s">
        <v>2554</v>
      </c>
      <c r="D704" t="s">
        <v>2544</v>
      </c>
      <c r="E704" t="s">
        <v>750</v>
      </c>
      <c r="F704">
        <v>158</v>
      </c>
      <c r="G704">
        <v>43271</v>
      </c>
      <c r="H704">
        <v>44117</v>
      </c>
      <c r="J704">
        <v>44117</v>
      </c>
      <c r="K704">
        <v>44155</v>
      </c>
      <c r="L704" t="s">
        <v>45</v>
      </c>
      <c r="M704" t="s">
        <v>2546</v>
      </c>
      <c r="N704" t="s">
        <v>127</v>
      </c>
      <c r="O704" t="s">
        <v>2555</v>
      </c>
      <c r="P704" t="s">
        <v>49</v>
      </c>
      <c r="R704">
        <v>1</v>
      </c>
      <c r="W704">
        <v>29810201501815</v>
      </c>
      <c r="X704">
        <v>36088</v>
      </c>
      <c r="Y704" t="s">
        <v>550</v>
      </c>
      <c r="AF704">
        <v>75</v>
      </c>
      <c r="AG704">
        <v>178</v>
      </c>
      <c r="AH704">
        <v>-3</v>
      </c>
    </row>
    <row r="705" spans="1:40" ht="18.75" customHeight="1" x14ac:dyDescent="0.3">
      <c r="A705" s="1">
        <v>2021138301558</v>
      </c>
      <c r="B705" t="s">
        <v>125</v>
      </c>
      <c r="C705" t="s">
        <v>2556</v>
      </c>
      <c r="D705" t="s">
        <v>2544</v>
      </c>
      <c r="E705" t="s">
        <v>750</v>
      </c>
      <c r="F705">
        <v>160</v>
      </c>
      <c r="G705">
        <v>44205</v>
      </c>
      <c r="H705">
        <v>45197</v>
      </c>
      <c r="J705">
        <v>45197</v>
      </c>
      <c r="K705">
        <v>45216</v>
      </c>
      <c r="L705" t="s">
        <v>45</v>
      </c>
      <c r="M705" t="s">
        <v>2546</v>
      </c>
      <c r="N705" t="s">
        <v>127</v>
      </c>
      <c r="P705" t="s">
        <v>49</v>
      </c>
      <c r="W705">
        <v>30101201309072</v>
      </c>
      <c r="X705">
        <v>36911</v>
      </c>
      <c r="Y705" t="s">
        <v>550</v>
      </c>
      <c r="AF705">
        <v>70</v>
      </c>
      <c r="AG705">
        <v>177</v>
      </c>
    </row>
    <row r="706" spans="1:40" ht="18.75" customHeight="1" x14ac:dyDescent="0.3">
      <c r="A706" s="1">
        <v>2014138316106</v>
      </c>
      <c r="B706" t="s">
        <v>75</v>
      </c>
      <c r="C706" t="s">
        <v>2557</v>
      </c>
      <c r="D706" t="s">
        <v>2558</v>
      </c>
      <c r="E706" t="s">
        <v>750</v>
      </c>
      <c r="F706">
        <v>152</v>
      </c>
      <c r="G706">
        <v>41853</v>
      </c>
      <c r="H706">
        <v>42326</v>
      </c>
      <c r="I706">
        <v>44197</v>
      </c>
      <c r="J706">
        <v>45972</v>
      </c>
      <c r="L706" t="s">
        <v>135</v>
      </c>
      <c r="M706" t="s">
        <v>554</v>
      </c>
      <c r="N706" t="s">
        <v>127</v>
      </c>
      <c r="O706" t="s">
        <v>579</v>
      </c>
      <c r="R706">
        <v>0</v>
      </c>
      <c r="S706">
        <v>0</v>
      </c>
      <c r="T706">
        <v>0</v>
      </c>
      <c r="U706" t="s">
        <v>2559</v>
      </c>
      <c r="W706">
        <v>29809221302616</v>
      </c>
      <c r="X706">
        <v>36060</v>
      </c>
      <c r="Y706" t="s">
        <v>103</v>
      </c>
      <c r="Z706">
        <v>2</v>
      </c>
      <c r="AF706">
        <v>80</v>
      </c>
      <c r="AG706">
        <v>181</v>
      </c>
      <c r="AH706">
        <v>-1</v>
      </c>
      <c r="AJ706" t="s">
        <v>2560</v>
      </c>
      <c r="AN706" t="s">
        <v>733</v>
      </c>
    </row>
    <row r="707" spans="1:40" ht="18.75" customHeight="1" x14ac:dyDescent="0.3">
      <c r="A707" s="1">
        <v>2014138321634</v>
      </c>
      <c r="B707" t="s">
        <v>75</v>
      </c>
      <c r="C707" t="s">
        <v>2561</v>
      </c>
      <c r="D707" t="s">
        <v>2558</v>
      </c>
      <c r="E707" t="s">
        <v>750</v>
      </c>
      <c r="F707">
        <v>152</v>
      </c>
      <c r="G707">
        <v>41853</v>
      </c>
      <c r="H707">
        <v>42326</v>
      </c>
      <c r="I707">
        <v>44197</v>
      </c>
      <c r="J707">
        <v>45638</v>
      </c>
      <c r="L707" t="s">
        <v>135</v>
      </c>
      <c r="M707" t="s">
        <v>554</v>
      </c>
      <c r="N707" t="s">
        <v>127</v>
      </c>
      <c r="O707" t="s">
        <v>2562</v>
      </c>
      <c r="R707">
        <v>4</v>
      </c>
      <c r="S707">
        <v>0</v>
      </c>
      <c r="T707">
        <v>0</v>
      </c>
      <c r="U707" t="s">
        <v>2563</v>
      </c>
      <c r="W707">
        <v>29212101600838</v>
      </c>
      <c r="X707">
        <v>33948</v>
      </c>
      <c r="Y707" t="s">
        <v>103</v>
      </c>
      <c r="Z707">
        <v>2</v>
      </c>
      <c r="AF707">
        <v>80</v>
      </c>
      <c r="AG707">
        <v>180</v>
      </c>
      <c r="AH707">
        <v>0</v>
      </c>
      <c r="AJ707" t="s">
        <v>2564</v>
      </c>
      <c r="AL707" t="s">
        <v>2565</v>
      </c>
      <c r="AN707" t="s">
        <v>733</v>
      </c>
    </row>
    <row r="708" spans="1:40" ht="18.75" customHeight="1" x14ac:dyDescent="0.3">
      <c r="A708" s="1">
        <v>2014138326296</v>
      </c>
      <c r="B708" t="s">
        <v>75</v>
      </c>
      <c r="C708" t="s">
        <v>2566</v>
      </c>
      <c r="D708" t="s">
        <v>2558</v>
      </c>
      <c r="E708" t="s">
        <v>750</v>
      </c>
      <c r="F708">
        <v>152</v>
      </c>
      <c r="G708">
        <v>41853</v>
      </c>
      <c r="H708">
        <v>42326</v>
      </c>
      <c r="I708">
        <v>44197</v>
      </c>
      <c r="J708">
        <v>45581</v>
      </c>
      <c r="L708" t="s">
        <v>135</v>
      </c>
      <c r="M708" t="s">
        <v>554</v>
      </c>
      <c r="N708" t="s">
        <v>127</v>
      </c>
      <c r="O708" t="s">
        <v>1105</v>
      </c>
      <c r="R708">
        <v>1</v>
      </c>
      <c r="S708">
        <v>0</v>
      </c>
      <c r="T708">
        <v>0</v>
      </c>
      <c r="U708" t="s">
        <v>2567</v>
      </c>
      <c r="W708">
        <v>29801272200612</v>
      </c>
      <c r="X708">
        <v>35822</v>
      </c>
      <c r="Y708" t="s">
        <v>103</v>
      </c>
      <c r="Z708">
        <v>1</v>
      </c>
      <c r="AF708">
        <v>83</v>
      </c>
      <c r="AG708">
        <v>185</v>
      </c>
      <c r="AH708">
        <v>-2</v>
      </c>
      <c r="AJ708" t="s">
        <v>2568</v>
      </c>
      <c r="AN708" t="s">
        <v>733</v>
      </c>
    </row>
    <row r="709" spans="1:40" ht="18.75" customHeight="1" x14ac:dyDescent="0.3">
      <c r="A709" s="1">
        <v>2015138313803</v>
      </c>
      <c r="B709" t="s">
        <v>106</v>
      </c>
      <c r="C709" t="s">
        <v>2569</v>
      </c>
      <c r="D709" t="s">
        <v>2558</v>
      </c>
      <c r="E709" t="s">
        <v>750</v>
      </c>
      <c r="F709">
        <v>154</v>
      </c>
      <c r="G709">
        <v>42790</v>
      </c>
      <c r="H709">
        <v>42790</v>
      </c>
      <c r="I709">
        <v>44743</v>
      </c>
      <c r="J709">
        <v>44505</v>
      </c>
      <c r="L709" t="s">
        <v>135</v>
      </c>
      <c r="M709" t="s">
        <v>554</v>
      </c>
      <c r="N709" t="s">
        <v>127</v>
      </c>
      <c r="O709" t="s">
        <v>579</v>
      </c>
      <c r="R709">
        <v>0</v>
      </c>
      <c r="S709">
        <v>0</v>
      </c>
      <c r="T709">
        <v>0</v>
      </c>
      <c r="U709" t="s">
        <v>2570</v>
      </c>
      <c r="W709">
        <v>29601011630777</v>
      </c>
      <c r="X709">
        <v>35065</v>
      </c>
      <c r="Y709" t="s">
        <v>103</v>
      </c>
      <c r="Z709">
        <v>2</v>
      </c>
      <c r="AF709">
        <v>85</v>
      </c>
      <c r="AG709">
        <v>181</v>
      </c>
      <c r="AH709">
        <v>4</v>
      </c>
      <c r="AJ709" t="s">
        <v>2571</v>
      </c>
      <c r="AN709" t="s">
        <v>733</v>
      </c>
    </row>
    <row r="710" spans="1:40" ht="18.75" customHeight="1" x14ac:dyDescent="0.3">
      <c r="A710" s="1">
        <v>2017138305723</v>
      </c>
      <c r="B710" t="s">
        <v>125</v>
      </c>
      <c r="C710" t="s">
        <v>2572</v>
      </c>
      <c r="D710" t="s">
        <v>2558</v>
      </c>
      <c r="E710" t="s">
        <v>750</v>
      </c>
      <c r="F710">
        <v>157</v>
      </c>
      <c r="G710">
        <v>42915</v>
      </c>
      <c r="H710">
        <v>43663</v>
      </c>
      <c r="I710">
        <v>43663</v>
      </c>
      <c r="J710">
        <v>43698</v>
      </c>
      <c r="L710" t="s">
        <v>135</v>
      </c>
      <c r="M710" t="s">
        <v>554</v>
      </c>
      <c r="N710" t="s">
        <v>127</v>
      </c>
      <c r="O710" t="s">
        <v>2573</v>
      </c>
      <c r="R710">
        <v>0</v>
      </c>
      <c r="S710">
        <v>0</v>
      </c>
      <c r="T710">
        <v>1</v>
      </c>
      <c r="U710" t="s">
        <v>2574</v>
      </c>
      <c r="W710">
        <v>30008011513757</v>
      </c>
      <c r="X710">
        <v>36739</v>
      </c>
      <c r="Y710" t="s">
        <v>153</v>
      </c>
      <c r="Z710">
        <v>0</v>
      </c>
      <c r="AF710">
        <v>80</v>
      </c>
      <c r="AG710">
        <v>180</v>
      </c>
      <c r="AH710">
        <v>0</v>
      </c>
      <c r="AJ710" t="s">
        <v>280</v>
      </c>
      <c r="AN710" t="s">
        <v>733</v>
      </c>
    </row>
    <row r="711" spans="1:40" ht="18.75" customHeight="1" x14ac:dyDescent="0.3">
      <c r="A711" s="1">
        <v>2016131801168</v>
      </c>
      <c r="B711" t="s">
        <v>106</v>
      </c>
      <c r="C711" t="s">
        <v>2575</v>
      </c>
      <c r="D711" t="s">
        <v>694</v>
      </c>
      <c r="E711" t="s">
        <v>43</v>
      </c>
      <c r="F711">
        <v>156</v>
      </c>
      <c r="G711">
        <v>42575</v>
      </c>
      <c r="H711">
        <v>43321</v>
      </c>
      <c r="I711">
        <v>45292</v>
      </c>
      <c r="J711">
        <v>45229</v>
      </c>
      <c r="K711">
        <v>45229</v>
      </c>
      <c r="L711" t="s">
        <v>135</v>
      </c>
      <c r="M711" t="s">
        <v>695</v>
      </c>
      <c r="N711" t="s">
        <v>727</v>
      </c>
      <c r="O711" t="s">
        <v>608</v>
      </c>
      <c r="Q711" t="s">
        <v>49</v>
      </c>
      <c r="R711">
        <v>2</v>
      </c>
      <c r="S711">
        <v>0</v>
      </c>
      <c r="T711">
        <v>0</v>
      </c>
      <c r="U711" t="s">
        <v>2576</v>
      </c>
      <c r="V711" t="s">
        <v>2577</v>
      </c>
      <c r="W711">
        <v>29502191302332</v>
      </c>
      <c r="X711">
        <v>34749</v>
      </c>
      <c r="Y711" t="s">
        <v>103</v>
      </c>
      <c r="Z711">
        <v>1</v>
      </c>
      <c r="AA711">
        <v>1</v>
      </c>
      <c r="AD711" t="s">
        <v>2578</v>
      </c>
      <c r="AF711">
        <v>72</v>
      </c>
      <c r="AG711">
        <v>173</v>
      </c>
      <c r="AH711">
        <f>IF([2]!Table1[[#This Row],[الوزن]]&lt;&gt;"",[2]!Table1[[#This Row],[الوزن]]-([2]!Table1[[#This Row],[الطول]]-100),"")</f>
        <v>12</v>
      </c>
      <c r="AJ711" t="s">
        <v>764</v>
      </c>
      <c r="AN711" t="s">
        <v>145</v>
      </c>
    </row>
    <row r="712" spans="1:40" ht="18.75" customHeight="1" x14ac:dyDescent="0.3">
      <c r="A712" s="1">
        <v>2002138304320</v>
      </c>
      <c r="B712" t="s">
        <v>210</v>
      </c>
      <c r="C712" t="s">
        <v>2579</v>
      </c>
      <c r="D712" t="s">
        <v>1899</v>
      </c>
      <c r="E712" t="s">
        <v>750</v>
      </c>
      <c r="G712">
        <v>37440</v>
      </c>
      <c r="H712">
        <v>37903</v>
      </c>
      <c r="K712">
        <v>45979</v>
      </c>
      <c r="L712" t="s">
        <v>45</v>
      </c>
      <c r="M712" t="s">
        <v>136</v>
      </c>
      <c r="N712" t="s">
        <v>127</v>
      </c>
      <c r="O712" t="s">
        <v>2580</v>
      </c>
      <c r="P712" t="s">
        <v>49</v>
      </c>
      <c r="R712">
        <v>29</v>
      </c>
      <c r="S712">
        <v>1</v>
      </c>
      <c r="T712">
        <v>1</v>
      </c>
      <c r="W712">
        <v>29311131402377</v>
      </c>
      <c r="X712">
        <v>30633</v>
      </c>
      <c r="Y712" t="s">
        <v>103</v>
      </c>
      <c r="AF712">
        <v>90</v>
      </c>
      <c r="AG712">
        <v>178</v>
      </c>
      <c r="AH712">
        <v>12</v>
      </c>
      <c r="AJ712" t="s">
        <v>2581</v>
      </c>
    </row>
    <row r="713" spans="1:40" ht="18.75" customHeight="1" x14ac:dyDescent="0.3">
      <c r="A713" s="1">
        <v>2008138301118</v>
      </c>
      <c r="B713" t="s">
        <v>57</v>
      </c>
      <c r="C713" t="s">
        <v>2582</v>
      </c>
      <c r="D713" t="s">
        <v>1899</v>
      </c>
      <c r="E713" t="s">
        <v>750</v>
      </c>
      <c r="F713">
        <v>139</v>
      </c>
      <c r="G713">
        <v>39473</v>
      </c>
      <c r="H713">
        <v>39945</v>
      </c>
      <c r="J713">
        <v>43647</v>
      </c>
      <c r="K713">
        <v>44495</v>
      </c>
      <c r="L713" t="s">
        <v>45</v>
      </c>
      <c r="M713" t="s">
        <v>817</v>
      </c>
      <c r="N713" t="s">
        <v>127</v>
      </c>
      <c r="O713" t="s">
        <v>1789</v>
      </c>
      <c r="P713" t="s">
        <v>49</v>
      </c>
      <c r="R713">
        <v>13</v>
      </c>
      <c r="W713">
        <v>28910101801278</v>
      </c>
      <c r="X713">
        <v>32791</v>
      </c>
      <c r="Y713" t="s">
        <v>338</v>
      </c>
      <c r="AF713">
        <v>82</v>
      </c>
      <c r="AG713">
        <v>179</v>
      </c>
      <c r="AH713">
        <v>3</v>
      </c>
      <c r="AJ713" t="s">
        <v>2583</v>
      </c>
    </row>
    <row r="714" spans="1:40" ht="18.75" customHeight="1" x14ac:dyDescent="0.3">
      <c r="A714" s="1">
        <v>2017131808914</v>
      </c>
      <c r="B714" t="s">
        <v>106</v>
      </c>
      <c r="C714" t="s">
        <v>2584</v>
      </c>
      <c r="D714" t="s">
        <v>694</v>
      </c>
      <c r="E714" t="s">
        <v>43</v>
      </c>
      <c r="F714">
        <v>157</v>
      </c>
      <c r="G714">
        <v>42915</v>
      </c>
      <c r="H714">
        <v>43663</v>
      </c>
      <c r="I714">
        <v>45658</v>
      </c>
      <c r="J714">
        <v>45972</v>
      </c>
      <c r="K714">
        <v>45972</v>
      </c>
      <c r="L714" t="s">
        <v>135</v>
      </c>
      <c r="M714" t="s">
        <v>695</v>
      </c>
      <c r="N714" t="s">
        <v>727</v>
      </c>
      <c r="O714" t="s">
        <v>608</v>
      </c>
      <c r="Q714" t="s">
        <v>49</v>
      </c>
      <c r="R714">
        <v>0</v>
      </c>
      <c r="S714">
        <v>0</v>
      </c>
      <c r="T714">
        <v>0</v>
      </c>
      <c r="U714" t="s">
        <v>2585</v>
      </c>
      <c r="V714" t="s">
        <v>2586</v>
      </c>
      <c r="W714">
        <v>30012101600877</v>
      </c>
      <c r="X714">
        <v>36870</v>
      </c>
      <c r="Y714" t="s">
        <v>51</v>
      </c>
      <c r="Z714">
        <v>0</v>
      </c>
      <c r="AA714">
        <v>0</v>
      </c>
      <c r="AD714" t="s">
        <v>2587</v>
      </c>
      <c r="AF714">
        <v>86</v>
      </c>
      <c r="AG714">
        <v>180</v>
      </c>
      <c r="AH714">
        <f>IF([2]!Table1[[#This Row],[الوزن]]&lt;&gt;"",[2]!Table1[[#This Row],[الوزن]]-([2]!Table1[[#This Row],[الطول]]-100),"")</f>
        <v>1</v>
      </c>
      <c r="AN714" t="s">
        <v>145</v>
      </c>
    </row>
    <row r="715" spans="1:40" ht="18.75" customHeight="1" x14ac:dyDescent="0.3">
      <c r="A715" s="1">
        <v>2015138303359</v>
      </c>
      <c r="B715" t="s">
        <v>106</v>
      </c>
      <c r="C715" t="s">
        <v>2588</v>
      </c>
      <c r="D715" t="s">
        <v>1899</v>
      </c>
      <c r="E715" t="s">
        <v>750</v>
      </c>
      <c r="F715">
        <v>154</v>
      </c>
      <c r="G715">
        <v>42030</v>
      </c>
      <c r="H715">
        <v>42790</v>
      </c>
      <c r="J715">
        <v>44743</v>
      </c>
      <c r="K715">
        <v>44861</v>
      </c>
      <c r="L715" t="s">
        <v>45</v>
      </c>
      <c r="M715" t="s">
        <v>817</v>
      </c>
      <c r="N715" t="s">
        <v>127</v>
      </c>
      <c r="O715" t="s">
        <v>2589</v>
      </c>
      <c r="P715" t="s">
        <v>49</v>
      </c>
      <c r="R715">
        <v>6</v>
      </c>
      <c r="W715">
        <v>29711011605071</v>
      </c>
      <c r="X715">
        <v>35735</v>
      </c>
      <c r="Y715" t="s">
        <v>767</v>
      </c>
      <c r="AF715">
        <v>65</v>
      </c>
      <c r="AG715">
        <v>164</v>
      </c>
      <c r="AH715">
        <v>1</v>
      </c>
    </row>
    <row r="716" spans="1:40" ht="18.75" customHeight="1" x14ac:dyDescent="0.3">
      <c r="A716" s="1">
        <v>2015138306296</v>
      </c>
      <c r="B716" t="s">
        <v>106</v>
      </c>
      <c r="C716" t="s">
        <v>2590</v>
      </c>
      <c r="D716" t="s">
        <v>1899</v>
      </c>
      <c r="E716" t="s">
        <v>750</v>
      </c>
      <c r="F716">
        <v>154</v>
      </c>
      <c r="G716">
        <v>42030</v>
      </c>
      <c r="H716">
        <v>42790</v>
      </c>
      <c r="K716">
        <v>44860</v>
      </c>
      <c r="L716" t="s">
        <v>771</v>
      </c>
      <c r="M716" t="s">
        <v>812</v>
      </c>
      <c r="N716" t="s">
        <v>127</v>
      </c>
      <c r="O716" t="s">
        <v>828</v>
      </c>
      <c r="Q716" t="s">
        <v>49</v>
      </c>
      <c r="R716">
        <v>5</v>
      </c>
      <c r="W716">
        <v>29601131601479</v>
      </c>
      <c r="X716">
        <v>35067</v>
      </c>
      <c r="Y716" t="s">
        <v>338</v>
      </c>
      <c r="AF716">
        <v>75</v>
      </c>
      <c r="AG716">
        <v>176</v>
      </c>
      <c r="AH716">
        <v>-1</v>
      </c>
      <c r="AJ716" t="s">
        <v>2591</v>
      </c>
    </row>
    <row r="717" spans="1:40" ht="18.75" customHeight="1" x14ac:dyDescent="0.3">
      <c r="A717" s="1">
        <v>2003138306613</v>
      </c>
      <c r="B717" t="s">
        <v>210</v>
      </c>
      <c r="C717" t="s">
        <v>2592</v>
      </c>
      <c r="D717" t="s">
        <v>749</v>
      </c>
      <c r="E717" t="s">
        <v>750</v>
      </c>
      <c r="F717">
        <v>130</v>
      </c>
      <c r="G717">
        <v>37821</v>
      </c>
      <c r="H717">
        <v>38306</v>
      </c>
      <c r="I717">
        <v>44197</v>
      </c>
      <c r="M717" t="s">
        <v>751</v>
      </c>
      <c r="N717" t="s">
        <v>127</v>
      </c>
      <c r="O717" t="s">
        <v>127</v>
      </c>
      <c r="P717" t="s">
        <v>49</v>
      </c>
      <c r="R717">
        <v>8</v>
      </c>
      <c r="S717">
        <v>0</v>
      </c>
      <c r="T717">
        <v>0</v>
      </c>
      <c r="U717" t="s">
        <v>2593</v>
      </c>
      <c r="V717" t="s">
        <v>2594</v>
      </c>
      <c r="X717">
        <v>31093</v>
      </c>
      <c r="Y717" t="s">
        <v>103</v>
      </c>
      <c r="Z717">
        <v>2</v>
      </c>
      <c r="AF717">
        <v>89</v>
      </c>
      <c r="AG717">
        <v>181</v>
      </c>
      <c r="AH717">
        <v>8</v>
      </c>
      <c r="AJ717" t="s">
        <v>2595</v>
      </c>
      <c r="AN717" t="s">
        <v>145</v>
      </c>
    </row>
    <row r="718" spans="1:40" ht="18.75" customHeight="1" x14ac:dyDescent="0.3">
      <c r="A718" s="1">
        <v>2004138301546</v>
      </c>
      <c r="B718" t="s">
        <v>210</v>
      </c>
      <c r="C718" t="s">
        <v>2596</v>
      </c>
      <c r="D718" t="s">
        <v>749</v>
      </c>
      <c r="E718" t="s">
        <v>750</v>
      </c>
      <c r="F718">
        <v>131</v>
      </c>
      <c r="G718">
        <v>38003</v>
      </c>
      <c r="H718">
        <v>38475</v>
      </c>
      <c r="I718">
        <v>45839</v>
      </c>
      <c r="M718" t="s">
        <v>751</v>
      </c>
      <c r="N718" t="s">
        <v>127</v>
      </c>
      <c r="O718" t="s">
        <v>127</v>
      </c>
      <c r="P718" t="s">
        <v>49</v>
      </c>
      <c r="R718">
        <v>3</v>
      </c>
      <c r="S718">
        <v>0</v>
      </c>
      <c r="T718">
        <v>0</v>
      </c>
      <c r="U718" t="s">
        <v>2597</v>
      </c>
      <c r="V718" t="s">
        <v>2598</v>
      </c>
      <c r="X718">
        <v>31444</v>
      </c>
      <c r="Y718" t="s">
        <v>103</v>
      </c>
      <c r="Z718">
        <v>5</v>
      </c>
      <c r="AF718">
        <v>89</v>
      </c>
      <c r="AG718">
        <v>184</v>
      </c>
      <c r="AH718">
        <v>5</v>
      </c>
      <c r="AJ718" t="s">
        <v>2599</v>
      </c>
      <c r="AN718" t="s">
        <v>145</v>
      </c>
    </row>
    <row r="719" spans="1:40" ht="18.75" customHeight="1" x14ac:dyDescent="0.3">
      <c r="A719" s="1">
        <v>2004138305449</v>
      </c>
      <c r="B719" t="s">
        <v>210</v>
      </c>
      <c r="C719" t="s">
        <v>2600</v>
      </c>
      <c r="D719" t="s">
        <v>749</v>
      </c>
      <c r="E719" t="s">
        <v>750</v>
      </c>
      <c r="F719">
        <v>132</v>
      </c>
      <c r="G719">
        <v>38185</v>
      </c>
      <c r="H719">
        <v>38659</v>
      </c>
      <c r="I719">
        <v>46023</v>
      </c>
      <c r="M719" t="s">
        <v>751</v>
      </c>
      <c r="N719" t="s">
        <v>127</v>
      </c>
      <c r="O719" t="s">
        <v>2601</v>
      </c>
      <c r="P719" t="s">
        <v>49</v>
      </c>
      <c r="R719">
        <v>21</v>
      </c>
      <c r="S719">
        <v>0</v>
      </c>
      <c r="T719">
        <v>0</v>
      </c>
      <c r="U719" t="s">
        <v>2602</v>
      </c>
      <c r="X719">
        <v>32109</v>
      </c>
      <c r="Y719" t="s">
        <v>103</v>
      </c>
      <c r="Z719">
        <v>3</v>
      </c>
      <c r="AF719">
        <v>91</v>
      </c>
      <c r="AG719">
        <v>185</v>
      </c>
      <c r="AH719">
        <v>6</v>
      </c>
      <c r="AJ719" t="s">
        <v>2603</v>
      </c>
      <c r="AN719" t="s">
        <v>145</v>
      </c>
    </row>
    <row r="720" spans="1:40" ht="18.75" customHeight="1" x14ac:dyDescent="0.3">
      <c r="A720" s="1">
        <v>2007138305237</v>
      </c>
      <c r="B720" t="s">
        <v>57</v>
      </c>
      <c r="C720" t="s">
        <v>2604</v>
      </c>
      <c r="D720" t="s">
        <v>749</v>
      </c>
      <c r="E720" t="s">
        <v>750</v>
      </c>
      <c r="F720">
        <v>137</v>
      </c>
      <c r="G720">
        <v>39095</v>
      </c>
      <c r="H720">
        <v>39567</v>
      </c>
      <c r="M720" t="s">
        <v>751</v>
      </c>
      <c r="N720" t="s">
        <v>127</v>
      </c>
      <c r="O720" t="s">
        <v>127</v>
      </c>
      <c r="P720" t="s">
        <v>49</v>
      </c>
      <c r="R720">
        <v>6</v>
      </c>
      <c r="S720">
        <v>0</v>
      </c>
      <c r="T720">
        <v>0</v>
      </c>
      <c r="U720" t="s">
        <v>2605</v>
      </c>
      <c r="V720" t="s">
        <v>2606</v>
      </c>
      <c r="X720">
        <v>32138</v>
      </c>
      <c r="Y720" t="s">
        <v>103</v>
      </c>
      <c r="Z720">
        <v>2</v>
      </c>
      <c r="AF720">
        <v>89</v>
      </c>
      <c r="AG720">
        <v>187</v>
      </c>
      <c r="AH720">
        <v>2</v>
      </c>
      <c r="AJ720" t="s">
        <v>2607</v>
      </c>
      <c r="AN720" t="s">
        <v>145</v>
      </c>
    </row>
    <row r="721" spans="1:40" ht="18.75" customHeight="1" x14ac:dyDescent="0.3">
      <c r="A721" s="1">
        <v>2007138306855</v>
      </c>
      <c r="B721" t="s">
        <v>57</v>
      </c>
      <c r="C721" t="s">
        <v>2608</v>
      </c>
      <c r="D721" t="s">
        <v>749</v>
      </c>
      <c r="E721" t="s">
        <v>750</v>
      </c>
      <c r="F721">
        <v>138</v>
      </c>
      <c r="G721">
        <v>39284</v>
      </c>
      <c r="H721">
        <v>39759</v>
      </c>
      <c r="I721">
        <v>45292</v>
      </c>
      <c r="M721" t="s">
        <v>751</v>
      </c>
      <c r="N721" t="s">
        <v>127</v>
      </c>
      <c r="O721" t="s">
        <v>127</v>
      </c>
      <c r="P721" t="s">
        <v>49</v>
      </c>
      <c r="R721">
        <v>18</v>
      </c>
      <c r="S721">
        <v>0</v>
      </c>
      <c r="T721">
        <v>0</v>
      </c>
      <c r="U721" t="s">
        <v>2609</v>
      </c>
      <c r="V721" t="s">
        <v>2610</v>
      </c>
      <c r="X721">
        <v>32426</v>
      </c>
      <c r="Y721" t="s">
        <v>103</v>
      </c>
      <c r="Z721">
        <v>4</v>
      </c>
      <c r="AF721">
        <v>85</v>
      </c>
      <c r="AG721">
        <v>183</v>
      </c>
      <c r="AH721">
        <v>2</v>
      </c>
      <c r="AJ721" t="s">
        <v>2611</v>
      </c>
      <c r="AN721" t="s">
        <v>145</v>
      </c>
    </row>
    <row r="722" spans="1:40" ht="18.75" customHeight="1" x14ac:dyDescent="0.3">
      <c r="A722" s="1">
        <v>2010130401367</v>
      </c>
      <c r="B722" t="s">
        <v>75</v>
      </c>
      <c r="C722" t="s">
        <v>2612</v>
      </c>
      <c r="D722" t="s">
        <v>749</v>
      </c>
      <c r="E722" t="s">
        <v>750</v>
      </c>
      <c r="F722">
        <v>144</v>
      </c>
      <c r="G722">
        <v>40376</v>
      </c>
      <c r="H722">
        <v>40849</v>
      </c>
      <c r="I722">
        <v>44562</v>
      </c>
      <c r="M722" t="s">
        <v>751</v>
      </c>
      <c r="N722" t="s">
        <v>78</v>
      </c>
      <c r="O722" t="s">
        <v>78</v>
      </c>
      <c r="P722" t="s">
        <v>49</v>
      </c>
      <c r="R722">
        <v>4</v>
      </c>
      <c r="S722">
        <v>0</v>
      </c>
      <c r="T722">
        <v>0</v>
      </c>
      <c r="U722" t="s">
        <v>2613</v>
      </c>
      <c r="V722" t="s">
        <v>2614</v>
      </c>
      <c r="X722">
        <v>34287</v>
      </c>
      <c r="Y722" t="s">
        <v>103</v>
      </c>
      <c r="Z722">
        <v>4</v>
      </c>
      <c r="AF722">
        <v>74</v>
      </c>
      <c r="AG722">
        <v>174</v>
      </c>
      <c r="AH722">
        <v>0</v>
      </c>
      <c r="AJ722" t="s">
        <v>2615</v>
      </c>
      <c r="AN722" t="s">
        <v>145</v>
      </c>
    </row>
    <row r="723" spans="1:40" ht="18.75" customHeight="1" x14ac:dyDescent="0.3">
      <c r="A723" s="1">
        <v>2018131803178</v>
      </c>
      <c r="B723" t="s">
        <v>106</v>
      </c>
      <c r="C723" t="s">
        <v>2616</v>
      </c>
      <c r="D723" t="s">
        <v>694</v>
      </c>
      <c r="E723" t="s">
        <v>43</v>
      </c>
      <c r="F723">
        <v>158</v>
      </c>
      <c r="G723">
        <v>43279</v>
      </c>
      <c r="H723">
        <v>44117</v>
      </c>
      <c r="I723">
        <v>44117</v>
      </c>
      <c r="J723">
        <v>45964</v>
      </c>
      <c r="K723">
        <v>45964</v>
      </c>
      <c r="L723" t="s">
        <v>135</v>
      </c>
      <c r="M723" t="s">
        <v>695</v>
      </c>
      <c r="N723" t="s">
        <v>727</v>
      </c>
      <c r="O723" t="s">
        <v>608</v>
      </c>
      <c r="P723" t="s">
        <v>49</v>
      </c>
      <c r="R723">
        <v>0</v>
      </c>
      <c r="S723">
        <v>0</v>
      </c>
      <c r="T723">
        <v>0</v>
      </c>
      <c r="U723" t="s">
        <v>2617</v>
      </c>
      <c r="V723" t="s">
        <v>2618</v>
      </c>
      <c r="W723">
        <v>2990501131592</v>
      </c>
      <c r="X723">
        <v>36281</v>
      </c>
      <c r="Y723" t="s">
        <v>103</v>
      </c>
      <c r="Z723">
        <v>1</v>
      </c>
      <c r="AA723">
        <v>1</v>
      </c>
      <c r="AD723" t="s">
        <v>2619</v>
      </c>
      <c r="AF723">
        <v>70</v>
      </c>
      <c r="AG723">
        <v>170</v>
      </c>
      <c r="AH723">
        <f>IF([2]!Table1[[#This Row],[الوزن]]&lt;&gt;"",[2]!Table1[[#This Row],[الوزن]]-([2]!Table1[[#This Row],[الطول]]-100),"")</f>
        <v>1</v>
      </c>
      <c r="AN723" t="s">
        <v>145</v>
      </c>
    </row>
    <row r="724" spans="1:40" ht="18.75" customHeight="1" x14ac:dyDescent="0.3">
      <c r="A724" s="1">
        <v>2012138316928</v>
      </c>
      <c r="B724" t="s">
        <v>75</v>
      </c>
      <c r="C724" t="s">
        <v>2620</v>
      </c>
      <c r="D724" t="s">
        <v>749</v>
      </c>
      <c r="E724" t="s">
        <v>750</v>
      </c>
      <c r="F724">
        <v>148</v>
      </c>
      <c r="G724">
        <v>41111</v>
      </c>
      <c r="H724">
        <v>41583</v>
      </c>
      <c r="I724">
        <v>45108</v>
      </c>
      <c r="M724" t="s">
        <v>751</v>
      </c>
      <c r="N724" t="s">
        <v>127</v>
      </c>
      <c r="O724" t="s">
        <v>127</v>
      </c>
      <c r="P724" t="s">
        <v>49</v>
      </c>
      <c r="R724">
        <v>0</v>
      </c>
      <c r="S724">
        <v>0</v>
      </c>
      <c r="T724">
        <v>1</v>
      </c>
      <c r="U724" t="s">
        <v>2621</v>
      </c>
      <c r="V724" t="s">
        <v>2622</v>
      </c>
      <c r="X724">
        <v>34474</v>
      </c>
      <c r="Y724" t="s">
        <v>103</v>
      </c>
      <c r="Z724">
        <v>2</v>
      </c>
      <c r="AF724">
        <v>88</v>
      </c>
      <c r="AG724">
        <v>187</v>
      </c>
      <c r="AH724">
        <v>1</v>
      </c>
      <c r="AJ724" t="s">
        <v>2623</v>
      </c>
      <c r="AN724" t="s">
        <v>145</v>
      </c>
    </row>
    <row r="725" spans="1:40" ht="18.75" customHeight="1" x14ac:dyDescent="0.3">
      <c r="A725" s="1">
        <v>2012138600273</v>
      </c>
      <c r="B725" t="s">
        <v>125</v>
      </c>
      <c r="C725" t="s">
        <v>2624</v>
      </c>
      <c r="D725" t="s">
        <v>749</v>
      </c>
      <c r="E725" t="s">
        <v>750</v>
      </c>
      <c r="F725">
        <v>160</v>
      </c>
      <c r="G725">
        <v>44205</v>
      </c>
      <c r="H725">
        <v>45197</v>
      </c>
      <c r="I725">
        <v>45197</v>
      </c>
      <c r="L725" t="s">
        <v>135</v>
      </c>
      <c r="M725" t="s">
        <v>751</v>
      </c>
      <c r="N725" t="s">
        <v>127</v>
      </c>
      <c r="O725" t="s">
        <v>127</v>
      </c>
      <c r="Q725" t="s">
        <v>49</v>
      </c>
      <c r="R725">
        <v>0</v>
      </c>
      <c r="S725">
        <v>0</v>
      </c>
      <c r="T725">
        <v>0</v>
      </c>
      <c r="U725" t="s">
        <v>2625</v>
      </c>
      <c r="W725">
        <v>29801142600414</v>
      </c>
      <c r="X725">
        <v>35809</v>
      </c>
      <c r="Y725" t="s">
        <v>153</v>
      </c>
      <c r="Z725">
        <v>0</v>
      </c>
      <c r="AA725">
        <v>0</v>
      </c>
      <c r="AF725">
        <v>65</v>
      </c>
      <c r="AG725">
        <v>176</v>
      </c>
      <c r="AH725">
        <v>-11</v>
      </c>
      <c r="AJ725" t="s">
        <v>298</v>
      </c>
      <c r="AN725" t="s">
        <v>145</v>
      </c>
    </row>
    <row r="726" spans="1:40" ht="18.75" customHeight="1" x14ac:dyDescent="0.3">
      <c r="A726" s="1">
        <v>2018131804902</v>
      </c>
      <c r="B726" t="s">
        <v>106</v>
      </c>
      <c r="C726" t="s">
        <v>2626</v>
      </c>
      <c r="D726" t="s">
        <v>694</v>
      </c>
      <c r="E726" t="s">
        <v>43</v>
      </c>
      <c r="F726">
        <v>158</v>
      </c>
      <c r="G726">
        <v>43279</v>
      </c>
      <c r="H726">
        <v>44117</v>
      </c>
      <c r="I726">
        <v>44117</v>
      </c>
      <c r="J726">
        <v>45964</v>
      </c>
      <c r="K726">
        <v>45964</v>
      </c>
      <c r="L726" t="s">
        <v>135</v>
      </c>
      <c r="M726" t="s">
        <v>695</v>
      </c>
      <c r="N726" t="s">
        <v>727</v>
      </c>
      <c r="O726" t="s">
        <v>608</v>
      </c>
      <c r="P726" t="s">
        <v>49</v>
      </c>
      <c r="R726">
        <v>1</v>
      </c>
      <c r="S726">
        <v>0</v>
      </c>
      <c r="T726">
        <v>0</v>
      </c>
      <c r="U726" t="s">
        <v>2627</v>
      </c>
      <c r="V726" t="s">
        <v>2628</v>
      </c>
      <c r="W726">
        <v>30205011602938</v>
      </c>
      <c r="X726">
        <v>37377</v>
      </c>
      <c r="Y726" t="s">
        <v>550</v>
      </c>
      <c r="Z726">
        <v>0</v>
      </c>
      <c r="AA726">
        <v>0</v>
      </c>
      <c r="AD726" t="s">
        <v>2629</v>
      </c>
      <c r="AF726">
        <v>80</v>
      </c>
      <c r="AG726">
        <v>178</v>
      </c>
      <c r="AH726">
        <f>IF([2]!Table1[[#This Row],[الوزن]]&lt;&gt;"",[2]!Table1[[#This Row],[الوزن]]-([2]!Table1[[#This Row],[الطول]]-100),"")</f>
        <v>-1</v>
      </c>
      <c r="AN726" t="s">
        <v>145</v>
      </c>
    </row>
    <row r="727" spans="1:40" ht="18.75" customHeight="1" x14ac:dyDescent="0.3">
      <c r="A727" s="1">
        <v>2018131806700</v>
      </c>
      <c r="B727" t="s">
        <v>106</v>
      </c>
      <c r="C727" t="s">
        <v>2630</v>
      </c>
      <c r="D727" t="s">
        <v>749</v>
      </c>
      <c r="E727" t="s">
        <v>750</v>
      </c>
      <c r="F727">
        <v>158</v>
      </c>
      <c r="G727">
        <v>43279</v>
      </c>
      <c r="H727">
        <v>44117</v>
      </c>
      <c r="I727">
        <v>45839</v>
      </c>
      <c r="M727" t="s">
        <v>751</v>
      </c>
      <c r="N727" t="s">
        <v>127</v>
      </c>
      <c r="O727" t="s">
        <v>127</v>
      </c>
      <c r="Q727" t="s">
        <v>49</v>
      </c>
      <c r="R727">
        <v>3</v>
      </c>
      <c r="S727">
        <v>0</v>
      </c>
      <c r="T727">
        <v>0</v>
      </c>
      <c r="U727" t="s">
        <v>2631</v>
      </c>
      <c r="V727" t="s">
        <v>2632</v>
      </c>
      <c r="X727">
        <v>37469</v>
      </c>
      <c r="Y727" t="s">
        <v>153</v>
      </c>
      <c r="Z727">
        <v>0</v>
      </c>
      <c r="AF727">
        <v>62</v>
      </c>
      <c r="AG727">
        <v>163</v>
      </c>
      <c r="AH727">
        <v>-1</v>
      </c>
      <c r="AJ727" t="s">
        <v>2633</v>
      </c>
      <c r="AN727" t="s">
        <v>145</v>
      </c>
    </row>
    <row r="728" spans="1:40" ht="18.75" customHeight="1" x14ac:dyDescent="0.3">
      <c r="A728" s="1">
        <v>2018132401583</v>
      </c>
      <c r="B728" t="s">
        <v>106</v>
      </c>
      <c r="C728" t="s">
        <v>2634</v>
      </c>
      <c r="D728" t="s">
        <v>749</v>
      </c>
      <c r="E728" t="s">
        <v>750</v>
      </c>
      <c r="F728">
        <v>158</v>
      </c>
      <c r="G728">
        <v>44117</v>
      </c>
      <c r="H728">
        <v>44117</v>
      </c>
      <c r="I728">
        <v>45839</v>
      </c>
      <c r="M728" t="s">
        <v>751</v>
      </c>
      <c r="N728" t="s">
        <v>127</v>
      </c>
      <c r="O728" t="s">
        <v>127</v>
      </c>
      <c r="Q728" t="s">
        <v>49</v>
      </c>
      <c r="R728">
        <v>7</v>
      </c>
      <c r="S728">
        <v>0</v>
      </c>
      <c r="T728">
        <v>0</v>
      </c>
      <c r="U728" t="s">
        <v>2635</v>
      </c>
      <c r="V728" t="s">
        <v>2636</v>
      </c>
      <c r="X728">
        <v>35437</v>
      </c>
      <c r="Y728" t="s">
        <v>103</v>
      </c>
      <c r="Z728">
        <v>1</v>
      </c>
      <c r="AF728">
        <v>77</v>
      </c>
      <c r="AG728">
        <v>177</v>
      </c>
      <c r="AH728">
        <v>0</v>
      </c>
      <c r="AJ728" t="s">
        <v>2637</v>
      </c>
      <c r="AN728" t="s">
        <v>145</v>
      </c>
    </row>
    <row r="729" spans="1:40" ht="18.75" customHeight="1" x14ac:dyDescent="0.3">
      <c r="A729" s="1">
        <v>2018138309335</v>
      </c>
      <c r="B729" t="s">
        <v>125</v>
      </c>
      <c r="C729" t="s">
        <v>2638</v>
      </c>
      <c r="D729" t="s">
        <v>749</v>
      </c>
      <c r="E729" t="s">
        <v>750</v>
      </c>
      <c r="F729">
        <v>158</v>
      </c>
      <c r="G729">
        <v>44117</v>
      </c>
      <c r="H729">
        <v>44117</v>
      </c>
      <c r="I729">
        <v>44117</v>
      </c>
      <c r="L729" t="s">
        <v>135</v>
      </c>
      <c r="M729" t="s">
        <v>751</v>
      </c>
      <c r="N729" t="s">
        <v>127</v>
      </c>
      <c r="O729" t="s">
        <v>127</v>
      </c>
      <c r="Q729" t="s">
        <v>49</v>
      </c>
      <c r="R729">
        <v>0</v>
      </c>
      <c r="S729">
        <v>0</v>
      </c>
      <c r="T729">
        <v>0</v>
      </c>
      <c r="U729" t="s">
        <v>2639</v>
      </c>
      <c r="W729">
        <v>30208291301597</v>
      </c>
      <c r="X729">
        <v>37497</v>
      </c>
      <c r="Y729" t="s">
        <v>153</v>
      </c>
      <c r="Z729">
        <v>0</v>
      </c>
      <c r="AA729">
        <v>0</v>
      </c>
      <c r="AB729">
        <v>0</v>
      </c>
      <c r="AF729">
        <v>93</v>
      </c>
      <c r="AG729">
        <v>176</v>
      </c>
      <c r="AH729">
        <v>17</v>
      </c>
      <c r="AJ729" t="s">
        <v>2633</v>
      </c>
      <c r="AN729" t="s">
        <v>145</v>
      </c>
    </row>
    <row r="730" spans="1:40" ht="18.75" customHeight="1" x14ac:dyDescent="0.3">
      <c r="A730" s="1">
        <v>2021138313149</v>
      </c>
      <c r="B730" t="s">
        <v>125</v>
      </c>
      <c r="C730" t="s">
        <v>2640</v>
      </c>
      <c r="D730" t="s">
        <v>749</v>
      </c>
      <c r="E730" t="s">
        <v>750</v>
      </c>
      <c r="F730">
        <v>161</v>
      </c>
      <c r="G730">
        <v>44243</v>
      </c>
      <c r="H730">
        <v>45581</v>
      </c>
      <c r="I730">
        <v>45581</v>
      </c>
      <c r="M730" t="s">
        <v>751</v>
      </c>
      <c r="N730" t="s">
        <v>127</v>
      </c>
      <c r="O730" t="s">
        <v>127</v>
      </c>
      <c r="Q730" t="s">
        <v>49</v>
      </c>
      <c r="R730">
        <v>0</v>
      </c>
      <c r="S730">
        <v>0</v>
      </c>
      <c r="T730">
        <v>0</v>
      </c>
      <c r="U730" t="s">
        <v>2641</v>
      </c>
      <c r="X730">
        <v>36774</v>
      </c>
      <c r="Y730" t="s">
        <v>153</v>
      </c>
      <c r="Z730">
        <v>0</v>
      </c>
      <c r="AF730">
        <v>81</v>
      </c>
      <c r="AG730">
        <v>180</v>
      </c>
      <c r="AH730">
        <v>1</v>
      </c>
      <c r="AK730" t="s">
        <v>2642</v>
      </c>
      <c r="AN730" t="s">
        <v>145</v>
      </c>
    </row>
    <row r="731" spans="1:40" ht="18.75" customHeight="1" x14ac:dyDescent="0.3">
      <c r="A731" s="1">
        <v>2021138317018</v>
      </c>
      <c r="B731" t="s">
        <v>125</v>
      </c>
      <c r="C731" t="s">
        <v>2643</v>
      </c>
      <c r="D731" t="s">
        <v>749</v>
      </c>
      <c r="E731" t="s">
        <v>750</v>
      </c>
      <c r="F731">
        <v>161</v>
      </c>
      <c r="G731">
        <v>44243</v>
      </c>
      <c r="H731">
        <v>45581</v>
      </c>
      <c r="I731">
        <v>45581</v>
      </c>
      <c r="M731" t="s">
        <v>751</v>
      </c>
      <c r="N731" t="s">
        <v>127</v>
      </c>
      <c r="O731" t="s">
        <v>127</v>
      </c>
      <c r="Q731" t="s">
        <v>49</v>
      </c>
      <c r="R731">
        <v>0</v>
      </c>
      <c r="S731">
        <v>0</v>
      </c>
      <c r="T731">
        <v>0</v>
      </c>
      <c r="U731" t="s">
        <v>2644</v>
      </c>
      <c r="X731">
        <v>38191</v>
      </c>
      <c r="Y731" t="s">
        <v>153</v>
      </c>
      <c r="Z731">
        <v>0</v>
      </c>
      <c r="AF731">
        <v>75</v>
      </c>
      <c r="AG731">
        <v>177</v>
      </c>
      <c r="AH731">
        <v>-2</v>
      </c>
      <c r="AK731" t="s">
        <v>2642</v>
      </c>
      <c r="AN731" t="s">
        <v>145</v>
      </c>
    </row>
    <row r="732" spans="1:40" ht="18.75" customHeight="1" x14ac:dyDescent="0.3">
      <c r="A732" s="1">
        <v>2021138600299</v>
      </c>
      <c r="B732" t="s">
        <v>125</v>
      </c>
      <c r="C732" t="s">
        <v>2645</v>
      </c>
      <c r="D732" t="s">
        <v>749</v>
      </c>
      <c r="E732" t="s">
        <v>750</v>
      </c>
      <c r="F732">
        <v>160</v>
      </c>
      <c r="G732">
        <v>44205</v>
      </c>
      <c r="H732">
        <v>45197</v>
      </c>
      <c r="I732">
        <v>45197</v>
      </c>
      <c r="L732" t="s">
        <v>135</v>
      </c>
      <c r="M732" t="s">
        <v>751</v>
      </c>
      <c r="N732" t="s">
        <v>127</v>
      </c>
      <c r="O732" t="s">
        <v>127</v>
      </c>
      <c r="Q732" t="s">
        <v>49</v>
      </c>
      <c r="R732">
        <v>1</v>
      </c>
      <c r="S732">
        <v>0</v>
      </c>
      <c r="T732">
        <v>0</v>
      </c>
      <c r="U732" t="s">
        <v>2646</v>
      </c>
      <c r="W732">
        <v>29803301700851</v>
      </c>
      <c r="X732">
        <v>35884</v>
      </c>
      <c r="Y732" t="s">
        <v>153</v>
      </c>
      <c r="Z732">
        <v>0</v>
      </c>
      <c r="AA732">
        <v>0</v>
      </c>
      <c r="AB732">
        <v>0</v>
      </c>
      <c r="AF732">
        <v>64</v>
      </c>
      <c r="AG732">
        <v>172</v>
      </c>
      <c r="AH732">
        <v>-8</v>
      </c>
      <c r="AJ732" t="s">
        <v>298</v>
      </c>
      <c r="AN732" t="s">
        <v>145</v>
      </c>
    </row>
    <row r="733" spans="1:40" ht="18.75" customHeight="1" x14ac:dyDescent="0.3">
      <c r="A733" s="1">
        <v>2021138600512</v>
      </c>
      <c r="B733" t="s">
        <v>125</v>
      </c>
      <c r="C733" t="s">
        <v>2647</v>
      </c>
      <c r="D733" t="s">
        <v>749</v>
      </c>
      <c r="E733" t="s">
        <v>750</v>
      </c>
      <c r="F733">
        <v>161</v>
      </c>
      <c r="G733">
        <v>44243</v>
      </c>
      <c r="H733">
        <v>45581</v>
      </c>
      <c r="I733">
        <v>45581</v>
      </c>
      <c r="M733" t="s">
        <v>751</v>
      </c>
      <c r="N733" t="s">
        <v>127</v>
      </c>
      <c r="O733" t="s">
        <v>127</v>
      </c>
      <c r="Q733" t="s">
        <v>49</v>
      </c>
      <c r="R733">
        <v>0</v>
      </c>
      <c r="S733">
        <v>0</v>
      </c>
      <c r="T733">
        <v>0</v>
      </c>
      <c r="U733" t="s">
        <v>2648</v>
      </c>
      <c r="V733" t="s">
        <v>2649</v>
      </c>
      <c r="X733">
        <v>38262</v>
      </c>
      <c r="Y733" t="s">
        <v>153</v>
      </c>
      <c r="Z733">
        <v>0</v>
      </c>
      <c r="AA733">
        <v>0</v>
      </c>
      <c r="AB733">
        <v>0</v>
      </c>
      <c r="AF733">
        <v>64</v>
      </c>
      <c r="AG733">
        <v>173</v>
      </c>
      <c r="AH733">
        <v>-9</v>
      </c>
      <c r="AJ733" t="s">
        <v>298</v>
      </c>
      <c r="AN733" t="s">
        <v>145</v>
      </c>
    </row>
    <row r="734" spans="1:40" ht="18.75" customHeight="1" x14ac:dyDescent="0.3">
      <c r="A734" s="1">
        <v>2021138600786</v>
      </c>
      <c r="B734" t="s">
        <v>125</v>
      </c>
      <c r="C734" t="s">
        <v>2650</v>
      </c>
      <c r="D734" t="s">
        <v>749</v>
      </c>
      <c r="E734" t="s">
        <v>750</v>
      </c>
      <c r="F734">
        <v>161</v>
      </c>
      <c r="G734">
        <v>44546</v>
      </c>
      <c r="H734">
        <v>45581</v>
      </c>
      <c r="I734">
        <v>45581</v>
      </c>
      <c r="L734" t="s">
        <v>135</v>
      </c>
      <c r="M734" t="s">
        <v>751</v>
      </c>
      <c r="N734" t="s">
        <v>127</v>
      </c>
      <c r="O734" t="s">
        <v>127</v>
      </c>
      <c r="Q734" t="s">
        <v>49</v>
      </c>
      <c r="R734">
        <v>0</v>
      </c>
      <c r="S734">
        <v>0</v>
      </c>
      <c r="T734">
        <v>0</v>
      </c>
      <c r="U734" t="s">
        <v>2651</v>
      </c>
      <c r="W734">
        <v>30306152501575</v>
      </c>
      <c r="X734">
        <v>37787</v>
      </c>
      <c r="Y734" t="s">
        <v>153</v>
      </c>
      <c r="Z734">
        <v>0</v>
      </c>
      <c r="AA734">
        <v>0</v>
      </c>
      <c r="AB734">
        <v>0</v>
      </c>
      <c r="AF734">
        <v>71</v>
      </c>
      <c r="AG734">
        <v>171</v>
      </c>
      <c r="AH734">
        <v>0</v>
      </c>
      <c r="AJ734" t="s">
        <v>298</v>
      </c>
      <c r="AN734" t="s">
        <v>145</v>
      </c>
    </row>
    <row r="735" spans="1:40" ht="18.75" customHeight="1" x14ac:dyDescent="0.3">
      <c r="A735" s="1">
        <v>2023138302081</v>
      </c>
      <c r="B735" t="s">
        <v>125</v>
      </c>
      <c r="C735" t="s">
        <v>2652</v>
      </c>
      <c r="D735" t="s">
        <v>749</v>
      </c>
      <c r="E735" t="s">
        <v>750</v>
      </c>
      <c r="F735">
        <v>162</v>
      </c>
      <c r="G735">
        <v>44941</v>
      </c>
      <c r="H735">
        <v>45976</v>
      </c>
      <c r="J735">
        <v>45976</v>
      </c>
      <c r="M735" t="s">
        <v>751</v>
      </c>
      <c r="N735" t="s">
        <v>127</v>
      </c>
      <c r="O735" t="s">
        <v>127</v>
      </c>
      <c r="Q735" t="s">
        <v>49</v>
      </c>
      <c r="R735">
        <v>0</v>
      </c>
      <c r="S735">
        <v>0</v>
      </c>
      <c r="T735">
        <v>0</v>
      </c>
      <c r="U735" t="s">
        <v>2653</v>
      </c>
      <c r="V735" t="s">
        <v>2654</v>
      </c>
      <c r="X735">
        <v>38626</v>
      </c>
      <c r="Y735" t="s">
        <v>153</v>
      </c>
      <c r="AF735">
        <v>70</v>
      </c>
      <c r="AG735">
        <v>175</v>
      </c>
      <c r="AH735">
        <v>-5</v>
      </c>
      <c r="AJ735" t="s">
        <v>298</v>
      </c>
      <c r="AN735" t="s">
        <v>145</v>
      </c>
    </row>
    <row r="736" spans="1:40" ht="18.75" customHeight="1" x14ac:dyDescent="0.3">
      <c r="A736" s="1">
        <v>2023138308550</v>
      </c>
      <c r="B736" t="s">
        <v>125</v>
      </c>
      <c r="C736" t="s">
        <v>2655</v>
      </c>
      <c r="D736" t="s">
        <v>749</v>
      </c>
      <c r="E736" t="s">
        <v>750</v>
      </c>
      <c r="F736">
        <v>162</v>
      </c>
      <c r="G736">
        <v>44941</v>
      </c>
      <c r="H736">
        <v>45976</v>
      </c>
      <c r="J736">
        <v>45976</v>
      </c>
      <c r="M736" t="s">
        <v>751</v>
      </c>
      <c r="N736" t="s">
        <v>127</v>
      </c>
      <c r="O736" t="s">
        <v>127</v>
      </c>
      <c r="Q736" t="s">
        <v>49</v>
      </c>
      <c r="R736">
        <v>0</v>
      </c>
      <c r="S736">
        <v>0</v>
      </c>
      <c r="T736">
        <v>0</v>
      </c>
      <c r="U736" t="s">
        <v>2656</v>
      </c>
      <c r="V736" t="s">
        <v>2657</v>
      </c>
      <c r="X736">
        <v>37992</v>
      </c>
      <c r="Y736" t="s">
        <v>153</v>
      </c>
      <c r="AF736">
        <v>65</v>
      </c>
      <c r="AG736">
        <v>176</v>
      </c>
      <c r="AH736">
        <v>-11</v>
      </c>
      <c r="AJ736" t="s">
        <v>298</v>
      </c>
      <c r="AN736" t="s">
        <v>145</v>
      </c>
    </row>
    <row r="737" spans="1:40" ht="18.75" customHeight="1" x14ac:dyDescent="0.3">
      <c r="A737" s="1">
        <v>2023138308576</v>
      </c>
      <c r="B737" t="s">
        <v>125</v>
      </c>
      <c r="C737" t="s">
        <v>2658</v>
      </c>
      <c r="D737" t="s">
        <v>749</v>
      </c>
      <c r="E737" t="s">
        <v>750</v>
      </c>
      <c r="F737">
        <v>162</v>
      </c>
      <c r="G737">
        <v>44941</v>
      </c>
      <c r="H737">
        <v>45976</v>
      </c>
      <c r="J737">
        <v>45976</v>
      </c>
      <c r="M737" t="s">
        <v>751</v>
      </c>
      <c r="N737" t="s">
        <v>127</v>
      </c>
      <c r="O737" t="s">
        <v>127</v>
      </c>
      <c r="Q737" t="s">
        <v>49</v>
      </c>
      <c r="R737">
        <v>0</v>
      </c>
      <c r="S737">
        <v>0</v>
      </c>
      <c r="T737">
        <v>0</v>
      </c>
      <c r="U737" t="s">
        <v>2659</v>
      </c>
      <c r="V737" t="s">
        <v>2654</v>
      </c>
      <c r="X737">
        <v>38523</v>
      </c>
      <c r="Y737" t="s">
        <v>153</v>
      </c>
      <c r="AF737">
        <v>71</v>
      </c>
      <c r="AG737">
        <v>174</v>
      </c>
      <c r="AH737">
        <v>-3</v>
      </c>
      <c r="AJ737" t="s">
        <v>298</v>
      </c>
      <c r="AN737" t="s">
        <v>145</v>
      </c>
    </row>
    <row r="738" spans="1:40" ht="18.75" customHeight="1" x14ac:dyDescent="0.3">
      <c r="A738" s="1">
        <v>2018131804952</v>
      </c>
      <c r="B738" t="s">
        <v>106</v>
      </c>
      <c r="C738" t="s">
        <v>2660</v>
      </c>
      <c r="D738" t="s">
        <v>694</v>
      </c>
      <c r="E738" t="s">
        <v>43</v>
      </c>
      <c r="F738">
        <v>158</v>
      </c>
      <c r="G738">
        <v>43279</v>
      </c>
      <c r="H738">
        <v>44117</v>
      </c>
      <c r="I738">
        <v>44117</v>
      </c>
      <c r="J738">
        <v>45972</v>
      </c>
      <c r="K738">
        <v>45972</v>
      </c>
      <c r="L738" t="s">
        <v>135</v>
      </c>
      <c r="M738" t="s">
        <v>695</v>
      </c>
      <c r="N738" t="s">
        <v>727</v>
      </c>
      <c r="O738" t="s">
        <v>608</v>
      </c>
      <c r="P738" t="s">
        <v>49</v>
      </c>
      <c r="R738">
        <v>0</v>
      </c>
      <c r="S738">
        <v>0</v>
      </c>
      <c r="T738">
        <v>0</v>
      </c>
      <c r="U738" t="s">
        <v>2661</v>
      </c>
      <c r="V738" t="s">
        <v>2662</v>
      </c>
      <c r="W738">
        <v>30211041601596</v>
      </c>
      <c r="X738">
        <v>37564</v>
      </c>
      <c r="Y738" t="s">
        <v>550</v>
      </c>
      <c r="Z738">
        <v>0</v>
      </c>
      <c r="AA738">
        <v>0</v>
      </c>
      <c r="AD738" t="s">
        <v>2663</v>
      </c>
      <c r="AF738">
        <v>77</v>
      </c>
      <c r="AG738">
        <v>176</v>
      </c>
      <c r="AH738" t="str">
        <f>IF([2]!Table1[[#This Row],[الوزن]]&lt;&gt;"",[2]!Table1[[#This Row],[الوزن]]-([2]!Table1[[#This Row],[الطول]]-100),"")</f>
        <v/>
      </c>
      <c r="AN738" t="s">
        <v>145</v>
      </c>
    </row>
    <row r="739" spans="1:40" ht="18.75" customHeight="1" x14ac:dyDescent="0.3">
      <c r="A739" s="1">
        <v>2007138303736</v>
      </c>
      <c r="B739" t="s">
        <v>57</v>
      </c>
      <c r="C739" t="s">
        <v>2664</v>
      </c>
      <c r="D739" t="s">
        <v>2665</v>
      </c>
      <c r="E739" t="s">
        <v>750</v>
      </c>
      <c r="AG739" t="s">
        <v>787</v>
      </c>
    </row>
    <row r="740" spans="1:40" ht="18.75" customHeight="1" x14ac:dyDescent="0.3">
      <c r="A740" s="1">
        <v>2007138315286</v>
      </c>
      <c r="B740" t="s">
        <v>57</v>
      </c>
      <c r="C740" t="s">
        <v>2666</v>
      </c>
      <c r="D740" t="s">
        <v>2665</v>
      </c>
      <c r="E740" t="s">
        <v>750</v>
      </c>
      <c r="AG740" t="s">
        <v>787</v>
      </c>
    </row>
    <row r="741" spans="1:40" ht="18.75" customHeight="1" x14ac:dyDescent="0.3">
      <c r="A741" s="1">
        <v>2011138309652</v>
      </c>
      <c r="B741" t="s">
        <v>75</v>
      </c>
      <c r="C741" t="s">
        <v>2667</v>
      </c>
      <c r="D741" t="s">
        <v>2665</v>
      </c>
      <c r="E741" t="s">
        <v>750</v>
      </c>
      <c r="F741">
        <v>146</v>
      </c>
      <c r="G741">
        <v>40748</v>
      </c>
      <c r="H741">
        <v>41223</v>
      </c>
      <c r="I741">
        <v>44927</v>
      </c>
      <c r="J741">
        <v>410468</v>
      </c>
      <c r="K741">
        <v>410468</v>
      </c>
      <c r="L741" t="s">
        <v>135</v>
      </c>
      <c r="M741" t="s">
        <v>1720</v>
      </c>
      <c r="N741" t="s">
        <v>127</v>
      </c>
      <c r="O741" t="s">
        <v>2668</v>
      </c>
      <c r="P741" t="s">
        <v>49</v>
      </c>
      <c r="R741">
        <v>3</v>
      </c>
      <c r="S741">
        <v>0</v>
      </c>
      <c r="T741">
        <v>0</v>
      </c>
      <c r="U741" t="s">
        <v>2669</v>
      </c>
      <c r="V741" t="s">
        <v>2670</v>
      </c>
      <c r="W741">
        <v>29209151801337</v>
      </c>
      <c r="X741">
        <v>33862</v>
      </c>
      <c r="AF741">
        <v>79</v>
      </c>
      <c r="AG741">
        <v>176</v>
      </c>
      <c r="AH741">
        <v>3</v>
      </c>
      <c r="AJ741" t="s">
        <v>2671</v>
      </c>
      <c r="AN741" t="s">
        <v>145</v>
      </c>
    </row>
    <row r="742" spans="1:40" ht="18.75" customHeight="1" x14ac:dyDescent="0.3">
      <c r="A742" s="1">
        <v>2011138303539</v>
      </c>
      <c r="B742" t="s">
        <v>75</v>
      </c>
      <c r="C742" t="s">
        <v>2672</v>
      </c>
      <c r="D742" t="s">
        <v>2665</v>
      </c>
      <c r="E742" t="s">
        <v>750</v>
      </c>
      <c r="AG742" t="s">
        <v>787</v>
      </c>
    </row>
    <row r="743" spans="1:40" ht="18.75" customHeight="1" x14ac:dyDescent="0.3">
      <c r="A743" s="1">
        <v>2012138301507</v>
      </c>
      <c r="B743" t="s">
        <v>75</v>
      </c>
      <c r="C743" t="s">
        <v>2673</v>
      </c>
      <c r="D743" t="s">
        <v>2665</v>
      </c>
      <c r="E743" t="s">
        <v>750</v>
      </c>
      <c r="AH743" t="s">
        <v>787</v>
      </c>
    </row>
    <row r="744" spans="1:40" ht="18.75" customHeight="1" x14ac:dyDescent="0.3">
      <c r="A744" s="1">
        <v>2012138306466</v>
      </c>
      <c r="B744" t="s">
        <v>75</v>
      </c>
      <c r="C744" t="s">
        <v>2674</v>
      </c>
      <c r="D744" t="s">
        <v>2665</v>
      </c>
      <c r="E744" t="s">
        <v>750</v>
      </c>
      <c r="AH744" t="s">
        <v>787</v>
      </c>
    </row>
    <row r="745" spans="1:40" ht="18.75" customHeight="1" x14ac:dyDescent="0.3">
      <c r="A745" s="1">
        <v>2012138317033</v>
      </c>
      <c r="B745" t="s">
        <v>75</v>
      </c>
      <c r="C745" t="s">
        <v>2675</v>
      </c>
      <c r="D745" t="s">
        <v>2665</v>
      </c>
      <c r="E745" t="s">
        <v>750</v>
      </c>
      <c r="F745">
        <v>148</v>
      </c>
      <c r="G745">
        <v>41111</v>
      </c>
      <c r="H745">
        <v>41593</v>
      </c>
      <c r="I745">
        <v>45292</v>
      </c>
      <c r="J745">
        <v>44507</v>
      </c>
      <c r="K745">
        <v>44507</v>
      </c>
      <c r="L745" t="s">
        <v>135</v>
      </c>
      <c r="M745" t="s">
        <v>1720</v>
      </c>
      <c r="N745" t="s">
        <v>127</v>
      </c>
      <c r="O745" t="s">
        <v>2676</v>
      </c>
      <c r="R745">
        <v>3</v>
      </c>
      <c r="S745">
        <v>0</v>
      </c>
      <c r="T745">
        <v>0</v>
      </c>
      <c r="U745" t="s">
        <v>2677</v>
      </c>
      <c r="V745" t="s">
        <v>2678</v>
      </c>
      <c r="W745">
        <v>29503191301855</v>
      </c>
      <c r="X745">
        <v>34777</v>
      </c>
      <c r="AF745">
        <v>76</v>
      </c>
      <c r="AG745">
        <v>172</v>
      </c>
      <c r="AH745">
        <v>4</v>
      </c>
      <c r="AJ745" t="s">
        <v>2679</v>
      </c>
      <c r="AN745" t="s">
        <v>145</v>
      </c>
    </row>
    <row r="746" spans="1:40" ht="18.75" customHeight="1" x14ac:dyDescent="0.3">
      <c r="A746" s="1">
        <v>2012138315920</v>
      </c>
      <c r="B746" t="s">
        <v>75</v>
      </c>
      <c r="C746" t="s">
        <v>2680</v>
      </c>
      <c r="D746" t="s">
        <v>2665</v>
      </c>
      <c r="E746" t="s">
        <v>750</v>
      </c>
      <c r="AH746" t="s">
        <v>787</v>
      </c>
    </row>
    <row r="747" spans="1:40" ht="18.75" customHeight="1" x14ac:dyDescent="0.3">
      <c r="A747" s="1">
        <v>2014138323937</v>
      </c>
      <c r="B747" t="s">
        <v>75</v>
      </c>
      <c r="C747" t="s">
        <v>2681</v>
      </c>
      <c r="D747" t="s">
        <v>2665</v>
      </c>
      <c r="E747" t="s">
        <v>750</v>
      </c>
      <c r="AH747" t="s">
        <v>787</v>
      </c>
    </row>
    <row r="748" spans="1:40" ht="18.75" customHeight="1" x14ac:dyDescent="0.3">
      <c r="A748" s="1">
        <v>2015138322490</v>
      </c>
      <c r="B748" t="s">
        <v>106</v>
      </c>
      <c r="C748" t="s">
        <v>2682</v>
      </c>
      <c r="D748" t="s">
        <v>2665</v>
      </c>
      <c r="E748" t="s">
        <v>750</v>
      </c>
      <c r="F748">
        <v>155</v>
      </c>
      <c r="G748">
        <v>42369</v>
      </c>
      <c r="H748">
        <v>42932</v>
      </c>
      <c r="I748">
        <v>44927</v>
      </c>
      <c r="J748">
        <v>44860</v>
      </c>
      <c r="K748">
        <v>44860</v>
      </c>
      <c r="L748" t="s">
        <v>135</v>
      </c>
      <c r="M748" t="s">
        <v>1720</v>
      </c>
      <c r="N748" t="s">
        <v>127</v>
      </c>
      <c r="O748" t="s">
        <v>2683</v>
      </c>
      <c r="R748">
        <v>0</v>
      </c>
      <c r="S748">
        <v>0</v>
      </c>
      <c r="T748">
        <v>0</v>
      </c>
      <c r="U748" t="s">
        <v>2684</v>
      </c>
      <c r="V748" t="s">
        <v>2685</v>
      </c>
      <c r="W748">
        <v>29604111600335</v>
      </c>
      <c r="X748">
        <v>35166</v>
      </c>
      <c r="AF748">
        <v>68</v>
      </c>
      <c r="AG748">
        <v>170</v>
      </c>
      <c r="AH748">
        <v>-2</v>
      </c>
      <c r="AJ748" t="s">
        <v>2686</v>
      </c>
      <c r="AN748" t="s">
        <v>145</v>
      </c>
    </row>
    <row r="749" spans="1:40" ht="18.75" customHeight="1" x14ac:dyDescent="0.3">
      <c r="A749" s="1">
        <v>2014138324753</v>
      </c>
      <c r="B749" t="s">
        <v>106</v>
      </c>
      <c r="C749" t="s">
        <v>2687</v>
      </c>
      <c r="D749" t="s">
        <v>2665</v>
      </c>
      <c r="E749" t="s">
        <v>750</v>
      </c>
      <c r="AH749" t="s">
        <v>787</v>
      </c>
    </row>
    <row r="750" spans="1:40" ht="18.75" customHeight="1" x14ac:dyDescent="0.3">
      <c r="A750" s="1">
        <v>2017131800598</v>
      </c>
      <c r="B750" t="s">
        <v>106</v>
      </c>
      <c r="C750" t="s">
        <v>2688</v>
      </c>
      <c r="D750" t="s">
        <v>2665</v>
      </c>
      <c r="E750" t="s">
        <v>750</v>
      </c>
      <c r="AG750" t="s">
        <v>787</v>
      </c>
    </row>
    <row r="751" spans="1:40" ht="18.75" customHeight="1" x14ac:dyDescent="0.3">
      <c r="A751" s="1">
        <v>2018130403375</v>
      </c>
      <c r="B751" t="s">
        <v>106</v>
      </c>
      <c r="C751" t="s">
        <v>2689</v>
      </c>
      <c r="D751" t="s">
        <v>2665</v>
      </c>
      <c r="E751" t="s">
        <v>750</v>
      </c>
      <c r="AG751" t="s">
        <v>787</v>
      </c>
    </row>
    <row r="752" spans="1:40" ht="18.75" customHeight="1" x14ac:dyDescent="0.3">
      <c r="A752" s="1">
        <v>1992132701169</v>
      </c>
      <c r="B752" t="s">
        <v>210</v>
      </c>
      <c r="C752" t="s">
        <v>2690</v>
      </c>
      <c r="D752" t="s">
        <v>2691</v>
      </c>
      <c r="E752" t="s">
        <v>750</v>
      </c>
      <c r="F752" t="s">
        <v>2692</v>
      </c>
      <c r="G752">
        <v>33604</v>
      </c>
      <c r="H752">
        <v>34075</v>
      </c>
      <c r="I752">
        <v>44927</v>
      </c>
      <c r="J752">
        <v>36195</v>
      </c>
      <c r="L752" t="s">
        <v>2693</v>
      </c>
      <c r="M752" t="s">
        <v>264</v>
      </c>
      <c r="N752" t="s">
        <v>127</v>
      </c>
      <c r="O752" t="s">
        <v>2694</v>
      </c>
      <c r="Q752" t="s">
        <v>49</v>
      </c>
      <c r="R752">
        <v>51</v>
      </c>
      <c r="S752">
        <v>13</v>
      </c>
      <c r="T752">
        <v>3</v>
      </c>
      <c r="U752" t="s">
        <v>2695</v>
      </c>
      <c r="W752">
        <v>27610181401235</v>
      </c>
      <c r="X752">
        <v>28051</v>
      </c>
      <c r="Y752" t="s">
        <v>103</v>
      </c>
      <c r="AG752" t="s">
        <v>787</v>
      </c>
      <c r="AJ752" t="s">
        <v>2696</v>
      </c>
      <c r="AN752" t="s">
        <v>145</v>
      </c>
    </row>
    <row r="753" spans="1:40" ht="18.75" customHeight="1" x14ac:dyDescent="0.3">
      <c r="A753" s="1">
        <v>2006132700162</v>
      </c>
      <c r="B753" t="s">
        <v>210</v>
      </c>
      <c r="C753" t="s">
        <v>2697</v>
      </c>
      <c r="D753" t="s">
        <v>2691</v>
      </c>
      <c r="E753" t="s">
        <v>750</v>
      </c>
      <c r="F753" t="s">
        <v>2698</v>
      </c>
      <c r="G753">
        <v>38976</v>
      </c>
      <c r="H753">
        <v>40087</v>
      </c>
      <c r="I753">
        <v>45474</v>
      </c>
      <c r="J753">
        <v>45988</v>
      </c>
      <c r="L753" t="s">
        <v>135</v>
      </c>
      <c r="M753" t="s">
        <v>264</v>
      </c>
      <c r="N753" t="s">
        <v>127</v>
      </c>
      <c r="O753" t="s">
        <v>2495</v>
      </c>
      <c r="Q753" t="s">
        <v>49</v>
      </c>
      <c r="R753">
        <v>17</v>
      </c>
      <c r="S753">
        <v>8</v>
      </c>
      <c r="T753">
        <v>0</v>
      </c>
      <c r="U753" t="s">
        <v>2699</v>
      </c>
      <c r="W753" t="s">
        <v>2700</v>
      </c>
      <c r="X753">
        <v>33632</v>
      </c>
      <c r="Y753" t="s">
        <v>103</v>
      </c>
      <c r="AG753" t="s">
        <v>787</v>
      </c>
      <c r="AJ753" t="s">
        <v>2701</v>
      </c>
      <c r="AN753" t="s">
        <v>145</v>
      </c>
    </row>
    <row r="754" spans="1:40" ht="18.75" customHeight="1" x14ac:dyDescent="0.3">
      <c r="A754" s="1">
        <v>2017132704426</v>
      </c>
      <c r="B754" t="s">
        <v>106</v>
      </c>
      <c r="C754" t="s">
        <v>2702</v>
      </c>
      <c r="D754" t="s">
        <v>2691</v>
      </c>
      <c r="E754" t="s">
        <v>750</v>
      </c>
      <c r="F754" t="s">
        <v>1285</v>
      </c>
      <c r="G754">
        <v>43040</v>
      </c>
      <c r="H754">
        <v>43683</v>
      </c>
      <c r="I754">
        <v>45658</v>
      </c>
      <c r="J754">
        <v>45453</v>
      </c>
      <c r="L754" t="s">
        <v>263</v>
      </c>
      <c r="M754" t="s">
        <v>264</v>
      </c>
      <c r="N754" t="s">
        <v>127</v>
      </c>
      <c r="O754" t="s">
        <v>1237</v>
      </c>
      <c r="Q754" t="s">
        <v>49</v>
      </c>
      <c r="R754">
        <v>0</v>
      </c>
      <c r="S754">
        <v>1</v>
      </c>
      <c r="T754">
        <v>1</v>
      </c>
      <c r="U754" t="s">
        <v>2699</v>
      </c>
      <c r="W754">
        <v>29901011532051</v>
      </c>
      <c r="X754">
        <v>36161</v>
      </c>
      <c r="Y754" t="s">
        <v>103</v>
      </c>
      <c r="AG754" t="s">
        <v>787</v>
      </c>
      <c r="AJ754" t="s">
        <v>2703</v>
      </c>
      <c r="AN754" t="s">
        <v>56</v>
      </c>
    </row>
    <row r="755" spans="1:40" ht="18.75" customHeight="1" x14ac:dyDescent="0.3">
      <c r="A755" s="1">
        <v>2018130403458</v>
      </c>
      <c r="B755" t="s">
        <v>106</v>
      </c>
      <c r="C755" t="s">
        <v>2704</v>
      </c>
      <c r="D755" t="s">
        <v>2691</v>
      </c>
      <c r="E755" t="s">
        <v>750</v>
      </c>
      <c r="F755">
        <v>158</v>
      </c>
      <c r="G755">
        <v>43279</v>
      </c>
      <c r="H755">
        <v>44117</v>
      </c>
      <c r="I755">
        <v>44143</v>
      </c>
      <c r="J755">
        <v>44144</v>
      </c>
      <c r="L755" t="s">
        <v>135</v>
      </c>
      <c r="M755" t="s">
        <v>158</v>
      </c>
      <c r="N755" t="s">
        <v>78</v>
      </c>
      <c r="O755" t="s">
        <v>78</v>
      </c>
      <c r="Q755" t="s">
        <v>49</v>
      </c>
      <c r="U755" t="s">
        <v>2705</v>
      </c>
      <c r="W755">
        <v>29909292200355</v>
      </c>
      <c r="X755">
        <v>36432</v>
      </c>
      <c r="Y755" t="s">
        <v>550</v>
      </c>
      <c r="AG755" t="s">
        <v>787</v>
      </c>
      <c r="AJ755" t="s">
        <v>298</v>
      </c>
      <c r="AN755" t="s">
        <v>56</v>
      </c>
    </row>
    <row r="756" spans="1:40" ht="18.75" customHeight="1" x14ac:dyDescent="0.3">
      <c r="A756" s="1">
        <v>2018132702501</v>
      </c>
      <c r="B756" t="s">
        <v>75</v>
      </c>
      <c r="C756" t="s">
        <v>2706</v>
      </c>
      <c r="D756" t="s">
        <v>2691</v>
      </c>
      <c r="E756" t="s">
        <v>750</v>
      </c>
      <c r="F756" t="s">
        <v>2707</v>
      </c>
      <c r="G756">
        <v>43394</v>
      </c>
      <c r="H756">
        <v>44123</v>
      </c>
      <c r="I756">
        <v>44123</v>
      </c>
      <c r="J756">
        <v>45974</v>
      </c>
      <c r="L756" t="s">
        <v>263</v>
      </c>
      <c r="M756" t="s">
        <v>264</v>
      </c>
      <c r="N756" t="s">
        <v>127</v>
      </c>
      <c r="O756" t="s">
        <v>1237</v>
      </c>
      <c r="Q756" t="s">
        <v>49</v>
      </c>
      <c r="T756">
        <v>1</v>
      </c>
      <c r="U756" t="s">
        <v>2699</v>
      </c>
      <c r="W756">
        <v>30008121601074</v>
      </c>
      <c r="X756">
        <v>36750</v>
      </c>
      <c r="Y756" t="s">
        <v>550</v>
      </c>
      <c r="AG756" t="s">
        <v>787</v>
      </c>
      <c r="AJ756" t="s">
        <v>2708</v>
      </c>
      <c r="AN756" t="s">
        <v>56</v>
      </c>
    </row>
    <row r="757" spans="1:40" ht="18.75" customHeight="1" x14ac:dyDescent="0.3">
      <c r="A757" s="1">
        <v>2019132704266</v>
      </c>
      <c r="B757" t="s">
        <v>106</v>
      </c>
      <c r="C757" t="s">
        <v>2709</v>
      </c>
      <c r="D757" t="s">
        <v>2691</v>
      </c>
      <c r="E757" t="s">
        <v>750</v>
      </c>
      <c r="F757" t="s">
        <v>2710</v>
      </c>
      <c r="G757">
        <v>43775</v>
      </c>
      <c r="H757">
        <v>44500</v>
      </c>
      <c r="I757">
        <v>44500</v>
      </c>
      <c r="J757">
        <v>45374</v>
      </c>
      <c r="L757" t="s">
        <v>263</v>
      </c>
      <c r="M757" t="s">
        <v>264</v>
      </c>
      <c r="N757" t="s">
        <v>127</v>
      </c>
      <c r="O757" t="s">
        <v>1237</v>
      </c>
      <c r="Q757" t="s">
        <v>49</v>
      </c>
      <c r="R757">
        <v>1</v>
      </c>
      <c r="S757">
        <v>0</v>
      </c>
      <c r="T757">
        <v>0</v>
      </c>
      <c r="U757" t="s">
        <v>2711</v>
      </c>
      <c r="W757">
        <v>30107021200631</v>
      </c>
      <c r="X757">
        <v>37074</v>
      </c>
      <c r="Y757" t="s">
        <v>51</v>
      </c>
      <c r="AG757" t="s">
        <v>787</v>
      </c>
      <c r="AJ757" t="s">
        <v>2712</v>
      </c>
      <c r="AN757" t="s">
        <v>56</v>
      </c>
    </row>
    <row r="758" spans="1:40" ht="18.75" customHeight="1" x14ac:dyDescent="0.3">
      <c r="A758" s="1">
        <v>2021132702603</v>
      </c>
      <c r="B758" t="s">
        <v>106</v>
      </c>
      <c r="C758" t="s">
        <v>2713</v>
      </c>
      <c r="D758" t="s">
        <v>2691</v>
      </c>
      <c r="E758" t="s">
        <v>750</v>
      </c>
      <c r="F758" t="s">
        <v>2707</v>
      </c>
      <c r="G758">
        <v>44542</v>
      </c>
      <c r="H758">
        <v>45589</v>
      </c>
      <c r="I758">
        <v>45223</v>
      </c>
      <c r="J758">
        <v>45988</v>
      </c>
      <c r="L758" t="s">
        <v>263</v>
      </c>
      <c r="M758" t="s">
        <v>264</v>
      </c>
      <c r="N758" t="s">
        <v>127</v>
      </c>
      <c r="O758" t="s">
        <v>1237</v>
      </c>
      <c r="Q758" t="s">
        <v>49</v>
      </c>
      <c r="R758">
        <v>1</v>
      </c>
      <c r="U758" t="s">
        <v>2714</v>
      </c>
      <c r="W758">
        <v>30202261601253</v>
      </c>
      <c r="X758">
        <v>37313</v>
      </c>
      <c r="Y758" t="s">
        <v>103</v>
      </c>
      <c r="AG758" t="s">
        <v>787</v>
      </c>
      <c r="AJ758" t="s">
        <v>2715</v>
      </c>
      <c r="AN758" t="s">
        <v>56</v>
      </c>
    </row>
    <row r="759" spans="1:40" ht="18.75" customHeight="1" x14ac:dyDescent="0.3">
      <c r="A759" s="1">
        <v>2018138306125</v>
      </c>
      <c r="B759" t="s">
        <v>106</v>
      </c>
      <c r="C759" t="s">
        <v>2716</v>
      </c>
      <c r="D759" t="s">
        <v>2665</v>
      </c>
      <c r="E759" t="s">
        <v>750</v>
      </c>
      <c r="AG759" t="s">
        <v>787</v>
      </c>
    </row>
    <row r="760" spans="1:40" ht="18.75" customHeight="1" x14ac:dyDescent="0.3">
      <c r="A760" s="1">
        <v>2005132700031</v>
      </c>
      <c r="B760" t="s">
        <v>210</v>
      </c>
      <c r="C760" t="s">
        <v>2717</v>
      </c>
      <c r="D760" t="s">
        <v>2718</v>
      </c>
      <c r="E760" t="s">
        <v>750</v>
      </c>
      <c r="AG760" t="s">
        <v>787</v>
      </c>
    </row>
    <row r="761" spans="1:40" ht="18.75" customHeight="1" x14ac:dyDescent="0.3">
      <c r="A761" s="1">
        <v>2009134700445</v>
      </c>
      <c r="B761" t="s">
        <v>210</v>
      </c>
      <c r="C761" t="s">
        <v>2719</v>
      </c>
      <c r="D761" t="s">
        <v>2718</v>
      </c>
      <c r="E761" t="s">
        <v>750</v>
      </c>
      <c r="AG761" t="s">
        <v>787</v>
      </c>
    </row>
    <row r="762" spans="1:40" ht="18.75" customHeight="1" x14ac:dyDescent="0.3">
      <c r="A762" s="1">
        <v>2010132700395</v>
      </c>
      <c r="B762" t="s">
        <v>57</v>
      </c>
      <c r="C762" t="s">
        <v>2720</v>
      </c>
      <c r="D762" t="s">
        <v>2718</v>
      </c>
      <c r="E762" t="s">
        <v>750</v>
      </c>
      <c r="AG762" t="s">
        <v>787</v>
      </c>
    </row>
    <row r="763" spans="1:40" ht="18.75" customHeight="1" x14ac:dyDescent="0.3">
      <c r="A763" s="1">
        <v>2015132702739</v>
      </c>
      <c r="B763" t="s">
        <v>75</v>
      </c>
      <c r="C763" t="s">
        <v>2721</v>
      </c>
      <c r="D763" t="s">
        <v>2718</v>
      </c>
      <c r="E763" t="s">
        <v>750</v>
      </c>
      <c r="AG763" t="s">
        <v>787</v>
      </c>
    </row>
    <row r="764" spans="1:40" ht="18.75" customHeight="1" x14ac:dyDescent="0.3">
      <c r="A764" s="1">
        <v>2015132703282</v>
      </c>
      <c r="B764" t="s">
        <v>75</v>
      </c>
      <c r="C764" t="s">
        <v>2722</v>
      </c>
      <c r="D764" t="s">
        <v>2718</v>
      </c>
      <c r="E764" t="s">
        <v>750</v>
      </c>
      <c r="AG764" t="s">
        <v>787</v>
      </c>
    </row>
    <row r="765" spans="1:40" ht="18.75" customHeight="1" x14ac:dyDescent="0.3">
      <c r="A765" s="1">
        <v>2015132706468</v>
      </c>
      <c r="B765" t="s">
        <v>75</v>
      </c>
      <c r="C765" t="s">
        <v>2723</v>
      </c>
      <c r="D765" t="s">
        <v>2718</v>
      </c>
      <c r="E765" t="s">
        <v>750</v>
      </c>
      <c r="AG765" t="s">
        <v>787</v>
      </c>
    </row>
    <row r="766" spans="1:40" ht="18.75" customHeight="1" x14ac:dyDescent="0.3">
      <c r="A766" s="1">
        <v>2016132702836</v>
      </c>
      <c r="B766" t="s">
        <v>75</v>
      </c>
      <c r="C766" t="s">
        <v>2724</v>
      </c>
      <c r="D766" t="s">
        <v>2718</v>
      </c>
      <c r="E766" t="s">
        <v>750</v>
      </c>
      <c r="AG766" t="s">
        <v>787</v>
      </c>
    </row>
    <row r="767" spans="1:40" ht="18.75" customHeight="1" x14ac:dyDescent="0.3">
      <c r="A767" s="1">
        <v>2017132700622</v>
      </c>
      <c r="B767" t="s">
        <v>75</v>
      </c>
      <c r="C767" t="s">
        <v>2725</v>
      </c>
      <c r="D767" t="s">
        <v>2718</v>
      </c>
      <c r="E767" t="s">
        <v>750</v>
      </c>
      <c r="AG767" t="s">
        <v>787</v>
      </c>
    </row>
    <row r="768" spans="1:40" ht="18.75" customHeight="1" x14ac:dyDescent="0.3">
      <c r="A768" s="1">
        <v>2017132703139</v>
      </c>
      <c r="B768" t="s">
        <v>75</v>
      </c>
      <c r="C768" t="s">
        <v>2726</v>
      </c>
      <c r="D768" t="s">
        <v>2718</v>
      </c>
      <c r="E768" t="s">
        <v>750</v>
      </c>
      <c r="AG768" t="s">
        <v>787</v>
      </c>
    </row>
    <row r="769" spans="1:40" ht="18.75" customHeight="1" x14ac:dyDescent="0.3">
      <c r="A769" s="1">
        <v>2018132703195</v>
      </c>
      <c r="B769" t="s">
        <v>75</v>
      </c>
      <c r="C769" t="s">
        <v>2727</v>
      </c>
      <c r="D769" t="s">
        <v>2718</v>
      </c>
      <c r="E769" t="s">
        <v>750</v>
      </c>
      <c r="AG769" t="s">
        <v>787</v>
      </c>
    </row>
    <row r="770" spans="1:40" ht="18.75" customHeight="1" x14ac:dyDescent="0.3">
      <c r="A770" s="1">
        <v>2018132703640</v>
      </c>
      <c r="B770" t="s">
        <v>75</v>
      </c>
      <c r="C770" t="s">
        <v>2728</v>
      </c>
      <c r="D770" t="s">
        <v>2718</v>
      </c>
      <c r="E770" t="s">
        <v>750</v>
      </c>
      <c r="AG770" t="s">
        <v>787</v>
      </c>
    </row>
    <row r="771" spans="1:40" ht="18.75" customHeight="1" x14ac:dyDescent="0.3">
      <c r="A771" s="1">
        <v>2019132701618</v>
      </c>
      <c r="B771" t="s">
        <v>106</v>
      </c>
      <c r="C771" t="s">
        <v>2729</v>
      </c>
      <c r="D771" t="s">
        <v>2718</v>
      </c>
      <c r="E771" t="s">
        <v>750</v>
      </c>
      <c r="AG771" t="s">
        <v>787</v>
      </c>
    </row>
    <row r="772" spans="1:40" ht="18.75" customHeight="1" x14ac:dyDescent="0.3">
      <c r="A772" s="1">
        <v>2019132701668</v>
      </c>
      <c r="B772" t="s">
        <v>106</v>
      </c>
      <c r="C772" t="s">
        <v>2730</v>
      </c>
      <c r="D772" t="s">
        <v>2718</v>
      </c>
      <c r="E772" t="s">
        <v>750</v>
      </c>
      <c r="AG772" t="s">
        <v>787</v>
      </c>
    </row>
    <row r="773" spans="1:40" ht="18.75" customHeight="1" x14ac:dyDescent="0.3">
      <c r="A773" s="1">
        <v>2019132704133</v>
      </c>
      <c r="B773" t="s">
        <v>106</v>
      </c>
      <c r="C773" t="s">
        <v>2731</v>
      </c>
      <c r="D773" t="s">
        <v>2718</v>
      </c>
      <c r="E773" t="s">
        <v>750</v>
      </c>
      <c r="AG773" t="s">
        <v>787</v>
      </c>
    </row>
    <row r="774" spans="1:40" ht="18.75" customHeight="1" x14ac:dyDescent="0.3">
      <c r="A774" s="1">
        <v>2019132704159</v>
      </c>
      <c r="B774" t="s">
        <v>106</v>
      </c>
      <c r="C774" t="s">
        <v>2732</v>
      </c>
      <c r="D774" t="s">
        <v>2718</v>
      </c>
      <c r="E774" t="s">
        <v>750</v>
      </c>
      <c r="AG774" t="s">
        <v>787</v>
      </c>
    </row>
    <row r="775" spans="1:40" ht="18.75" customHeight="1" x14ac:dyDescent="0.3">
      <c r="A775" s="1">
        <v>2021132400257</v>
      </c>
      <c r="B775" t="s">
        <v>125</v>
      </c>
      <c r="C775" t="s">
        <v>2733</v>
      </c>
      <c r="D775" t="s">
        <v>2718</v>
      </c>
      <c r="E775" t="s">
        <v>750</v>
      </c>
      <c r="AG775" t="s">
        <v>787</v>
      </c>
    </row>
    <row r="776" spans="1:40" ht="18.75" customHeight="1" x14ac:dyDescent="0.3">
      <c r="A776" s="1">
        <v>2001130400475</v>
      </c>
      <c r="B776" t="s">
        <v>210</v>
      </c>
      <c r="C776" t="s">
        <v>2734</v>
      </c>
      <c r="D776" t="s">
        <v>2735</v>
      </c>
      <c r="E776" t="s">
        <v>750</v>
      </c>
      <c r="F776">
        <v>125</v>
      </c>
      <c r="G776">
        <v>36916</v>
      </c>
      <c r="H776">
        <v>37381</v>
      </c>
      <c r="I776">
        <v>45108</v>
      </c>
      <c r="L776" t="s">
        <v>135</v>
      </c>
      <c r="M776" t="s">
        <v>1171</v>
      </c>
      <c r="N776" t="s">
        <v>78</v>
      </c>
      <c r="O776" t="s">
        <v>2736</v>
      </c>
      <c r="P776" t="s">
        <v>49</v>
      </c>
      <c r="R776">
        <v>6</v>
      </c>
      <c r="S776">
        <v>1</v>
      </c>
      <c r="T776">
        <v>0</v>
      </c>
      <c r="U776" t="s">
        <v>2737</v>
      </c>
      <c r="W776">
        <v>28101111604157</v>
      </c>
      <c r="X776">
        <v>29597</v>
      </c>
      <c r="Y776" t="s">
        <v>103</v>
      </c>
      <c r="Z776">
        <v>3</v>
      </c>
      <c r="AA776">
        <v>2</v>
      </c>
      <c r="AB776">
        <v>1</v>
      </c>
      <c r="AD776" t="s">
        <v>2738</v>
      </c>
      <c r="AE776" t="s">
        <v>2739</v>
      </c>
      <c r="AF776">
        <v>65</v>
      </c>
      <c r="AG776">
        <v>170</v>
      </c>
      <c r="AH776">
        <v>-5</v>
      </c>
      <c r="AN776" t="s">
        <v>145</v>
      </c>
    </row>
    <row r="777" spans="1:40" ht="18.75" customHeight="1" x14ac:dyDescent="0.3">
      <c r="A777" s="1">
        <v>2008132400312</v>
      </c>
      <c r="B777" t="s">
        <v>75</v>
      </c>
      <c r="C777" t="s">
        <v>2740</v>
      </c>
      <c r="D777" t="s">
        <v>2735</v>
      </c>
      <c r="E777" t="s">
        <v>750</v>
      </c>
      <c r="F777">
        <v>140</v>
      </c>
      <c r="G777">
        <v>39655</v>
      </c>
      <c r="H777">
        <v>40129</v>
      </c>
      <c r="I777">
        <v>45108</v>
      </c>
      <c r="L777" t="s">
        <v>135</v>
      </c>
      <c r="M777" t="s">
        <v>1171</v>
      </c>
      <c r="N777" t="s">
        <v>1172</v>
      </c>
      <c r="O777" t="s">
        <v>1992</v>
      </c>
      <c r="P777" t="s">
        <v>49</v>
      </c>
      <c r="R777">
        <v>10</v>
      </c>
      <c r="S777">
        <v>0</v>
      </c>
      <c r="T777">
        <v>1</v>
      </c>
      <c r="U777" t="s">
        <v>2741</v>
      </c>
      <c r="W777">
        <v>29104071201693</v>
      </c>
      <c r="X777">
        <v>33335</v>
      </c>
      <c r="Y777" t="s">
        <v>103</v>
      </c>
      <c r="Z777">
        <v>2</v>
      </c>
      <c r="AA777">
        <v>0</v>
      </c>
      <c r="AB777">
        <v>2</v>
      </c>
      <c r="AD777" t="s">
        <v>2742</v>
      </c>
      <c r="AE777" t="s">
        <v>118</v>
      </c>
      <c r="AF777">
        <v>65</v>
      </c>
      <c r="AG777">
        <v>170</v>
      </c>
      <c r="AH777">
        <v>-5</v>
      </c>
      <c r="AN777" t="s">
        <v>145</v>
      </c>
    </row>
    <row r="778" spans="1:40" ht="18.75" customHeight="1" x14ac:dyDescent="0.3">
      <c r="A778" s="1">
        <v>2011132400555</v>
      </c>
      <c r="B778" t="s">
        <v>75</v>
      </c>
      <c r="C778" t="s">
        <v>2743</v>
      </c>
      <c r="D778" t="s">
        <v>2735</v>
      </c>
      <c r="E778" t="s">
        <v>750</v>
      </c>
      <c r="F778">
        <v>146</v>
      </c>
      <c r="G778">
        <v>40748</v>
      </c>
      <c r="H778">
        <v>41214</v>
      </c>
      <c r="I778">
        <v>44927</v>
      </c>
      <c r="L778" t="s">
        <v>135</v>
      </c>
      <c r="M778" t="s">
        <v>1171</v>
      </c>
      <c r="N778" t="s">
        <v>1172</v>
      </c>
      <c r="O778" t="s">
        <v>1297</v>
      </c>
      <c r="P778" t="s">
        <v>49</v>
      </c>
      <c r="R778">
        <v>4</v>
      </c>
      <c r="S778">
        <v>0</v>
      </c>
      <c r="T778">
        <v>0</v>
      </c>
      <c r="U778" t="s">
        <v>2744</v>
      </c>
      <c r="W778">
        <v>29207271802415</v>
      </c>
      <c r="X778">
        <v>33812</v>
      </c>
      <c r="Y778" t="s">
        <v>103</v>
      </c>
      <c r="Z778">
        <v>2</v>
      </c>
      <c r="AA778">
        <v>2</v>
      </c>
      <c r="AB778">
        <v>0</v>
      </c>
      <c r="AD778" t="s">
        <v>2745</v>
      </c>
      <c r="AE778" t="s">
        <v>54</v>
      </c>
      <c r="AF778">
        <v>75</v>
      </c>
      <c r="AG778">
        <v>170</v>
      </c>
      <c r="AH778">
        <v>5</v>
      </c>
      <c r="AN778" t="s">
        <v>145</v>
      </c>
    </row>
    <row r="779" spans="1:40" ht="18.75" customHeight="1" x14ac:dyDescent="0.3">
      <c r="A779" s="1">
        <v>2013132400931</v>
      </c>
      <c r="B779" t="s">
        <v>75</v>
      </c>
      <c r="C779" t="s">
        <v>2746</v>
      </c>
      <c r="D779" t="s">
        <v>2735</v>
      </c>
      <c r="E779" t="s">
        <v>750</v>
      </c>
      <c r="F779">
        <v>150</v>
      </c>
      <c r="G779">
        <v>41510</v>
      </c>
      <c r="H779">
        <v>41983</v>
      </c>
      <c r="I779">
        <v>45658</v>
      </c>
      <c r="L779" t="s">
        <v>135</v>
      </c>
      <c r="M779" t="s">
        <v>1171</v>
      </c>
      <c r="N779" t="s">
        <v>1172</v>
      </c>
      <c r="O779" t="s">
        <v>1992</v>
      </c>
      <c r="Q779" t="s">
        <v>49</v>
      </c>
      <c r="R779">
        <v>2</v>
      </c>
      <c r="S779">
        <v>1</v>
      </c>
      <c r="T779">
        <v>0</v>
      </c>
      <c r="U779" t="s">
        <v>2747</v>
      </c>
      <c r="W779">
        <v>29307251702851</v>
      </c>
      <c r="X779">
        <v>34175</v>
      </c>
      <c r="Y779" t="s">
        <v>103</v>
      </c>
      <c r="Z779">
        <v>2</v>
      </c>
      <c r="AA779">
        <v>0</v>
      </c>
      <c r="AB779">
        <v>2</v>
      </c>
      <c r="AD779" t="s">
        <v>1379</v>
      </c>
      <c r="AE779" t="s">
        <v>167</v>
      </c>
      <c r="AF779">
        <v>80</v>
      </c>
      <c r="AG779">
        <v>183</v>
      </c>
      <c r="AH779">
        <v>-3</v>
      </c>
      <c r="AN779" t="s">
        <v>145</v>
      </c>
    </row>
    <row r="780" spans="1:40" ht="18.75" customHeight="1" x14ac:dyDescent="0.3">
      <c r="A780" s="1">
        <v>2015138326963</v>
      </c>
      <c r="B780" t="s">
        <v>106</v>
      </c>
      <c r="C780" t="s">
        <v>2748</v>
      </c>
      <c r="D780" t="s">
        <v>2735</v>
      </c>
      <c r="E780" t="s">
        <v>750</v>
      </c>
      <c r="F780">
        <v>155</v>
      </c>
      <c r="G780">
        <v>42369</v>
      </c>
      <c r="H780">
        <v>42932</v>
      </c>
      <c r="I780">
        <v>44927</v>
      </c>
      <c r="L780" t="s">
        <v>135</v>
      </c>
      <c r="M780" t="s">
        <v>1171</v>
      </c>
      <c r="N780" t="s">
        <v>127</v>
      </c>
      <c r="O780" t="s">
        <v>2040</v>
      </c>
      <c r="Q780" t="s">
        <v>49</v>
      </c>
      <c r="R780">
        <v>0</v>
      </c>
      <c r="S780">
        <v>1</v>
      </c>
      <c r="T780">
        <v>0</v>
      </c>
      <c r="U780" t="s">
        <v>2749</v>
      </c>
      <c r="W780">
        <v>29607011702792</v>
      </c>
      <c r="X780">
        <v>35247</v>
      </c>
      <c r="Y780" t="s">
        <v>103</v>
      </c>
      <c r="Z780">
        <v>2</v>
      </c>
      <c r="AA780">
        <v>1</v>
      </c>
      <c r="AB780">
        <v>1</v>
      </c>
      <c r="AD780" t="s">
        <v>1629</v>
      </c>
      <c r="AE780" t="s">
        <v>167</v>
      </c>
      <c r="AF780">
        <v>80</v>
      </c>
      <c r="AG780">
        <v>170</v>
      </c>
      <c r="AH780">
        <v>10</v>
      </c>
      <c r="AN780" t="s">
        <v>145</v>
      </c>
    </row>
    <row r="781" spans="1:40" ht="18.75" customHeight="1" x14ac:dyDescent="0.3">
      <c r="A781" s="1">
        <v>2016130400870</v>
      </c>
      <c r="B781" t="s">
        <v>106</v>
      </c>
      <c r="C781" t="s">
        <v>2750</v>
      </c>
      <c r="D781" t="s">
        <v>2735</v>
      </c>
      <c r="E781" t="s">
        <v>750</v>
      </c>
      <c r="F781">
        <v>156</v>
      </c>
      <c r="G781">
        <v>42575</v>
      </c>
      <c r="H781">
        <v>43321</v>
      </c>
      <c r="I781">
        <v>45292</v>
      </c>
      <c r="L781" t="s">
        <v>135</v>
      </c>
      <c r="M781" t="s">
        <v>1171</v>
      </c>
      <c r="N781" t="s">
        <v>78</v>
      </c>
      <c r="O781" t="s">
        <v>2751</v>
      </c>
      <c r="Q781" t="s">
        <v>49</v>
      </c>
      <c r="R781">
        <v>1</v>
      </c>
      <c r="S781">
        <v>0</v>
      </c>
      <c r="T781">
        <v>0</v>
      </c>
      <c r="U781" t="s">
        <v>2752</v>
      </c>
      <c r="W781">
        <v>30002071600936</v>
      </c>
      <c r="X781">
        <v>36563</v>
      </c>
      <c r="Y781" t="s">
        <v>103</v>
      </c>
      <c r="Z781">
        <v>1</v>
      </c>
      <c r="AA781">
        <v>0</v>
      </c>
      <c r="AB781">
        <v>1</v>
      </c>
      <c r="AD781" t="s">
        <v>217</v>
      </c>
      <c r="AE781" t="s">
        <v>73</v>
      </c>
      <c r="AF781">
        <v>68</v>
      </c>
      <c r="AG781">
        <v>170</v>
      </c>
      <c r="AH781">
        <v>-2</v>
      </c>
      <c r="AN781" t="s">
        <v>145</v>
      </c>
    </row>
    <row r="782" spans="1:40" ht="18.75" customHeight="1" x14ac:dyDescent="0.3">
      <c r="A782" s="1">
        <v>2016132400331</v>
      </c>
      <c r="B782" t="s">
        <v>106</v>
      </c>
      <c r="C782" t="s">
        <v>2753</v>
      </c>
      <c r="D782" t="s">
        <v>2735</v>
      </c>
      <c r="E782" t="s">
        <v>750</v>
      </c>
      <c r="F782">
        <v>156</v>
      </c>
      <c r="G782">
        <v>42575</v>
      </c>
      <c r="H782">
        <v>43321</v>
      </c>
      <c r="I782">
        <v>45292</v>
      </c>
      <c r="L782" t="s">
        <v>135</v>
      </c>
      <c r="M782" t="s">
        <v>1171</v>
      </c>
      <c r="N782" t="s">
        <v>1172</v>
      </c>
      <c r="O782" t="s">
        <v>1992</v>
      </c>
      <c r="Q782" t="s">
        <v>49</v>
      </c>
      <c r="R782">
        <v>1</v>
      </c>
      <c r="S782">
        <v>0</v>
      </c>
      <c r="T782">
        <v>0</v>
      </c>
      <c r="U782" t="s">
        <v>2754</v>
      </c>
      <c r="W782">
        <v>30002081602236</v>
      </c>
      <c r="X782">
        <v>36564</v>
      </c>
      <c r="Y782" t="s">
        <v>103</v>
      </c>
      <c r="Z782">
        <v>1</v>
      </c>
      <c r="AA782">
        <v>0</v>
      </c>
      <c r="AB782">
        <v>1</v>
      </c>
      <c r="AD782" t="s">
        <v>271</v>
      </c>
      <c r="AE782" t="s">
        <v>73</v>
      </c>
      <c r="AF782">
        <v>69</v>
      </c>
      <c r="AG782">
        <v>170</v>
      </c>
      <c r="AH782">
        <v>-1</v>
      </c>
      <c r="AN782" t="s">
        <v>145</v>
      </c>
    </row>
    <row r="783" spans="1:40" ht="18.75" customHeight="1" x14ac:dyDescent="0.3">
      <c r="A783" s="1">
        <v>2016132400373</v>
      </c>
      <c r="B783" t="s">
        <v>106</v>
      </c>
      <c r="C783" t="s">
        <v>2755</v>
      </c>
      <c r="D783" t="s">
        <v>2735</v>
      </c>
      <c r="E783" t="s">
        <v>750</v>
      </c>
      <c r="F783">
        <v>156</v>
      </c>
      <c r="G783">
        <v>42565</v>
      </c>
      <c r="H783">
        <v>43321</v>
      </c>
      <c r="I783">
        <v>45292</v>
      </c>
      <c r="L783" t="s">
        <v>135</v>
      </c>
      <c r="M783" t="s">
        <v>1171</v>
      </c>
      <c r="N783" t="s">
        <v>1172</v>
      </c>
      <c r="O783" t="s">
        <v>1992</v>
      </c>
      <c r="Q783" t="s">
        <v>49</v>
      </c>
      <c r="R783">
        <v>3</v>
      </c>
      <c r="S783">
        <v>0</v>
      </c>
      <c r="T783">
        <v>0</v>
      </c>
      <c r="U783" t="s">
        <v>2756</v>
      </c>
      <c r="W783">
        <v>29910151700352</v>
      </c>
      <c r="X783">
        <v>36448</v>
      </c>
      <c r="Y783" t="s">
        <v>103</v>
      </c>
      <c r="Z783">
        <v>1</v>
      </c>
      <c r="AA783">
        <v>0</v>
      </c>
      <c r="AB783">
        <v>1</v>
      </c>
      <c r="AD783" t="s">
        <v>1379</v>
      </c>
      <c r="AE783" t="s">
        <v>167</v>
      </c>
      <c r="AF783">
        <v>55</v>
      </c>
      <c r="AG783">
        <v>162</v>
      </c>
      <c r="AH783">
        <v>-7</v>
      </c>
      <c r="AN783" t="s">
        <v>145</v>
      </c>
    </row>
    <row r="784" spans="1:40" ht="18.75" customHeight="1" x14ac:dyDescent="0.3">
      <c r="A784" s="1">
        <v>2017132400587</v>
      </c>
      <c r="B784" t="s">
        <v>106</v>
      </c>
      <c r="C784" t="s">
        <v>2757</v>
      </c>
      <c r="D784" t="s">
        <v>2735</v>
      </c>
      <c r="E784" t="s">
        <v>750</v>
      </c>
      <c r="F784">
        <v>157</v>
      </c>
      <c r="G784">
        <v>42915</v>
      </c>
      <c r="H784">
        <v>43663</v>
      </c>
      <c r="I784">
        <v>45658</v>
      </c>
      <c r="L784" t="s">
        <v>135</v>
      </c>
      <c r="M784" t="s">
        <v>1171</v>
      </c>
      <c r="N784" t="s">
        <v>1172</v>
      </c>
      <c r="O784" t="s">
        <v>1173</v>
      </c>
      <c r="Q784" t="s">
        <v>49</v>
      </c>
      <c r="R784">
        <v>6</v>
      </c>
      <c r="S784">
        <v>0</v>
      </c>
      <c r="T784">
        <v>1</v>
      </c>
      <c r="U784" t="s">
        <v>2758</v>
      </c>
      <c r="W784">
        <v>29907171603514</v>
      </c>
      <c r="X784">
        <v>36358</v>
      </c>
      <c r="Y784" t="s">
        <v>51</v>
      </c>
      <c r="Z784">
        <v>0</v>
      </c>
      <c r="AA784">
        <v>0</v>
      </c>
      <c r="AB784">
        <v>0</v>
      </c>
      <c r="AD784" t="s">
        <v>429</v>
      </c>
      <c r="AE784" t="s">
        <v>73</v>
      </c>
      <c r="AF784">
        <v>79</v>
      </c>
      <c r="AG784">
        <v>179</v>
      </c>
      <c r="AH784">
        <v>0</v>
      </c>
      <c r="AN784" t="s">
        <v>145</v>
      </c>
    </row>
    <row r="785" spans="1:40" ht="18.75" customHeight="1" x14ac:dyDescent="0.3">
      <c r="A785" s="1">
        <v>2018132401757</v>
      </c>
      <c r="B785" t="s">
        <v>106</v>
      </c>
      <c r="C785" t="s">
        <v>2759</v>
      </c>
      <c r="D785" t="s">
        <v>2735</v>
      </c>
      <c r="E785" t="s">
        <v>750</v>
      </c>
      <c r="F785">
        <v>158</v>
      </c>
      <c r="G785">
        <v>43279</v>
      </c>
      <c r="H785">
        <v>44117</v>
      </c>
      <c r="I785">
        <v>46023</v>
      </c>
      <c r="L785" t="s">
        <v>135</v>
      </c>
      <c r="M785" t="s">
        <v>1171</v>
      </c>
      <c r="N785" t="s">
        <v>1172</v>
      </c>
      <c r="O785" t="s">
        <v>1992</v>
      </c>
      <c r="Q785" t="s">
        <v>49</v>
      </c>
      <c r="R785">
        <v>4</v>
      </c>
      <c r="S785">
        <v>0</v>
      </c>
      <c r="T785">
        <v>0</v>
      </c>
      <c r="U785" t="s">
        <v>2760</v>
      </c>
      <c r="W785">
        <v>30207142201796</v>
      </c>
      <c r="X785">
        <v>37451</v>
      </c>
      <c r="Y785" t="s">
        <v>153</v>
      </c>
      <c r="Z785">
        <v>0</v>
      </c>
      <c r="AA785">
        <v>0</v>
      </c>
      <c r="AB785">
        <v>0</v>
      </c>
      <c r="AD785" t="s">
        <v>209</v>
      </c>
      <c r="AE785" t="s">
        <v>1520</v>
      </c>
      <c r="AF785">
        <v>79</v>
      </c>
      <c r="AG785">
        <v>180</v>
      </c>
      <c r="AH785">
        <v>-1</v>
      </c>
      <c r="AN785" t="s">
        <v>145</v>
      </c>
    </row>
    <row r="786" spans="1:40" ht="18.75" customHeight="1" x14ac:dyDescent="0.3">
      <c r="A786" s="1">
        <v>2019131811012</v>
      </c>
      <c r="B786" t="s">
        <v>125</v>
      </c>
      <c r="C786" t="s">
        <v>2761</v>
      </c>
      <c r="D786" t="s">
        <v>694</v>
      </c>
      <c r="E786" t="s">
        <v>43</v>
      </c>
      <c r="F786">
        <v>159</v>
      </c>
      <c r="G786">
        <v>43692</v>
      </c>
      <c r="H786">
        <v>44482</v>
      </c>
      <c r="I786">
        <v>44482</v>
      </c>
      <c r="K786">
        <v>44499</v>
      </c>
      <c r="L786" t="s">
        <v>135</v>
      </c>
      <c r="M786" t="s">
        <v>695</v>
      </c>
      <c r="N786" t="s">
        <v>727</v>
      </c>
      <c r="O786" t="s">
        <v>608</v>
      </c>
      <c r="Q786" t="s">
        <v>49</v>
      </c>
      <c r="R786">
        <v>3</v>
      </c>
      <c r="S786">
        <v>1</v>
      </c>
      <c r="T786">
        <v>0</v>
      </c>
      <c r="U786" t="s">
        <v>2762</v>
      </c>
      <c r="W786">
        <v>29703272701156</v>
      </c>
      <c r="X786">
        <v>35516</v>
      </c>
      <c r="Y786" t="s">
        <v>1392</v>
      </c>
      <c r="AA786">
        <v>0</v>
      </c>
      <c r="AB786">
        <v>0</v>
      </c>
      <c r="AE786" t="s">
        <v>2763</v>
      </c>
      <c r="AF786">
        <v>78</v>
      </c>
      <c r="AG786">
        <v>173</v>
      </c>
      <c r="AH786">
        <f>IF([2]!Table1[[#This Row],[الوزن]]&lt;&gt;"",[2]!Table1[[#This Row],[الوزن]]-([2]!Table1[[#This Row],[الطول]]-100),"")</f>
        <v>0</v>
      </c>
      <c r="AN786" t="s">
        <v>145</v>
      </c>
    </row>
    <row r="787" spans="1:40" ht="18.75" customHeight="1" x14ac:dyDescent="0.3">
      <c r="A787" s="1">
        <v>2019138308632</v>
      </c>
      <c r="B787" t="s">
        <v>125</v>
      </c>
      <c r="C787" t="s">
        <v>2764</v>
      </c>
      <c r="D787" t="s">
        <v>2735</v>
      </c>
      <c r="E787" t="s">
        <v>750</v>
      </c>
      <c r="F787">
        <v>159</v>
      </c>
      <c r="G787">
        <v>43692</v>
      </c>
      <c r="H787">
        <v>44482</v>
      </c>
      <c r="I787">
        <v>44506</v>
      </c>
      <c r="L787" t="s">
        <v>135</v>
      </c>
      <c r="M787" t="s">
        <v>1171</v>
      </c>
      <c r="N787" t="s">
        <v>127</v>
      </c>
      <c r="O787" t="s">
        <v>2040</v>
      </c>
      <c r="P787" t="s">
        <v>49</v>
      </c>
      <c r="R787">
        <v>0</v>
      </c>
      <c r="S787">
        <v>0</v>
      </c>
      <c r="T787">
        <v>0</v>
      </c>
      <c r="U787" t="s">
        <v>2765</v>
      </c>
      <c r="W787">
        <v>30002151307237</v>
      </c>
      <c r="X787">
        <v>36571</v>
      </c>
      <c r="Y787" t="s">
        <v>51</v>
      </c>
      <c r="Z787">
        <v>0</v>
      </c>
      <c r="AA787">
        <v>0</v>
      </c>
      <c r="AB787">
        <v>0</v>
      </c>
      <c r="AD787" t="s">
        <v>2766</v>
      </c>
      <c r="AE787" t="s">
        <v>64</v>
      </c>
      <c r="AF787">
        <v>80</v>
      </c>
      <c r="AG787">
        <v>180</v>
      </c>
      <c r="AH787">
        <v>0</v>
      </c>
      <c r="AN787" t="s">
        <v>145</v>
      </c>
    </row>
    <row r="788" spans="1:40" ht="18.75" customHeight="1" x14ac:dyDescent="0.3">
      <c r="A788" s="1">
        <v>2019138315520</v>
      </c>
      <c r="B788" t="s">
        <v>125</v>
      </c>
      <c r="C788" t="s">
        <v>2767</v>
      </c>
      <c r="D788" t="s">
        <v>2735</v>
      </c>
      <c r="E788" t="s">
        <v>750</v>
      </c>
      <c r="F788">
        <v>159</v>
      </c>
      <c r="G788">
        <v>43692</v>
      </c>
      <c r="H788">
        <v>44482</v>
      </c>
      <c r="I788">
        <v>44482</v>
      </c>
      <c r="L788" t="s">
        <v>135</v>
      </c>
      <c r="M788" t="s">
        <v>1171</v>
      </c>
      <c r="N788" t="s">
        <v>127</v>
      </c>
      <c r="O788" t="s">
        <v>2040</v>
      </c>
      <c r="P788" t="s">
        <v>49</v>
      </c>
      <c r="R788">
        <v>3</v>
      </c>
      <c r="S788">
        <v>0</v>
      </c>
      <c r="T788">
        <v>0</v>
      </c>
      <c r="U788" t="s">
        <v>2768</v>
      </c>
      <c r="W788">
        <v>30108201704855</v>
      </c>
      <c r="X788">
        <v>37123</v>
      </c>
      <c r="Y788" t="s">
        <v>153</v>
      </c>
      <c r="Z788">
        <v>0</v>
      </c>
      <c r="AA788">
        <v>0</v>
      </c>
      <c r="AB788">
        <v>0</v>
      </c>
      <c r="AD788" t="s">
        <v>2769</v>
      </c>
      <c r="AE788" t="s">
        <v>2739</v>
      </c>
      <c r="AF788">
        <v>69</v>
      </c>
      <c r="AG788">
        <v>170</v>
      </c>
      <c r="AH788">
        <v>-1</v>
      </c>
      <c r="AN788" t="s">
        <v>145</v>
      </c>
    </row>
    <row r="789" spans="1:40" ht="18.75" customHeight="1" x14ac:dyDescent="0.3">
      <c r="A789" s="1">
        <v>2021138303041</v>
      </c>
      <c r="B789" t="s">
        <v>125</v>
      </c>
      <c r="C789" t="s">
        <v>2770</v>
      </c>
      <c r="D789" t="s">
        <v>2735</v>
      </c>
      <c r="E789" t="s">
        <v>750</v>
      </c>
      <c r="F789">
        <v>160</v>
      </c>
      <c r="G789">
        <v>44205</v>
      </c>
      <c r="H789">
        <v>45197</v>
      </c>
      <c r="I789">
        <v>45197</v>
      </c>
      <c r="L789" t="s">
        <v>135</v>
      </c>
      <c r="M789" t="s">
        <v>1171</v>
      </c>
      <c r="N789" t="s">
        <v>127</v>
      </c>
      <c r="O789" t="s">
        <v>2040</v>
      </c>
      <c r="P789" t="s">
        <v>49</v>
      </c>
      <c r="U789" t="s">
        <v>2771</v>
      </c>
      <c r="W789">
        <v>30010091300699</v>
      </c>
      <c r="X789">
        <v>36808</v>
      </c>
      <c r="Y789" t="s">
        <v>153</v>
      </c>
      <c r="Z789">
        <v>0</v>
      </c>
      <c r="AA789">
        <v>0</v>
      </c>
      <c r="AB789">
        <v>0</v>
      </c>
      <c r="AD789" t="s">
        <v>746</v>
      </c>
      <c r="AE789" t="s">
        <v>64</v>
      </c>
      <c r="AF789">
        <v>79</v>
      </c>
      <c r="AG789">
        <v>180</v>
      </c>
      <c r="AH789">
        <v>-1</v>
      </c>
      <c r="AN789" t="s">
        <v>145</v>
      </c>
    </row>
    <row r="790" spans="1:40" ht="18.75" customHeight="1" x14ac:dyDescent="0.3">
      <c r="A790" s="1">
        <v>2003138300425</v>
      </c>
      <c r="B790" t="s">
        <v>210</v>
      </c>
      <c r="C790" t="s">
        <v>2772</v>
      </c>
      <c r="D790" t="s">
        <v>2773</v>
      </c>
      <c r="E790" t="s">
        <v>750</v>
      </c>
      <c r="F790">
        <v>129</v>
      </c>
      <c r="G790">
        <v>37639</v>
      </c>
      <c r="H790">
        <v>38111</v>
      </c>
      <c r="I790">
        <v>45474</v>
      </c>
      <c r="K790">
        <v>45587</v>
      </c>
      <c r="L790" t="s">
        <v>135</v>
      </c>
      <c r="M790" t="s">
        <v>1332</v>
      </c>
      <c r="N790" t="s">
        <v>127</v>
      </c>
      <c r="O790" t="s">
        <v>1347</v>
      </c>
      <c r="P790" t="s">
        <v>49</v>
      </c>
      <c r="R790">
        <v>6</v>
      </c>
      <c r="S790">
        <v>0</v>
      </c>
      <c r="T790">
        <v>0</v>
      </c>
      <c r="U790" t="s">
        <v>2774</v>
      </c>
      <c r="W790">
        <v>28310231800471</v>
      </c>
      <c r="X790">
        <v>30612</v>
      </c>
      <c r="Y790" t="s">
        <v>103</v>
      </c>
      <c r="AB790">
        <v>2</v>
      </c>
      <c r="AC790" t="s">
        <v>2775</v>
      </c>
      <c r="AF790">
        <v>85</v>
      </c>
      <c r="AG790">
        <v>185</v>
      </c>
      <c r="AH790">
        <v>0</v>
      </c>
      <c r="AJ790" t="s">
        <v>2776</v>
      </c>
      <c r="AK790" t="s">
        <v>2777</v>
      </c>
      <c r="AN790" t="s">
        <v>145</v>
      </c>
    </row>
    <row r="791" spans="1:40" ht="18.75" customHeight="1" x14ac:dyDescent="0.3">
      <c r="A791" s="1">
        <v>2012134700711</v>
      </c>
      <c r="B791" t="s">
        <v>57</v>
      </c>
      <c r="C791" t="s">
        <v>2778</v>
      </c>
      <c r="D791" t="s">
        <v>2773</v>
      </c>
      <c r="E791" t="s">
        <v>750</v>
      </c>
      <c r="F791">
        <v>147</v>
      </c>
      <c r="G791">
        <v>40936</v>
      </c>
      <c r="H791">
        <v>41118</v>
      </c>
      <c r="I791">
        <v>44927</v>
      </c>
      <c r="K791">
        <v>44878</v>
      </c>
      <c r="L791" t="s">
        <v>88</v>
      </c>
      <c r="M791" t="s">
        <v>1332</v>
      </c>
      <c r="N791" t="s">
        <v>47</v>
      </c>
      <c r="O791" t="s">
        <v>2779</v>
      </c>
      <c r="P791" t="s">
        <v>49</v>
      </c>
      <c r="R791">
        <v>1</v>
      </c>
      <c r="S791">
        <v>0</v>
      </c>
      <c r="T791">
        <v>0</v>
      </c>
      <c r="U791">
        <v>1011383856</v>
      </c>
      <c r="W791">
        <v>29206091200194</v>
      </c>
      <c r="X791">
        <v>33764</v>
      </c>
      <c r="Y791" t="s">
        <v>51</v>
      </c>
      <c r="AB791">
        <v>1</v>
      </c>
      <c r="AC791" t="s">
        <v>2780</v>
      </c>
      <c r="AF791">
        <v>82</v>
      </c>
      <c r="AG791">
        <v>182</v>
      </c>
      <c r="AH791">
        <v>0</v>
      </c>
      <c r="AJ791" t="s">
        <v>2781</v>
      </c>
      <c r="AN791" t="s">
        <v>145</v>
      </c>
    </row>
    <row r="792" spans="1:40" ht="18.75" customHeight="1" x14ac:dyDescent="0.3">
      <c r="A792" s="1">
        <v>2013134708143</v>
      </c>
      <c r="B792" t="s">
        <v>75</v>
      </c>
      <c r="C792" t="s">
        <v>2782</v>
      </c>
      <c r="D792" t="s">
        <v>2773</v>
      </c>
      <c r="E792" t="s">
        <v>750</v>
      </c>
      <c r="F792">
        <v>150</v>
      </c>
      <c r="G792">
        <v>41509</v>
      </c>
      <c r="H792">
        <v>41983</v>
      </c>
      <c r="I792">
        <v>45658</v>
      </c>
      <c r="K792">
        <v>45594</v>
      </c>
      <c r="L792" t="s">
        <v>135</v>
      </c>
      <c r="M792" t="s">
        <v>1332</v>
      </c>
      <c r="N792" t="s">
        <v>47</v>
      </c>
      <c r="O792" t="s">
        <v>2779</v>
      </c>
      <c r="P792" t="s">
        <v>49</v>
      </c>
      <c r="R792">
        <v>3</v>
      </c>
      <c r="S792">
        <v>0</v>
      </c>
      <c r="T792">
        <v>0</v>
      </c>
      <c r="U792" t="s">
        <v>2783</v>
      </c>
      <c r="W792">
        <v>29110251601053</v>
      </c>
      <c r="X792">
        <v>33536</v>
      </c>
      <c r="Y792" t="s">
        <v>103</v>
      </c>
      <c r="AB792">
        <v>1</v>
      </c>
      <c r="AC792" t="s">
        <v>2784</v>
      </c>
      <c r="AF792">
        <v>72</v>
      </c>
      <c r="AG792">
        <v>167</v>
      </c>
      <c r="AH792">
        <v>5</v>
      </c>
      <c r="AJ792" t="s">
        <v>2785</v>
      </c>
      <c r="AN792" t="s">
        <v>145</v>
      </c>
    </row>
    <row r="793" spans="1:40" ht="18.75" customHeight="1" x14ac:dyDescent="0.3">
      <c r="A793" s="1">
        <v>2022132700762</v>
      </c>
      <c r="B793" t="s">
        <v>106</v>
      </c>
      <c r="C793" t="s">
        <v>2786</v>
      </c>
      <c r="D793" t="s">
        <v>2718</v>
      </c>
      <c r="E793" t="s">
        <v>750</v>
      </c>
      <c r="AG793" t="s">
        <v>787</v>
      </c>
    </row>
    <row r="794" spans="1:40" ht="18.75" customHeight="1" x14ac:dyDescent="0.3">
      <c r="A794" s="1">
        <v>2016138301301</v>
      </c>
      <c r="B794" t="s">
        <v>106</v>
      </c>
      <c r="C794" t="s">
        <v>2787</v>
      </c>
      <c r="D794" t="s">
        <v>2773</v>
      </c>
      <c r="E794" t="s">
        <v>750</v>
      </c>
      <c r="F794">
        <v>156</v>
      </c>
      <c r="G794">
        <v>42575</v>
      </c>
      <c r="H794">
        <v>43351</v>
      </c>
      <c r="I794">
        <v>45292</v>
      </c>
      <c r="K794">
        <v>45972</v>
      </c>
      <c r="L794" t="s">
        <v>135</v>
      </c>
      <c r="M794" t="s">
        <v>1332</v>
      </c>
      <c r="N794" t="s">
        <v>127</v>
      </c>
      <c r="O794" t="s">
        <v>2788</v>
      </c>
      <c r="P794" t="s">
        <v>49</v>
      </c>
      <c r="R794">
        <v>2</v>
      </c>
      <c r="S794">
        <v>0</v>
      </c>
      <c r="T794">
        <v>0</v>
      </c>
      <c r="U794" t="s">
        <v>2789</v>
      </c>
      <c r="W794">
        <v>29910231302374</v>
      </c>
      <c r="X794">
        <v>36456</v>
      </c>
      <c r="Y794" t="s">
        <v>103</v>
      </c>
      <c r="AB794">
        <v>1</v>
      </c>
      <c r="AC794" t="s">
        <v>2790</v>
      </c>
      <c r="AF794">
        <v>82</v>
      </c>
      <c r="AG794">
        <v>172</v>
      </c>
      <c r="AH794">
        <v>10</v>
      </c>
      <c r="AJ794" t="s">
        <v>2791</v>
      </c>
      <c r="AN794" t="s">
        <v>145</v>
      </c>
    </row>
    <row r="795" spans="1:40" ht="18.75" customHeight="1" x14ac:dyDescent="0.3">
      <c r="A795" s="1">
        <v>2017138301276</v>
      </c>
      <c r="B795" t="s">
        <v>106</v>
      </c>
      <c r="C795" t="s">
        <v>2792</v>
      </c>
      <c r="D795" t="s">
        <v>2773</v>
      </c>
      <c r="E795" t="s">
        <v>750</v>
      </c>
      <c r="F795">
        <v>157</v>
      </c>
      <c r="G795">
        <v>42915</v>
      </c>
      <c r="H795">
        <v>43660</v>
      </c>
      <c r="I795">
        <v>45658</v>
      </c>
      <c r="K795">
        <v>45972</v>
      </c>
      <c r="L795" t="s">
        <v>135</v>
      </c>
      <c r="M795" t="s">
        <v>1332</v>
      </c>
      <c r="N795" t="s">
        <v>127</v>
      </c>
      <c r="O795" t="s">
        <v>1347</v>
      </c>
      <c r="P795" t="s">
        <v>49</v>
      </c>
      <c r="R795">
        <v>1</v>
      </c>
      <c r="S795">
        <v>0</v>
      </c>
      <c r="T795">
        <v>0</v>
      </c>
      <c r="U795">
        <v>1023048318</v>
      </c>
      <c r="W795">
        <v>29808291301858</v>
      </c>
      <c r="X795">
        <v>36444</v>
      </c>
      <c r="Y795" t="s">
        <v>103</v>
      </c>
      <c r="AB795">
        <v>0</v>
      </c>
      <c r="AC795" t="s">
        <v>2793</v>
      </c>
      <c r="AF795">
        <v>73</v>
      </c>
      <c r="AG795">
        <v>177</v>
      </c>
      <c r="AH795">
        <v>-4</v>
      </c>
      <c r="AJ795" t="s">
        <v>2794</v>
      </c>
      <c r="AN795" t="s">
        <v>145</v>
      </c>
    </row>
    <row r="796" spans="1:40" ht="18.75" customHeight="1" x14ac:dyDescent="0.3">
      <c r="A796" s="1">
        <v>2019131811038</v>
      </c>
      <c r="B796" t="s">
        <v>125</v>
      </c>
      <c r="C796" t="s">
        <v>2795</v>
      </c>
      <c r="D796" t="s">
        <v>694</v>
      </c>
      <c r="E796" t="s">
        <v>43</v>
      </c>
      <c r="F796">
        <v>159</v>
      </c>
      <c r="G796">
        <v>43692</v>
      </c>
      <c r="H796">
        <v>44482</v>
      </c>
      <c r="I796">
        <v>44482</v>
      </c>
      <c r="K796">
        <v>44499</v>
      </c>
      <c r="L796" t="s">
        <v>135</v>
      </c>
      <c r="M796" t="s">
        <v>695</v>
      </c>
      <c r="N796" t="s">
        <v>727</v>
      </c>
      <c r="O796" t="s">
        <v>608</v>
      </c>
      <c r="Q796" t="s">
        <v>49</v>
      </c>
      <c r="R796">
        <v>2</v>
      </c>
      <c r="S796">
        <v>0</v>
      </c>
      <c r="T796">
        <v>0</v>
      </c>
      <c r="U796" t="s">
        <v>2796</v>
      </c>
      <c r="W796">
        <v>29611242703853</v>
      </c>
      <c r="X796">
        <v>35393</v>
      </c>
      <c r="Y796" t="s">
        <v>550</v>
      </c>
      <c r="AA796">
        <v>0</v>
      </c>
      <c r="AB796">
        <v>0</v>
      </c>
      <c r="AE796" t="s">
        <v>2797</v>
      </c>
      <c r="AF796">
        <v>73</v>
      </c>
      <c r="AG796">
        <v>170</v>
      </c>
      <c r="AH796">
        <f>IF([2]!Table1[[#This Row],[الوزن]]&lt;&gt;"",[2]!Table1[[#This Row],[الوزن]]-([2]!Table1[[#This Row],[الطول]]-100),"")</f>
        <v>2</v>
      </c>
      <c r="AN796" t="s">
        <v>145</v>
      </c>
    </row>
    <row r="797" spans="1:40" ht="18.75" customHeight="1" x14ac:dyDescent="0.3">
      <c r="A797" s="1">
        <v>2019138302915</v>
      </c>
      <c r="B797" t="s">
        <v>125</v>
      </c>
      <c r="C797" t="s">
        <v>2798</v>
      </c>
      <c r="D797" t="s">
        <v>2773</v>
      </c>
      <c r="E797" t="s">
        <v>750</v>
      </c>
      <c r="F797">
        <v>159</v>
      </c>
      <c r="G797">
        <v>43692</v>
      </c>
      <c r="H797">
        <v>44482</v>
      </c>
      <c r="I797">
        <v>44497</v>
      </c>
      <c r="K797">
        <v>45590</v>
      </c>
      <c r="L797" t="s">
        <v>135</v>
      </c>
      <c r="M797" t="s">
        <v>1332</v>
      </c>
      <c r="N797" t="s">
        <v>127</v>
      </c>
      <c r="O797" t="s">
        <v>1347</v>
      </c>
      <c r="Q797" t="s">
        <v>49</v>
      </c>
      <c r="R797">
        <v>0</v>
      </c>
      <c r="S797">
        <v>0</v>
      </c>
      <c r="T797">
        <v>0</v>
      </c>
      <c r="U797" t="s">
        <v>2799</v>
      </c>
      <c r="V797" t="s">
        <v>298</v>
      </c>
      <c r="W797">
        <v>29906280104955</v>
      </c>
      <c r="X797">
        <v>36339</v>
      </c>
      <c r="Y797" t="s">
        <v>103</v>
      </c>
      <c r="AB797">
        <v>1</v>
      </c>
      <c r="AC797" t="s">
        <v>2800</v>
      </c>
      <c r="AF797">
        <v>77</v>
      </c>
      <c r="AG797">
        <v>175</v>
      </c>
      <c r="AH797">
        <v>2</v>
      </c>
      <c r="AJ797" t="s">
        <v>2801</v>
      </c>
      <c r="AN797" t="s">
        <v>145</v>
      </c>
    </row>
    <row r="798" spans="1:40" ht="18.75" customHeight="1" x14ac:dyDescent="0.3">
      <c r="A798" s="1">
        <v>2021138309122</v>
      </c>
      <c r="B798" t="s">
        <v>125</v>
      </c>
      <c r="C798" t="s">
        <v>2802</v>
      </c>
      <c r="D798" t="s">
        <v>2773</v>
      </c>
      <c r="E798" t="s">
        <v>750</v>
      </c>
      <c r="F798">
        <v>161</v>
      </c>
      <c r="G798">
        <v>44546</v>
      </c>
      <c r="H798">
        <v>45581</v>
      </c>
      <c r="I798">
        <v>45581</v>
      </c>
      <c r="K798">
        <v>45580</v>
      </c>
      <c r="L798" t="s">
        <v>135</v>
      </c>
      <c r="M798" t="s">
        <v>1332</v>
      </c>
      <c r="N798" t="s">
        <v>127</v>
      </c>
      <c r="O798" t="s">
        <v>1347</v>
      </c>
      <c r="Q798" t="s">
        <v>49</v>
      </c>
      <c r="R798">
        <v>2</v>
      </c>
      <c r="S798">
        <v>0</v>
      </c>
      <c r="T798">
        <v>0</v>
      </c>
      <c r="U798" t="s">
        <v>2803</v>
      </c>
      <c r="W798">
        <v>30311081804435</v>
      </c>
      <c r="X798">
        <v>37933</v>
      </c>
      <c r="Y798" t="s">
        <v>153</v>
      </c>
      <c r="AB798">
        <v>0</v>
      </c>
      <c r="AC798" t="s">
        <v>2804</v>
      </c>
      <c r="AF798">
        <v>69</v>
      </c>
      <c r="AG798">
        <v>178</v>
      </c>
      <c r="AH798">
        <v>-9</v>
      </c>
      <c r="AN798" t="s">
        <v>145</v>
      </c>
    </row>
    <row r="799" spans="1:40" ht="18.75" customHeight="1" x14ac:dyDescent="0.3">
      <c r="A799" s="1">
        <v>2001134791185</v>
      </c>
      <c r="B799" t="s">
        <v>495</v>
      </c>
      <c r="C799" t="s">
        <v>2805</v>
      </c>
      <c r="D799" t="s">
        <v>2806</v>
      </c>
      <c r="E799" t="s">
        <v>750</v>
      </c>
      <c r="F799">
        <v>7</v>
      </c>
      <c r="G799">
        <v>37136</v>
      </c>
      <c r="H799">
        <v>37137</v>
      </c>
      <c r="I799">
        <v>44743</v>
      </c>
      <c r="L799" t="s">
        <v>771</v>
      </c>
      <c r="M799" t="s">
        <v>46</v>
      </c>
      <c r="N799" t="s">
        <v>47</v>
      </c>
      <c r="O799" t="s">
        <v>2273</v>
      </c>
      <c r="Q799" t="s">
        <v>49</v>
      </c>
      <c r="R799">
        <v>7</v>
      </c>
      <c r="S799">
        <v>1</v>
      </c>
      <c r="U799" t="s">
        <v>2807</v>
      </c>
      <c r="W799">
        <v>28912121600235</v>
      </c>
      <c r="Y799" t="s">
        <v>2808</v>
      </c>
      <c r="Z799">
        <v>3</v>
      </c>
      <c r="AB799">
        <v>1</v>
      </c>
      <c r="AC799" t="s">
        <v>2809</v>
      </c>
      <c r="AF799">
        <v>77</v>
      </c>
      <c r="AG799">
        <v>174</v>
      </c>
      <c r="AH799">
        <v>3</v>
      </c>
      <c r="AN799" t="s">
        <v>2810</v>
      </c>
    </row>
    <row r="800" spans="1:40" ht="18.75" customHeight="1" x14ac:dyDescent="0.3">
      <c r="A800" s="1">
        <v>2004138301710</v>
      </c>
      <c r="B800" t="s">
        <v>210</v>
      </c>
      <c r="C800" t="s">
        <v>2811</v>
      </c>
      <c r="D800" t="s">
        <v>2806</v>
      </c>
      <c r="E800" t="s">
        <v>750</v>
      </c>
      <c r="F800">
        <v>31</v>
      </c>
      <c r="G800">
        <v>38003</v>
      </c>
      <c r="H800">
        <v>38475</v>
      </c>
      <c r="I800">
        <v>44562</v>
      </c>
      <c r="L800" t="s">
        <v>771</v>
      </c>
      <c r="M800" t="s">
        <v>46</v>
      </c>
      <c r="N800" t="s">
        <v>127</v>
      </c>
      <c r="O800" t="s">
        <v>127</v>
      </c>
      <c r="Q800" t="s">
        <v>49</v>
      </c>
      <c r="R800">
        <v>21</v>
      </c>
      <c r="S800">
        <v>3</v>
      </c>
      <c r="U800" t="s">
        <v>2812</v>
      </c>
      <c r="W800">
        <v>28501192502416</v>
      </c>
      <c r="Y800" t="s">
        <v>2808</v>
      </c>
      <c r="Z800">
        <v>3</v>
      </c>
      <c r="AC800" t="s">
        <v>2813</v>
      </c>
      <c r="AF800">
        <v>74</v>
      </c>
      <c r="AG800">
        <v>172</v>
      </c>
      <c r="AH800">
        <v>2</v>
      </c>
      <c r="AN800" t="s">
        <v>2810</v>
      </c>
    </row>
    <row r="801" spans="1:40" ht="18.75" customHeight="1" x14ac:dyDescent="0.3">
      <c r="A801" s="1">
        <v>2012134705068</v>
      </c>
      <c r="B801" t="s">
        <v>57</v>
      </c>
      <c r="C801" t="s">
        <v>2814</v>
      </c>
      <c r="D801" t="s">
        <v>2806</v>
      </c>
      <c r="E801" t="s">
        <v>750</v>
      </c>
      <c r="F801">
        <v>148</v>
      </c>
      <c r="G801">
        <v>41111</v>
      </c>
      <c r="H801">
        <v>41309</v>
      </c>
      <c r="I801">
        <v>45108</v>
      </c>
      <c r="L801" t="s">
        <v>1444</v>
      </c>
      <c r="M801" t="s">
        <v>46</v>
      </c>
      <c r="N801" t="s">
        <v>47</v>
      </c>
      <c r="O801" t="s">
        <v>2222</v>
      </c>
      <c r="Q801" t="s">
        <v>49</v>
      </c>
      <c r="R801">
        <v>3</v>
      </c>
      <c r="S801">
        <v>1</v>
      </c>
      <c r="U801" t="s">
        <v>2815</v>
      </c>
      <c r="W801">
        <v>28911061300391</v>
      </c>
      <c r="Y801" t="s">
        <v>2808</v>
      </c>
      <c r="Z801">
        <v>2</v>
      </c>
      <c r="AB801">
        <v>1</v>
      </c>
      <c r="AC801" t="s">
        <v>2816</v>
      </c>
      <c r="AF801">
        <v>86</v>
      </c>
      <c r="AG801">
        <v>185</v>
      </c>
      <c r="AH801">
        <v>1</v>
      </c>
      <c r="AN801" t="s">
        <v>2810</v>
      </c>
    </row>
    <row r="802" spans="1:40" ht="18.75" customHeight="1" x14ac:dyDescent="0.3">
      <c r="A802" s="1">
        <v>2012134706397</v>
      </c>
      <c r="B802" t="s">
        <v>57</v>
      </c>
      <c r="C802" t="s">
        <v>2817</v>
      </c>
      <c r="D802" t="s">
        <v>2806</v>
      </c>
      <c r="E802" t="s">
        <v>750</v>
      </c>
      <c r="F802">
        <v>148</v>
      </c>
      <c r="G802">
        <v>41111</v>
      </c>
      <c r="H802">
        <v>41310</v>
      </c>
      <c r="I802">
        <v>45108</v>
      </c>
      <c r="L802" t="s">
        <v>1444</v>
      </c>
      <c r="M802" t="s">
        <v>46</v>
      </c>
      <c r="N802" t="s">
        <v>47</v>
      </c>
      <c r="O802" t="s">
        <v>2216</v>
      </c>
      <c r="Q802" t="s">
        <v>49</v>
      </c>
      <c r="U802" t="s">
        <v>2818</v>
      </c>
      <c r="W802">
        <v>29001051200433</v>
      </c>
      <c r="Y802" t="s">
        <v>2808</v>
      </c>
      <c r="Z802">
        <v>3</v>
      </c>
      <c r="AC802" t="s">
        <v>2819</v>
      </c>
      <c r="AF802">
        <v>77</v>
      </c>
      <c r="AG802">
        <v>176</v>
      </c>
      <c r="AH802">
        <v>1</v>
      </c>
      <c r="AN802" t="s">
        <v>2810</v>
      </c>
    </row>
    <row r="803" spans="1:40" ht="18.75" customHeight="1" x14ac:dyDescent="0.3">
      <c r="A803" s="1">
        <v>2015134705426</v>
      </c>
      <c r="B803" t="s">
        <v>106</v>
      </c>
      <c r="C803" t="s">
        <v>2820</v>
      </c>
      <c r="D803" t="s">
        <v>2806</v>
      </c>
      <c r="E803" t="s">
        <v>750</v>
      </c>
      <c r="F803">
        <v>153</v>
      </c>
      <c r="G803">
        <v>42030</v>
      </c>
      <c r="H803">
        <v>42501</v>
      </c>
      <c r="I803">
        <v>44378</v>
      </c>
      <c r="L803" t="s">
        <v>771</v>
      </c>
      <c r="M803" t="s">
        <v>46</v>
      </c>
      <c r="N803" t="s">
        <v>47</v>
      </c>
      <c r="O803" t="s">
        <v>2273</v>
      </c>
      <c r="Q803" t="s">
        <v>49</v>
      </c>
      <c r="R803">
        <v>20</v>
      </c>
      <c r="S803">
        <v>2</v>
      </c>
      <c r="U803" t="s">
        <v>2821</v>
      </c>
      <c r="W803">
        <v>29601101201476</v>
      </c>
      <c r="Y803" t="s">
        <v>51</v>
      </c>
      <c r="AC803" t="s">
        <v>2822</v>
      </c>
      <c r="AF803">
        <v>60</v>
      </c>
      <c r="AG803">
        <v>164</v>
      </c>
      <c r="AH803">
        <v>-4</v>
      </c>
      <c r="AN803" t="s">
        <v>2810</v>
      </c>
    </row>
    <row r="804" spans="1:40" ht="18.75" customHeight="1" x14ac:dyDescent="0.3">
      <c r="A804" s="1">
        <v>2015134707513</v>
      </c>
      <c r="B804" t="s">
        <v>75</v>
      </c>
      <c r="C804" t="s">
        <v>2823</v>
      </c>
      <c r="D804" t="s">
        <v>2806</v>
      </c>
      <c r="E804" t="s">
        <v>750</v>
      </c>
      <c r="F804">
        <v>154</v>
      </c>
      <c r="G804">
        <v>42224</v>
      </c>
      <c r="H804">
        <v>42789</v>
      </c>
      <c r="I804">
        <v>44743</v>
      </c>
      <c r="L804" t="s">
        <v>1444</v>
      </c>
      <c r="M804" t="s">
        <v>46</v>
      </c>
      <c r="N804" t="s">
        <v>47</v>
      </c>
      <c r="O804" t="s">
        <v>2222</v>
      </c>
      <c r="Q804" t="s">
        <v>49</v>
      </c>
      <c r="R804">
        <v>1</v>
      </c>
      <c r="U804" t="s">
        <v>2824</v>
      </c>
      <c r="W804">
        <v>29508051303191</v>
      </c>
      <c r="Y804" t="s">
        <v>2808</v>
      </c>
      <c r="Z804">
        <v>2</v>
      </c>
      <c r="AB804">
        <v>2</v>
      </c>
      <c r="AC804" t="s">
        <v>2825</v>
      </c>
      <c r="AF804">
        <v>65</v>
      </c>
      <c r="AG804">
        <v>165</v>
      </c>
      <c r="AH804">
        <v>0</v>
      </c>
      <c r="AN804" t="s">
        <v>2810</v>
      </c>
    </row>
    <row r="805" spans="1:40" ht="18.75" customHeight="1" x14ac:dyDescent="0.3">
      <c r="A805" s="1">
        <v>2015134710342</v>
      </c>
      <c r="B805" t="s">
        <v>106</v>
      </c>
      <c r="C805" t="s">
        <v>2826</v>
      </c>
      <c r="D805" t="s">
        <v>2806</v>
      </c>
      <c r="E805" t="s">
        <v>750</v>
      </c>
      <c r="F805">
        <v>154</v>
      </c>
      <c r="G805">
        <v>42224</v>
      </c>
      <c r="H805">
        <v>42790</v>
      </c>
      <c r="I805">
        <v>44743</v>
      </c>
      <c r="L805" t="s">
        <v>771</v>
      </c>
      <c r="M805" t="s">
        <v>46</v>
      </c>
      <c r="N805" t="s">
        <v>47</v>
      </c>
      <c r="O805" t="s">
        <v>2222</v>
      </c>
      <c r="Q805" t="s">
        <v>49</v>
      </c>
      <c r="R805">
        <v>5</v>
      </c>
      <c r="U805" t="s">
        <v>2827</v>
      </c>
      <c r="W805">
        <v>29906041700791</v>
      </c>
      <c r="Y805" t="s">
        <v>1392</v>
      </c>
      <c r="AC805" t="s">
        <v>2828</v>
      </c>
      <c r="AF805">
        <v>65</v>
      </c>
      <c r="AG805">
        <v>157</v>
      </c>
      <c r="AH805">
        <v>8</v>
      </c>
      <c r="AN805" t="s">
        <v>2810</v>
      </c>
    </row>
    <row r="806" spans="1:40" ht="18.75" customHeight="1" x14ac:dyDescent="0.3">
      <c r="A806" s="1">
        <v>2015134711118</v>
      </c>
      <c r="B806" t="s">
        <v>106</v>
      </c>
      <c r="C806" t="s">
        <v>2829</v>
      </c>
      <c r="D806" t="s">
        <v>2806</v>
      </c>
      <c r="E806" t="s">
        <v>750</v>
      </c>
      <c r="F806">
        <v>154</v>
      </c>
      <c r="G806">
        <v>42224</v>
      </c>
      <c r="H806">
        <v>42789</v>
      </c>
      <c r="I806">
        <v>44743</v>
      </c>
      <c r="L806" t="s">
        <v>771</v>
      </c>
      <c r="M806" t="s">
        <v>46</v>
      </c>
      <c r="N806" t="s">
        <v>47</v>
      </c>
      <c r="O806" t="s">
        <v>2830</v>
      </c>
      <c r="Q806" t="s">
        <v>49</v>
      </c>
      <c r="R806">
        <v>6</v>
      </c>
      <c r="S806">
        <v>1</v>
      </c>
      <c r="U806" t="s">
        <v>2831</v>
      </c>
      <c r="W806">
        <v>2990891700299</v>
      </c>
      <c r="Y806" t="s">
        <v>2808</v>
      </c>
      <c r="Z806">
        <v>1</v>
      </c>
      <c r="AC806" t="s">
        <v>2832</v>
      </c>
      <c r="AF806">
        <v>65</v>
      </c>
      <c r="AG806">
        <v>165</v>
      </c>
      <c r="AH806">
        <v>0</v>
      </c>
      <c r="AN806" t="s">
        <v>2810</v>
      </c>
    </row>
    <row r="807" spans="1:40" ht="18.75" customHeight="1" x14ac:dyDescent="0.3">
      <c r="A807" s="1">
        <v>2018131807500</v>
      </c>
      <c r="B807" t="s">
        <v>106</v>
      </c>
      <c r="C807" t="s">
        <v>2833</v>
      </c>
      <c r="D807" t="s">
        <v>2806</v>
      </c>
      <c r="E807" t="s">
        <v>750</v>
      </c>
      <c r="F807">
        <v>185</v>
      </c>
      <c r="G807">
        <v>43279</v>
      </c>
      <c r="H807">
        <v>44117</v>
      </c>
      <c r="I807">
        <v>44117</v>
      </c>
      <c r="L807" t="s">
        <v>771</v>
      </c>
      <c r="M807" t="s">
        <v>46</v>
      </c>
      <c r="N807" t="s">
        <v>47</v>
      </c>
      <c r="O807" t="s">
        <v>743</v>
      </c>
      <c r="Q807" t="s">
        <v>49</v>
      </c>
      <c r="R807">
        <v>4</v>
      </c>
      <c r="U807" t="s">
        <v>2834</v>
      </c>
      <c r="W807">
        <v>30211012402835</v>
      </c>
      <c r="Y807" t="s">
        <v>550</v>
      </c>
      <c r="AC807" t="s">
        <v>2835</v>
      </c>
      <c r="AF807">
        <v>56</v>
      </c>
      <c r="AG807">
        <v>174</v>
      </c>
      <c r="AH807">
        <v>-18</v>
      </c>
      <c r="AN807" t="s">
        <v>2810</v>
      </c>
    </row>
    <row r="808" spans="1:40" ht="18.75" customHeight="1" x14ac:dyDescent="0.3">
      <c r="A808" s="1">
        <v>2019134701864</v>
      </c>
      <c r="B808" t="s">
        <v>125</v>
      </c>
      <c r="C808" t="s">
        <v>2836</v>
      </c>
      <c r="D808" t="s">
        <v>2806</v>
      </c>
      <c r="E808" t="s">
        <v>750</v>
      </c>
      <c r="F808">
        <v>159</v>
      </c>
      <c r="G808">
        <v>43692</v>
      </c>
      <c r="H808">
        <v>44482</v>
      </c>
      <c r="I808">
        <v>44482</v>
      </c>
      <c r="L808" t="s">
        <v>771</v>
      </c>
      <c r="M808" t="s">
        <v>46</v>
      </c>
      <c r="N808" t="s">
        <v>47</v>
      </c>
      <c r="O808" t="s">
        <v>2837</v>
      </c>
      <c r="Q808" t="s">
        <v>49</v>
      </c>
      <c r="R808">
        <v>0</v>
      </c>
      <c r="S808">
        <v>0</v>
      </c>
      <c r="T808">
        <v>0</v>
      </c>
      <c r="U808" t="s">
        <v>2838</v>
      </c>
      <c r="W808">
        <v>30011091802216</v>
      </c>
      <c r="Y808" t="s">
        <v>550</v>
      </c>
      <c r="AC808" t="s">
        <v>2839</v>
      </c>
      <c r="AF808">
        <v>63</v>
      </c>
      <c r="AG808">
        <v>176</v>
      </c>
      <c r="AH808">
        <v>-13</v>
      </c>
      <c r="AN808" t="s">
        <v>2810</v>
      </c>
    </row>
    <row r="809" spans="1:40" ht="18.75" customHeight="1" x14ac:dyDescent="0.3">
      <c r="A809" s="1">
        <v>2019134704074</v>
      </c>
      <c r="B809" t="s">
        <v>125</v>
      </c>
      <c r="C809" t="s">
        <v>2840</v>
      </c>
      <c r="D809" t="s">
        <v>2806</v>
      </c>
      <c r="E809" t="s">
        <v>750</v>
      </c>
      <c r="F809">
        <v>159</v>
      </c>
      <c r="G809">
        <v>43692</v>
      </c>
      <c r="H809">
        <v>44482</v>
      </c>
      <c r="I809">
        <v>44482</v>
      </c>
      <c r="L809" t="s">
        <v>771</v>
      </c>
      <c r="M809" t="s">
        <v>46</v>
      </c>
      <c r="N809" t="s">
        <v>47</v>
      </c>
      <c r="O809" t="s">
        <v>2830</v>
      </c>
      <c r="Q809" t="s">
        <v>49</v>
      </c>
      <c r="R809">
        <v>0</v>
      </c>
      <c r="S809">
        <v>0</v>
      </c>
      <c r="T809">
        <v>0</v>
      </c>
      <c r="U809" t="s">
        <v>2841</v>
      </c>
      <c r="W809">
        <v>29708101700617</v>
      </c>
      <c r="Y809" t="s">
        <v>550</v>
      </c>
      <c r="AC809" t="s">
        <v>2842</v>
      </c>
      <c r="AF809">
        <v>76</v>
      </c>
      <c r="AG809">
        <v>181</v>
      </c>
      <c r="AH809">
        <v>-5</v>
      </c>
      <c r="AN809" t="s">
        <v>2810</v>
      </c>
    </row>
    <row r="810" spans="1:40" ht="18.75" customHeight="1" x14ac:dyDescent="0.3">
      <c r="A810" s="1">
        <v>2021134701637</v>
      </c>
      <c r="B810" t="s">
        <v>125</v>
      </c>
      <c r="C810" t="s">
        <v>2843</v>
      </c>
      <c r="D810" t="s">
        <v>2806</v>
      </c>
      <c r="E810" t="s">
        <v>750</v>
      </c>
      <c r="F810">
        <v>160</v>
      </c>
      <c r="G810">
        <v>44205</v>
      </c>
      <c r="H810">
        <v>45197</v>
      </c>
      <c r="I810">
        <v>45197</v>
      </c>
      <c r="L810" t="s">
        <v>771</v>
      </c>
      <c r="M810" t="s">
        <v>46</v>
      </c>
      <c r="N810" t="s">
        <v>47</v>
      </c>
      <c r="O810" t="s">
        <v>2837</v>
      </c>
      <c r="Q810" t="s">
        <v>49</v>
      </c>
      <c r="R810">
        <v>0</v>
      </c>
      <c r="S810">
        <v>0</v>
      </c>
      <c r="T810">
        <v>0</v>
      </c>
      <c r="U810" t="s">
        <v>2844</v>
      </c>
      <c r="W810">
        <v>29812011815433</v>
      </c>
      <c r="Y810" t="s">
        <v>550</v>
      </c>
      <c r="AC810" t="s">
        <v>2845</v>
      </c>
      <c r="AF810">
        <v>74</v>
      </c>
      <c r="AG810">
        <v>171</v>
      </c>
      <c r="AH810">
        <v>3</v>
      </c>
      <c r="AN810" t="s">
        <v>2810</v>
      </c>
    </row>
    <row r="811" spans="1:40" ht="18.75" customHeight="1" x14ac:dyDescent="0.3">
      <c r="A811" s="1">
        <v>2021134704079</v>
      </c>
      <c r="B811" t="s">
        <v>125</v>
      </c>
      <c r="C811" t="s">
        <v>2846</v>
      </c>
      <c r="D811" t="s">
        <v>2806</v>
      </c>
      <c r="E811" t="s">
        <v>750</v>
      </c>
      <c r="F811">
        <v>160</v>
      </c>
      <c r="G811">
        <v>44205</v>
      </c>
      <c r="H811">
        <v>45197</v>
      </c>
      <c r="I811">
        <v>45197</v>
      </c>
      <c r="L811" t="s">
        <v>771</v>
      </c>
      <c r="M811" t="s">
        <v>46</v>
      </c>
      <c r="N811" t="s">
        <v>47</v>
      </c>
      <c r="O811" t="s">
        <v>2847</v>
      </c>
      <c r="Q811" t="s">
        <v>49</v>
      </c>
      <c r="R811">
        <v>0</v>
      </c>
      <c r="S811">
        <v>0</v>
      </c>
      <c r="T811">
        <v>0</v>
      </c>
      <c r="U811" t="s">
        <v>2848</v>
      </c>
      <c r="W811">
        <v>29911011306413</v>
      </c>
      <c r="Y811" t="s">
        <v>550</v>
      </c>
      <c r="AC811" t="s">
        <v>2849</v>
      </c>
      <c r="AF811">
        <v>63</v>
      </c>
      <c r="AG811">
        <v>174</v>
      </c>
      <c r="AH811">
        <v>-11</v>
      </c>
      <c r="AN811" t="s">
        <v>2810</v>
      </c>
    </row>
    <row r="812" spans="1:40" ht="18.75" customHeight="1" x14ac:dyDescent="0.3">
      <c r="A812" s="1">
        <v>2021134705936</v>
      </c>
      <c r="B812" t="s">
        <v>125</v>
      </c>
      <c r="C812" t="s">
        <v>2850</v>
      </c>
      <c r="D812" t="s">
        <v>2806</v>
      </c>
      <c r="E812" t="s">
        <v>750</v>
      </c>
      <c r="F812">
        <v>160</v>
      </c>
      <c r="G812">
        <v>44205</v>
      </c>
      <c r="H812">
        <v>45197</v>
      </c>
      <c r="I812">
        <v>45197</v>
      </c>
      <c r="L812" t="s">
        <v>771</v>
      </c>
      <c r="M812" t="s">
        <v>46</v>
      </c>
      <c r="N812" t="s">
        <v>47</v>
      </c>
      <c r="O812" t="s">
        <v>2146</v>
      </c>
      <c r="Q812" t="s">
        <v>49</v>
      </c>
      <c r="R812">
        <v>0</v>
      </c>
      <c r="S812">
        <v>0</v>
      </c>
      <c r="T812">
        <v>0</v>
      </c>
      <c r="U812" t="s">
        <v>2851</v>
      </c>
      <c r="W812">
        <v>30012051702452</v>
      </c>
      <c r="Y812" t="s">
        <v>550</v>
      </c>
      <c r="AC812" t="s">
        <v>346</v>
      </c>
      <c r="AF812">
        <v>70</v>
      </c>
      <c r="AG812">
        <v>178</v>
      </c>
      <c r="AH812">
        <v>-8</v>
      </c>
      <c r="AN812" t="s">
        <v>2810</v>
      </c>
    </row>
    <row r="813" spans="1:40" ht="18.75" customHeight="1" x14ac:dyDescent="0.3">
      <c r="A813" s="1">
        <v>2021134707065</v>
      </c>
      <c r="B813" t="s">
        <v>125</v>
      </c>
      <c r="C813" t="s">
        <v>2852</v>
      </c>
      <c r="D813" t="s">
        <v>2806</v>
      </c>
      <c r="E813" t="s">
        <v>750</v>
      </c>
      <c r="F813">
        <v>160</v>
      </c>
      <c r="G813">
        <v>44205</v>
      </c>
      <c r="H813">
        <v>45197</v>
      </c>
      <c r="I813">
        <v>45197</v>
      </c>
      <c r="L813" t="s">
        <v>771</v>
      </c>
      <c r="M813" t="s">
        <v>46</v>
      </c>
      <c r="N813" t="s">
        <v>47</v>
      </c>
      <c r="O813" t="s">
        <v>2853</v>
      </c>
      <c r="Q813" t="s">
        <v>49</v>
      </c>
      <c r="R813">
        <v>0</v>
      </c>
      <c r="S813">
        <v>0</v>
      </c>
      <c r="T813">
        <v>0</v>
      </c>
      <c r="U813" t="s">
        <v>2854</v>
      </c>
      <c r="W813">
        <v>29712101702633</v>
      </c>
      <c r="Y813" t="s">
        <v>1392</v>
      </c>
      <c r="AC813" t="s">
        <v>2855</v>
      </c>
      <c r="AF813">
        <v>65</v>
      </c>
      <c r="AG813">
        <v>174</v>
      </c>
      <c r="AH813">
        <v>-9</v>
      </c>
      <c r="AN813" t="s">
        <v>2810</v>
      </c>
    </row>
    <row r="814" spans="1:40" ht="18.75" customHeight="1" x14ac:dyDescent="0.3">
      <c r="A814" s="1">
        <v>2021134716420</v>
      </c>
      <c r="B814" t="s">
        <v>125</v>
      </c>
      <c r="C814" t="s">
        <v>2856</v>
      </c>
      <c r="D814" t="s">
        <v>2806</v>
      </c>
      <c r="E814" t="s">
        <v>750</v>
      </c>
      <c r="F814">
        <v>161</v>
      </c>
      <c r="G814">
        <v>44546</v>
      </c>
      <c r="H814">
        <v>45581</v>
      </c>
      <c r="I814">
        <v>45581</v>
      </c>
      <c r="L814" t="s">
        <v>771</v>
      </c>
      <c r="M814" t="s">
        <v>46</v>
      </c>
      <c r="N814" t="s">
        <v>47</v>
      </c>
      <c r="O814" t="s">
        <v>2853</v>
      </c>
      <c r="Q814" t="s">
        <v>49</v>
      </c>
      <c r="R814">
        <v>0</v>
      </c>
      <c r="S814">
        <v>0</v>
      </c>
      <c r="T814">
        <v>0</v>
      </c>
      <c r="U814" t="s">
        <v>2857</v>
      </c>
      <c r="W814">
        <v>30401152503058</v>
      </c>
      <c r="Y814" t="s">
        <v>550</v>
      </c>
      <c r="AC814" t="s">
        <v>2858</v>
      </c>
      <c r="AF814">
        <v>68</v>
      </c>
      <c r="AG814">
        <v>164</v>
      </c>
      <c r="AH814">
        <v>4</v>
      </c>
      <c r="AN814" t="s">
        <v>2810</v>
      </c>
    </row>
    <row r="815" spans="1:40" ht="18.75" customHeight="1" x14ac:dyDescent="0.3">
      <c r="A815" s="1">
        <v>2023134701518</v>
      </c>
      <c r="B815" t="s">
        <v>125</v>
      </c>
      <c r="C815" t="s">
        <v>2859</v>
      </c>
      <c r="D815" t="s">
        <v>2806</v>
      </c>
      <c r="E815" t="s">
        <v>750</v>
      </c>
      <c r="F815">
        <v>162</v>
      </c>
      <c r="G815">
        <v>44941</v>
      </c>
      <c r="H815">
        <v>45976</v>
      </c>
      <c r="I815">
        <v>45925</v>
      </c>
      <c r="L815" t="s">
        <v>771</v>
      </c>
      <c r="M815" t="s">
        <v>46</v>
      </c>
      <c r="N815" t="s">
        <v>47</v>
      </c>
      <c r="O815" t="s">
        <v>2830</v>
      </c>
      <c r="Q815" t="s">
        <v>49</v>
      </c>
      <c r="R815">
        <v>0</v>
      </c>
      <c r="S815">
        <v>0</v>
      </c>
      <c r="T815">
        <v>0</v>
      </c>
      <c r="U815" t="s">
        <v>2860</v>
      </c>
      <c r="W815">
        <v>30203211803579</v>
      </c>
      <c r="Y815" t="s">
        <v>550</v>
      </c>
      <c r="AC815" t="s">
        <v>2861</v>
      </c>
      <c r="AF815">
        <v>66</v>
      </c>
      <c r="AG815">
        <v>165</v>
      </c>
      <c r="AH815">
        <v>1</v>
      </c>
      <c r="AN815" t="s">
        <v>2810</v>
      </c>
    </row>
    <row r="816" spans="1:40" ht="18.75" customHeight="1" x14ac:dyDescent="0.3">
      <c r="A816" s="1">
        <v>2023134704546</v>
      </c>
      <c r="B816" t="s">
        <v>125</v>
      </c>
      <c r="C816" t="s">
        <v>2862</v>
      </c>
      <c r="D816" t="s">
        <v>2806</v>
      </c>
      <c r="E816" t="s">
        <v>750</v>
      </c>
      <c r="F816">
        <v>162</v>
      </c>
      <c r="G816">
        <v>45672</v>
      </c>
      <c r="H816">
        <v>45976</v>
      </c>
      <c r="I816">
        <v>45925</v>
      </c>
      <c r="L816" t="s">
        <v>771</v>
      </c>
      <c r="M816" t="s">
        <v>46</v>
      </c>
      <c r="N816" t="s">
        <v>47</v>
      </c>
      <c r="O816" t="s">
        <v>2273</v>
      </c>
      <c r="Q816" t="s">
        <v>49</v>
      </c>
      <c r="R816">
        <v>0</v>
      </c>
      <c r="S816">
        <v>0</v>
      </c>
      <c r="T816">
        <v>0</v>
      </c>
      <c r="U816" t="s">
        <v>2863</v>
      </c>
      <c r="W816">
        <v>30604141600831</v>
      </c>
      <c r="Y816" t="s">
        <v>550</v>
      </c>
      <c r="AC816" t="s">
        <v>2864</v>
      </c>
      <c r="AF816">
        <v>65</v>
      </c>
      <c r="AG816">
        <v>165</v>
      </c>
      <c r="AH816">
        <v>0</v>
      </c>
      <c r="AN816" t="s">
        <v>2810</v>
      </c>
    </row>
    <row r="817" spans="1:40" ht="18.75" customHeight="1" x14ac:dyDescent="0.3">
      <c r="A817" s="1">
        <v>2012138306995</v>
      </c>
      <c r="B817" t="s">
        <v>75</v>
      </c>
      <c r="C817" t="s">
        <v>2865</v>
      </c>
      <c r="D817" t="s">
        <v>735</v>
      </c>
      <c r="E817" t="s">
        <v>736</v>
      </c>
      <c r="F817">
        <v>147</v>
      </c>
      <c r="G817">
        <v>40936</v>
      </c>
      <c r="H817">
        <v>41407</v>
      </c>
      <c r="I817">
        <v>45108</v>
      </c>
      <c r="K817">
        <v>45588</v>
      </c>
      <c r="L817" t="s">
        <v>135</v>
      </c>
      <c r="M817" t="s">
        <v>554</v>
      </c>
      <c r="N817" t="s">
        <v>127</v>
      </c>
      <c r="O817" t="s">
        <v>561</v>
      </c>
      <c r="P817" t="s">
        <v>49</v>
      </c>
      <c r="R817">
        <v>1</v>
      </c>
      <c r="S817">
        <v>0</v>
      </c>
      <c r="T817">
        <v>0</v>
      </c>
      <c r="U817" t="s">
        <v>2866</v>
      </c>
      <c r="V817" t="s">
        <v>2867</v>
      </c>
      <c r="W817">
        <v>29107251202034</v>
      </c>
      <c r="X817">
        <v>33444</v>
      </c>
      <c r="AC817" t="s">
        <v>2868</v>
      </c>
      <c r="AF817">
        <v>82</v>
      </c>
      <c r="AG817">
        <v>178</v>
      </c>
      <c r="AH817">
        <v>4</v>
      </c>
      <c r="AJ817" t="s">
        <v>2869</v>
      </c>
    </row>
    <row r="818" spans="1:40" ht="18.75" customHeight="1" x14ac:dyDescent="0.3">
      <c r="A818" s="1">
        <v>2015138301056</v>
      </c>
      <c r="B818" t="s">
        <v>106</v>
      </c>
      <c r="C818" t="s">
        <v>2870</v>
      </c>
      <c r="D818" t="s">
        <v>735</v>
      </c>
      <c r="E818" t="s">
        <v>736</v>
      </c>
      <c r="F818">
        <v>153</v>
      </c>
      <c r="G818">
        <v>42030</v>
      </c>
      <c r="H818">
        <v>42501</v>
      </c>
      <c r="I818">
        <v>44378</v>
      </c>
      <c r="K818">
        <v>45595</v>
      </c>
      <c r="L818" t="s">
        <v>135</v>
      </c>
      <c r="M818" t="s">
        <v>554</v>
      </c>
      <c r="N818" t="s">
        <v>127</v>
      </c>
      <c r="O818" t="s">
        <v>561</v>
      </c>
      <c r="P818" t="s">
        <v>49</v>
      </c>
      <c r="R818">
        <v>2</v>
      </c>
      <c r="S818">
        <v>0</v>
      </c>
      <c r="T818">
        <v>0</v>
      </c>
      <c r="U818" t="s">
        <v>2871</v>
      </c>
      <c r="W818">
        <v>29808081808437</v>
      </c>
      <c r="X818">
        <v>36015</v>
      </c>
      <c r="AD818" t="s">
        <v>2872</v>
      </c>
      <c r="AF818">
        <v>89</v>
      </c>
      <c r="AG818">
        <v>188</v>
      </c>
      <c r="AH818">
        <v>1</v>
      </c>
      <c r="AJ818" t="s">
        <v>2873</v>
      </c>
    </row>
    <row r="819" spans="1:40" ht="18.75" customHeight="1" x14ac:dyDescent="0.3">
      <c r="A819" s="1">
        <v>2016138306608</v>
      </c>
      <c r="B819" t="s">
        <v>106</v>
      </c>
      <c r="C819" t="s">
        <v>2874</v>
      </c>
      <c r="D819" t="s">
        <v>735</v>
      </c>
      <c r="E819" t="s">
        <v>736</v>
      </c>
      <c r="F819">
        <v>156</v>
      </c>
      <c r="G819">
        <v>42575</v>
      </c>
      <c r="H819">
        <v>43321</v>
      </c>
      <c r="I819">
        <v>45292</v>
      </c>
      <c r="K819">
        <v>44823</v>
      </c>
      <c r="L819" t="s">
        <v>45</v>
      </c>
      <c r="M819" t="s">
        <v>554</v>
      </c>
      <c r="N819" t="s">
        <v>127</v>
      </c>
      <c r="O819" t="s">
        <v>579</v>
      </c>
      <c r="Q819" t="s">
        <v>49</v>
      </c>
      <c r="R819">
        <v>6</v>
      </c>
      <c r="S819">
        <v>0</v>
      </c>
      <c r="T819">
        <v>0</v>
      </c>
      <c r="U819" t="s">
        <v>2875</v>
      </c>
      <c r="W819">
        <v>30005241600714</v>
      </c>
      <c r="X819">
        <v>36670</v>
      </c>
      <c r="AD819" t="s">
        <v>2876</v>
      </c>
      <c r="AF819">
        <v>84</v>
      </c>
      <c r="AG819">
        <v>184</v>
      </c>
      <c r="AH819">
        <v>0</v>
      </c>
      <c r="AJ819" t="s">
        <v>2877</v>
      </c>
    </row>
    <row r="820" spans="1:40" ht="18.75" customHeight="1" x14ac:dyDescent="0.3">
      <c r="A820" s="1">
        <v>2021131814582</v>
      </c>
      <c r="B820" t="s">
        <v>125</v>
      </c>
      <c r="C820" t="s">
        <v>2878</v>
      </c>
      <c r="D820" t="s">
        <v>694</v>
      </c>
      <c r="E820" t="s">
        <v>43</v>
      </c>
      <c r="F820">
        <v>161</v>
      </c>
      <c r="G820">
        <v>44546</v>
      </c>
      <c r="H820">
        <v>45581</v>
      </c>
      <c r="I820">
        <v>45565</v>
      </c>
      <c r="K820">
        <v>45583</v>
      </c>
      <c r="L820" t="s">
        <v>135</v>
      </c>
      <c r="M820" t="s">
        <v>695</v>
      </c>
      <c r="N820" t="s">
        <v>727</v>
      </c>
      <c r="O820" t="s">
        <v>608</v>
      </c>
      <c r="Q820" t="s">
        <v>49</v>
      </c>
      <c r="R820">
        <v>1</v>
      </c>
      <c r="S820">
        <v>0</v>
      </c>
      <c r="T820">
        <v>0</v>
      </c>
      <c r="U820" t="s">
        <v>2879</v>
      </c>
      <c r="W820">
        <v>30010302701598</v>
      </c>
      <c r="X820">
        <v>36829</v>
      </c>
      <c r="Y820" t="s">
        <v>51</v>
      </c>
      <c r="AA820">
        <v>0</v>
      </c>
      <c r="AB820">
        <v>0</v>
      </c>
      <c r="AE820" t="s">
        <v>2880</v>
      </c>
      <c r="AF820">
        <v>68</v>
      </c>
      <c r="AG820">
        <v>170</v>
      </c>
      <c r="AH820">
        <f>IF([2]!Table1[[#This Row],[الوزن]]&lt;&gt;"",[2]!Table1[[#This Row],[الوزن]]-([2]!Table1[[#This Row],[الطول]]-100),"")</f>
        <v>5</v>
      </c>
      <c r="AN820" t="s">
        <v>145</v>
      </c>
    </row>
    <row r="821" spans="1:40" ht="18.75" customHeight="1" x14ac:dyDescent="0.3">
      <c r="A821" s="1">
        <v>2007138305378</v>
      </c>
      <c r="B821" t="s">
        <v>57</v>
      </c>
      <c r="C821" t="s">
        <v>2881</v>
      </c>
      <c r="D821" t="s">
        <v>2882</v>
      </c>
      <c r="E821" t="s">
        <v>736</v>
      </c>
      <c r="F821">
        <v>137</v>
      </c>
      <c r="G821">
        <v>39095</v>
      </c>
      <c r="H821">
        <v>46872</v>
      </c>
      <c r="I821">
        <v>45108</v>
      </c>
      <c r="J821">
        <v>42672</v>
      </c>
      <c r="K821">
        <v>44500</v>
      </c>
      <c r="L821" t="s">
        <v>135</v>
      </c>
      <c r="M821" t="s">
        <v>554</v>
      </c>
      <c r="N821" t="s">
        <v>127</v>
      </c>
      <c r="O821" t="s">
        <v>561</v>
      </c>
      <c r="P821" t="s">
        <v>49</v>
      </c>
      <c r="R821">
        <v>6</v>
      </c>
      <c r="S821">
        <v>0</v>
      </c>
      <c r="T821">
        <v>0</v>
      </c>
      <c r="U821" t="s">
        <v>2883</v>
      </c>
      <c r="V821" t="s">
        <v>2884</v>
      </c>
      <c r="W821">
        <v>28610301800591</v>
      </c>
      <c r="X821">
        <v>31688</v>
      </c>
      <c r="AD821" t="s">
        <v>2885</v>
      </c>
      <c r="AF821">
        <v>92</v>
      </c>
      <c r="AG821">
        <v>187</v>
      </c>
      <c r="AH821">
        <v>5</v>
      </c>
      <c r="AJ821" t="s">
        <v>2886</v>
      </c>
    </row>
    <row r="822" spans="1:40" ht="18.75" customHeight="1" x14ac:dyDescent="0.3">
      <c r="A822" s="1">
        <v>2011138313372</v>
      </c>
      <c r="B822" t="s">
        <v>75</v>
      </c>
      <c r="C822" t="s">
        <v>2887</v>
      </c>
      <c r="D822" t="s">
        <v>2882</v>
      </c>
      <c r="E822" t="s">
        <v>736</v>
      </c>
      <c r="F822">
        <v>146</v>
      </c>
      <c r="G822">
        <v>40748</v>
      </c>
      <c r="H822">
        <v>41223</v>
      </c>
      <c r="I822">
        <v>44927</v>
      </c>
      <c r="J822">
        <v>45305</v>
      </c>
      <c r="K822">
        <v>45305</v>
      </c>
      <c r="L822" t="s">
        <v>135</v>
      </c>
      <c r="M822" t="s">
        <v>554</v>
      </c>
      <c r="N822" t="s">
        <v>127</v>
      </c>
      <c r="O822" t="s">
        <v>561</v>
      </c>
      <c r="P822" t="s">
        <v>49</v>
      </c>
      <c r="R822">
        <v>1</v>
      </c>
      <c r="S822">
        <v>0</v>
      </c>
      <c r="T822">
        <v>0</v>
      </c>
      <c r="U822" t="s">
        <v>2888</v>
      </c>
      <c r="V822" t="s">
        <v>2889</v>
      </c>
      <c r="W822">
        <v>28908011211396</v>
      </c>
      <c r="X822">
        <v>32721</v>
      </c>
      <c r="AD822" t="s">
        <v>2890</v>
      </c>
      <c r="AF822">
        <v>85</v>
      </c>
      <c r="AG822">
        <v>182</v>
      </c>
      <c r="AH822">
        <v>3</v>
      </c>
      <c r="AJ822" t="s">
        <v>2891</v>
      </c>
    </row>
    <row r="823" spans="1:40" ht="18.75" customHeight="1" x14ac:dyDescent="0.3">
      <c r="A823" s="1">
        <v>2015138314893</v>
      </c>
      <c r="B823" t="s">
        <v>106</v>
      </c>
      <c r="C823" t="s">
        <v>2892</v>
      </c>
      <c r="D823" t="s">
        <v>2882</v>
      </c>
      <c r="E823" t="s">
        <v>736</v>
      </c>
      <c r="F823">
        <v>154</v>
      </c>
      <c r="G823">
        <v>42224</v>
      </c>
      <c r="H823">
        <v>42790</v>
      </c>
      <c r="I823">
        <v>44743</v>
      </c>
      <c r="J823">
        <v>42875</v>
      </c>
      <c r="K823">
        <v>45221</v>
      </c>
      <c r="L823" t="s">
        <v>135</v>
      </c>
      <c r="M823" t="s">
        <v>554</v>
      </c>
      <c r="N823" t="s">
        <v>127</v>
      </c>
      <c r="O823" t="s">
        <v>561</v>
      </c>
      <c r="P823" t="s">
        <v>49</v>
      </c>
      <c r="R823">
        <v>1</v>
      </c>
      <c r="S823">
        <v>0</v>
      </c>
      <c r="T823">
        <v>0</v>
      </c>
      <c r="U823" t="s">
        <v>2893</v>
      </c>
      <c r="V823" t="s">
        <v>2894</v>
      </c>
      <c r="W823">
        <v>29203232701771</v>
      </c>
      <c r="X823">
        <v>33686</v>
      </c>
      <c r="AD823" t="s">
        <v>2895</v>
      </c>
      <c r="AF823">
        <v>75</v>
      </c>
      <c r="AG823">
        <v>175</v>
      </c>
      <c r="AH823">
        <v>0</v>
      </c>
      <c r="AJ823" t="s">
        <v>2896</v>
      </c>
    </row>
    <row r="824" spans="1:40" ht="18.75" customHeight="1" x14ac:dyDescent="0.3">
      <c r="A824" s="1">
        <v>2015138327672</v>
      </c>
      <c r="B824" t="s">
        <v>106</v>
      </c>
      <c r="C824" t="s">
        <v>2897</v>
      </c>
      <c r="D824" t="s">
        <v>2882</v>
      </c>
      <c r="E824" t="s">
        <v>736</v>
      </c>
      <c r="F824">
        <v>155</v>
      </c>
      <c r="G824">
        <v>42369</v>
      </c>
      <c r="H824">
        <v>42932</v>
      </c>
      <c r="I824">
        <v>44927</v>
      </c>
      <c r="J824">
        <v>44824</v>
      </c>
      <c r="K824">
        <v>44824</v>
      </c>
      <c r="L824" t="s">
        <v>135</v>
      </c>
      <c r="M824" t="s">
        <v>554</v>
      </c>
      <c r="N824" t="s">
        <v>127</v>
      </c>
      <c r="O824" t="s">
        <v>561</v>
      </c>
      <c r="Q824" t="s">
        <v>49</v>
      </c>
      <c r="R824">
        <v>4</v>
      </c>
      <c r="S824">
        <v>0</v>
      </c>
      <c r="T824">
        <v>0</v>
      </c>
      <c r="U824" t="s">
        <v>2898</v>
      </c>
      <c r="V824" t="s">
        <v>2899</v>
      </c>
      <c r="W824">
        <v>29805141500876</v>
      </c>
      <c r="X824">
        <v>35931</v>
      </c>
      <c r="AD824" t="s">
        <v>2900</v>
      </c>
      <c r="AF824">
        <v>89</v>
      </c>
      <c r="AG824">
        <v>185</v>
      </c>
      <c r="AH824">
        <v>4</v>
      </c>
      <c r="AJ824" t="s">
        <v>2901</v>
      </c>
    </row>
    <row r="825" spans="1:40" ht="18.75" customHeight="1" x14ac:dyDescent="0.3">
      <c r="A825" s="1">
        <v>2017131803849</v>
      </c>
      <c r="B825" t="s">
        <v>106</v>
      </c>
      <c r="C825" t="s">
        <v>2902</v>
      </c>
      <c r="D825" t="s">
        <v>831</v>
      </c>
      <c r="E825" t="s">
        <v>43</v>
      </c>
      <c r="F825">
        <v>157</v>
      </c>
      <c r="G825">
        <v>42915</v>
      </c>
      <c r="H825">
        <v>43663</v>
      </c>
      <c r="I825">
        <v>45658</v>
      </c>
      <c r="L825" t="s">
        <v>135</v>
      </c>
      <c r="M825" t="s">
        <v>554</v>
      </c>
      <c r="N825" t="s">
        <v>727</v>
      </c>
      <c r="O825" t="s">
        <v>608</v>
      </c>
      <c r="Q825" t="s">
        <v>49</v>
      </c>
      <c r="R825">
        <v>0</v>
      </c>
      <c r="S825">
        <v>0</v>
      </c>
      <c r="T825">
        <v>0</v>
      </c>
      <c r="U825" t="s">
        <v>2903</v>
      </c>
      <c r="V825" t="s">
        <v>2904</v>
      </c>
      <c r="X825">
        <v>35326</v>
      </c>
      <c r="Y825" t="s">
        <v>103</v>
      </c>
      <c r="Z825">
        <v>2</v>
      </c>
      <c r="AA825">
        <v>0</v>
      </c>
      <c r="AE825" t="s">
        <v>2905</v>
      </c>
      <c r="AF825">
        <v>70</v>
      </c>
      <c r="AG825">
        <f>IF([2]!Table1[[#This Row],[الوزن]]&lt;&gt;"",[2]!Table1[[#This Row],[الوزن]]-([2]!Table1[[#This Row],[الطول]]-100),"")</f>
        <v>3</v>
      </c>
      <c r="AH825">
        <f>IF([2]!Table1[[#This Row],[الوزن]]&lt;&gt;"",[2]!Table1[[#This Row],[الوزن]]-([2]!Table1[[#This Row],[الطول]]-100),"")</f>
        <v>3</v>
      </c>
      <c r="AN825" t="s">
        <v>145</v>
      </c>
    </row>
    <row r="826" spans="1:40" ht="18.75" customHeight="1" x14ac:dyDescent="0.3">
      <c r="A826" s="1">
        <v>2000138303962</v>
      </c>
      <c r="B826" t="s">
        <v>210</v>
      </c>
      <c r="C826" t="s">
        <v>2906</v>
      </c>
      <c r="D826" t="s">
        <v>2907</v>
      </c>
      <c r="E826" t="s">
        <v>736</v>
      </c>
      <c r="F826">
        <v>124</v>
      </c>
      <c r="G826">
        <v>36732</v>
      </c>
      <c r="H826">
        <v>37205</v>
      </c>
      <c r="I826">
        <v>44562</v>
      </c>
      <c r="J826">
        <v>42895</v>
      </c>
      <c r="K826">
        <v>44856</v>
      </c>
      <c r="L826" t="s">
        <v>135</v>
      </c>
      <c r="M826" t="s">
        <v>817</v>
      </c>
      <c r="N826" t="s">
        <v>127</v>
      </c>
      <c r="O826" t="s">
        <v>1105</v>
      </c>
      <c r="P826" t="s">
        <v>49</v>
      </c>
      <c r="R826">
        <v>2</v>
      </c>
      <c r="S826">
        <v>0</v>
      </c>
      <c r="T826">
        <v>0</v>
      </c>
      <c r="U826" t="s">
        <v>2908</v>
      </c>
      <c r="V826" t="s">
        <v>2909</v>
      </c>
      <c r="W826">
        <v>28102251501893</v>
      </c>
      <c r="AC826" t="s">
        <v>2910</v>
      </c>
      <c r="AF826">
        <v>86</v>
      </c>
      <c r="AG826">
        <v>183</v>
      </c>
      <c r="AH826">
        <v>3</v>
      </c>
      <c r="AJ826" t="s">
        <v>2911</v>
      </c>
      <c r="AK826" t="s">
        <v>2912</v>
      </c>
    </row>
    <row r="827" spans="1:40" ht="18.75" customHeight="1" x14ac:dyDescent="0.3">
      <c r="A827" s="1">
        <v>2010138308375</v>
      </c>
      <c r="B827" t="s">
        <v>75</v>
      </c>
      <c r="C827" t="s">
        <v>2913</v>
      </c>
      <c r="D827" t="s">
        <v>2907</v>
      </c>
      <c r="E827" t="s">
        <v>736</v>
      </c>
      <c r="F827">
        <v>145</v>
      </c>
      <c r="G827">
        <v>40376</v>
      </c>
      <c r="H827">
        <v>40850</v>
      </c>
      <c r="I827">
        <v>44562</v>
      </c>
      <c r="J827">
        <v>42366</v>
      </c>
      <c r="K827">
        <v>45979</v>
      </c>
      <c r="L827" t="s">
        <v>135</v>
      </c>
      <c r="M827" t="s">
        <v>817</v>
      </c>
      <c r="N827" t="s">
        <v>127</v>
      </c>
      <c r="O827" t="s">
        <v>2914</v>
      </c>
      <c r="Q827" t="s">
        <v>49</v>
      </c>
      <c r="R827">
        <v>2</v>
      </c>
      <c r="S827">
        <v>0</v>
      </c>
      <c r="T827">
        <v>0</v>
      </c>
      <c r="U827" t="s">
        <v>2915</v>
      </c>
      <c r="V827" t="s">
        <v>2916</v>
      </c>
      <c r="W827">
        <v>29203032702438</v>
      </c>
      <c r="AC827" t="s">
        <v>2917</v>
      </c>
      <c r="AF827">
        <v>80</v>
      </c>
      <c r="AG827">
        <v>174</v>
      </c>
      <c r="AH827">
        <v>6</v>
      </c>
      <c r="AI827" t="s">
        <v>1847</v>
      </c>
      <c r="AJ827" t="s">
        <v>2918</v>
      </c>
    </row>
    <row r="828" spans="1:40" ht="18.75" customHeight="1" x14ac:dyDescent="0.3">
      <c r="A828" s="1">
        <v>2012130401561</v>
      </c>
      <c r="B828" t="s">
        <v>75</v>
      </c>
      <c r="C828" t="s">
        <v>2919</v>
      </c>
      <c r="D828" t="s">
        <v>2907</v>
      </c>
      <c r="E828" t="s">
        <v>736</v>
      </c>
      <c r="F828">
        <v>147</v>
      </c>
      <c r="G828">
        <v>40936</v>
      </c>
      <c r="H828">
        <v>41406</v>
      </c>
      <c r="I828">
        <v>45108</v>
      </c>
      <c r="J828">
        <v>45222</v>
      </c>
      <c r="K828">
        <v>45222</v>
      </c>
      <c r="L828" t="s">
        <v>135</v>
      </c>
      <c r="M828" t="s">
        <v>817</v>
      </c>
      <c r="N828" t="s">
        <v>78</v>
      </c>
      <c r="O828" t="s">
        <v>2920</v>
      </c>
      <c r="P828" t="s">
        <v>49</v>
      </c>
      <c r="R828">
        <v>4</v>
      </c>
      <c r="S828">
        <v>0</v>
      </c>
      <c r="T828">
        <v>1</v>
      </c>
      <c r="U828" t="s">
        <v>2921</v>
      </c>
      <c r="W828">
        <v>28901012643872</v>
      </c>
      <c r="AC828" t="s">
        <v>2922</v>
      </c>
      <c r="AF828">
        <v>74</v>
      </c>
      <c r="AG828">
        <v>175</v>
      </c>
      <c r="AH828">
        <v>-1</v>
      </c>
      <c r="AJ828" t="s">
        <v>2923</v>
      </c>
    </row>
    <row r="829" spans="1:40" ht="18.75" customHeight="1" x14ac:dyDescent="0.3">
      <c r="A829" s="1">
        <v>2012130403864</v>
      </c>
      <c r="B829" t="s">
        <v>75</v>
      </c>
      <c r="C829" t="s">
        <v>2924</v>
      </c>
      <c r="D829" t="s">
        <v>2907</v>
      </c>
      <c r="E829" t="s">
        <v>736</v>
      </c>
      <c r="F829">
        <v>148</v>
      </c>
      <c r="G829">
        <v>41111</v>
      </c>
      <c r="H829">
        <v>41583</v>
      </c>
      <c r="I829">
        <v>45292</v>
      </c>
      <c r="J829">
        <v>43685</v>
      </c>
      <c r="K829">
        <v>45979</v>
      </c>
      <c r="L829" t="s">
        <v>135</v>
      </c>
      <c r="M829" t="s">
        <v>817</v>
      </c>
      <c r="N829" t="s">
        <v>78</v>
      </c>
      <c r="O829" t="s">
        <v>620</v>
      </c>
      <c r="Q829" t="s">
        <v>49</v>
      </c>
      <c r="R829">
        <v>1</v>
      </c>
      <c r="S829">
        <v>0</v>
      </c>
      <c r="T829">
        <v>0</v>
      </c>
      <c r="U829" t="s">
        <v>2925</v>
      </c>
      <c r="V829" t="s">
        <v>2926</v>
      </c>
      <c r="W829">
        <v>29411292701658</v>
      </c>
      <c r="AC829" t="s">
        <v>2927</v>
      </c>
      <c r="AF829">
        <v>70</v>
      </c>
      <c r="AG829">
        <v>167</v>
      </c>
      <c r="AH829">
        <v>3</v>
      </c>
      <c r="AJ829" t="s">
        <v>2928</v>
      </c>
    </row>
    <row r="830" spans="1:40" ht="18.75" customHeight="1" x14ac:dyDescent="0.3">
      <c r="A830" s="1">
        <v>2015130400020</v>
      </c>
      <c r="B830" t="s">
        <v>106</v>
      </c>
      <c r="C830" t="s">
        <v>2929</v>
      </c>
      <c r="D830" t="s">
        <v>2907</v>
      </c>
      <c r="E830" t="s">
        <v>736</v>
      </c>
      <c r="F830">
        <v>152</v>
      </c>
      <c r="G830">
        <v>42030</v>
      </c>
      <c r="H830">
        <v>42501</v>
      </c>
      <c r="I830">
        <v>44378</v>
      </c>
      <c r="J830">
        <v>42598</v>
      </c>
      <c r="K830">
        <v>44496</v>
      </c>
      <c r="L830" t="s">
        <v>135</v>
      </c>
      <c r="M830" t="s">
        <v>817</v>
      </c>
      <c r="N830" t="s">
        <v>78</v>
      </c>
      <c r="O830" t="s">
        <v>620</v>
      </c>
      <c r="P830" t="s">
        <v>49</v>
      </c>
      <c r="R830">
        <v>0</v>
      </c>
      <c r="S830">
        <v>0</v>
      </c>
      <c r="T830">
        <v>0</v>
      </c>
      <c r="U830" t="s">
        <v>2930</v>
      </c>
      <c r="W830">
        <v>29302050106611</v>
      </c>
      <c r="AC830" t="s">
        <v>2931</v>
      </c>
      <c r="AF830">
        <v>80</v>
      </c>
      <c r="AG830">
        <v>180</v>
      </c>
      <c r="AH830">
        <v>0</v>
      </c>
      <c r="AI830" t="s">
        <v>1847</v>
      </c>
      <c r="AJ830" t="s">
        <v>2932</v>
      </c>
    </row>
    <row r="831" spans="1:40" ht="18.75" customHeight="1" x14ac:dyDescent="0.3">
      <c r="A831" s="1">
        <v>2015130402638</v>
      </c>
      <c r="B831" t="s">
        <v>106</v>
      </c>
      <c r="C831" t="s">
        <v>2933</v>
      </c>
      <c r="D831" t="s">
        <v>2907</v>
      </c>
      <c r="E831" t="s">
        <v>736</v>
      </c>
      <c r="F831">
        <v>154</v>
      </c>
      <c r="G831">
        <v>42224</v>
      </c>
      <c r="H831">
        <v>42790</v>
      </c>
      <c r="I831">
        <v>44743</v>
      </c>
      <c r="J831">
        <v>42811</v>
      </c>
      <c r="K831">
        <v>44860</v>
      </c>
      <c r="L831" t="s">
        <v>135</v>
      </c>
      <c r="M831" t="s">
        <v>817</v>
      </c>
      <c r="N831" t="s">
        <v>78</v>
      </c>
      <c r="O831" t="s">
        <v>620</v>
      </c>
      <c r="Q831" t="s">
        <v>49</v>
      </c>
      <c r="R831">
        <v>3</v>
      </c>
      <c r="S831">
        <v>0</v>
      </c>
      <c r="T831">
        <v>0</v>
      </c>
      <c r="U831" t="s">
        <v>2934</v>
      </c>
      <c r="V831" t="s">
        <v>2935</v>
      </c>
      <c r="W831">
        <v>29510251601779</v>
      </c>
      <c r="AC831" t="s">
        <v>2936</v>
      </c>
      <c r="AF831">
        <v>59</v>
      </c>
      <c r="AG831">
        <v>168</v>
      </c>
      <c r="AH831">
        <v>-9</v>
      </c>
      <c r="AJ831" t="s">
        <v>2937</v>
      </c>
    </row>
    <row r="832" spans="1:40" ht="18.75" customHeight="1" x14ac:dyDescent="0.3">
      <c r="A832" s="1">
        <v>2008134703194</v>
      </c>
      <c r="B832" t="s">
        <v>210</v>
      </c>
      <c r="C832" t="s">
        <v>2938</v>
      </c>
      <c r="D832" t="s">
        <v>2939</v>
      </c>
      <c r="E832" t="s">
        <v>736</v>
      </c>
      <c r="F832" t="s">
        <v>2940</v>
      </c>
      <c r="G832">
        <v>39655</v>
      </c>
      <c r="H832">
        <v>44136</v>
      </c>
      <c r="I832">
        <v>44143</v>
      </c>
      <c r="J832">
        <v>44143</v>
      </c>
      <c r="K832">
        <v>44143</v>
      </c>
      <c r="L832" t="s">
        <v>88</v>
      </c>
      <c r="M832" t="s">
        <v>2941</v>
      </c>
      <c r="N832" t="s">
        <v>47</v>
      </c>
      <c r="O832" t="s">
        <v>2942</v>
      </c>
      <c r="P832" t="s">
        <v>49</v>
      </c>
      <c r="R832">
        <v>1</v>
      </c>
      <c r="S832">
        <v>0</v>
      </c>
      <c r="T832">
        <v>0</v>
      </c>
      <c r="U832" t="s">
        <v>2943</v>
      </c>
      <c r="V832" t="s">
        <v>2944</v>
      </c>
      <c r="W832">
        <v>28907102501579</v>
      </c>
      <c r="AE832" t="s">
        <v>1240</v>
      </c>
      <c r="AF832">
        <v>80</v>
      </c>
      <c r="AG832">
        <v>177</v>
      </c>
      <c r="AH832">
        <v>3</v>
      </c>
      <c r="AJ832" t="s">
        <v>2945</v>
      </c>
    </row>
    <row r="833" spans="1:36" ht="18.75" customHeight="1" x14ac:dyDescent="0.3">
      <c r="A833" s="1">
        <v>2008132700689</v>
      </c>
      <c r="B833" t="s">
        <v>210</v>
      </c>
      <c r="C833" t="s">
        <v>2946</v>
      </c>
      <c r="D833" t="s">
        <v>2939</v>
      </c>
      <c r="E833" t="s">
        <v>736</v>
      </c>
      <c r="F833" t="s">
        <v>2947</v>
      </c>
      <c r="G833">
        <v>39711</v>
      </c>
      <c r="H833">
        <v>40821</v>
      </c>
      <c r="I833">
        <v>44506</v>
      </c>
      <c r="J833">
        <v>44506</v>
      </c>
      <c r="K833">
        <v>44506</v>
      </c>
      <c r="L833" t="s">
        <v>135</v>
      </c>
      <c r="M833" t="s">
        <v>264</v>
      </c>
      <c r="N833" t="s">
        <v>127</v>
      </c>
      <c r="O833" t="s">
        <v>1237</v>
      </c>
      <c r="P833" t="s">
        <v>49</v>
      </c>
      <c r="R833">
        <v>1</v>
      </c>
      <c r="S833">
        <v>0</v>
      </c>
      <c r="T833">
        <v>0</v>
      </c>
      <c r="U833" t="s">
        <v>2948</v>
      </c>
      <c r="V833" t="s">
        <v>2949</v>
      </c>
      <c r="W833">
        <v>29210082700335</v>
      </c>
      <c r="AE833" t="s">
        <v>2950</v>
      </c>
      <c r="AF833">
        <v>90</v>
      </c>
      <c r="AG833">
        <v>177</v>
      </c>
      <c r="AH833">
        <v>13</v>
      </c>
      <c r="AJ833" t="s">
        <v>2951</v>
      </c>
    </row>
    <row r="834" spans="1:36" ht="18.75" customHeight="1" x14ac:dyDescent="0.3">
      <c r="A834" s="1">
        <v>2012132700614</v>
      </c>
      <c r="B834" t="s">
        <v>75</v>
      </c>
      <c r="C834" t="s">
        <v>2952</v>
      </c>
      <c r="D834" t="s">
        <v>2939</v>
      </c>
      <c r="E834" t="s">
        <v>736</v>
      </c>
      <c r="F834" t="s">
        <v>2953</v>
      </c>
      <c r="G834">
        <v>41199</v>
      </c>
      <c r="H834">
        <v>42385</v>
      </c>
      <c r="I834">
        <v>45226</v>
      </c>
      <c r="J834">
        <v>45226</v>
      </c>
      <c r="K834">
        <v>45226</v>
      </c>
      <c r="L834" t="s">
        <v>135</v>
      </c>
      <c r="M834" t="s">
        <v>264</v>
      </c>
      <c r="N834" t="s">
        <v>127</v>
      </c>
      <c r="O834" t="s">
        <v>2954</v>
      </c>
      <c r="P834" t="s">
        <v>49</v>
      </c>
      <c r="R834">
        <v>7</v>
      </c>
      <c r="S834">
        <v>0</v>
      </c>
      <c r="T834">
        <v>0</v>
      </c>
      <c r="U834" t="s">
        <v>2955</v>
      </c>
      <c r="V834" t="s">
        <v>2956</v>
      </c>
      <c r="W834">
        <v>29704152700811</v>
      </c>
      <c r="AE834" t="s">
        <v>234</v>
      </c>
      <c r="AF834">
        <v>78</v>
      </c>
      <c r="AG834">
        <v>171</v>
      </c>
      <c r="AH834">
        <v>7</v>
      </c>
      <c r="AJ834" t="s">
        <v>2957</v>
      </c>
    </row>
    <row r="835" spans="1:36" ht="18.75" customHeight="1" x14ac:dyDescent="0.3">
      <c r="A835" s="1">
        <v>2012142700456</v>
      </c>
      <c r="B835" t="s">
        <v>57</v>
      </c>
      <c r="C835" t="s">
        <v>2958</v>
      </c>
      <c r="D835" t="s">
        <v>2939</v>
      </c>
      <c r="E835" t="s">
        <v>736</v>
      </c>
      <c r="F835" t="s">
        <v>2959</v>
      </c>
      <c r="G835">
        <v>41199</v>
      </c>
      <c r="H835">
        <v>42309</v>
      </c>
      <c r="J835">
        <v>44148</v>
      </c>
      <c r="K835">
        <v>44148</v>
      </c>
      <c r="L835" t="s">
        <v>135</v>
      </c>
      <c r="M835" t="s">
        <v>264</v>
      </c>
      <c r="N835" t="s">
        <v>127</v>
      </c>
      <c r="O835" t="s">
        <v>1237</v>
      </c>
      <c r="P835" t="s">
        <v>49</v>
      </c>
      <c r="R835">
        <v>1</v>
      </c>
      <c r="S835">
        <v>0</v>
      </c>
      <c r="T835">
        <v>0</v>
      </c>
      <c r="U835" t="s">
        <v>2960</v>
      </c>
      <c r="V835" t="s">
        <v>2961</v>
      </c>
      <c r="W835">
        <v>29079211402243</v>
      </c>
      <c r="AE835" t="s">
        <v>176</v>
      </c>
      <c r="AF835">
        <v>62</v>
      </c>
      <c r="AG835">
        <v>167</v>
      </c>
      <c r="AH835">
        <v>-5</v>
      </c>
      <c r="AJ835" t="s">
        <v>2962</v>
      </c>
    </row>
    <row r="836" spans="1:36" ht="18.75" customHeight="1" x14ac:dyDescent="0.3">
      <c r="A836" s="1">
        <v>2013134702103</v>
      </c>
      <c r="B836" t="s">
        <v>57</v>
      </c>
      <c r="C836" t="s">
        <v>2963</v>
      </c>
      <c r="D836" t="s">
        <v>2939</v>
      </c>
      <c r="E836" t="s">
        <v>736</v>
      </c>
      <c r="F836" t="s">
        <v>2964</v>
      </c>
      <c r="G836">
        <v>41307</v>
      </c>
      <c r="H836">
        <v>41504</v>
      </c>
      <c r="J836">
        <v>45611</v>
      </c>
      <c r="K836">
        <v>45611</v>
      </c>
      <c r="L836" t="s">
        <v>88</v>
      </c>
      <c r="M836" t="s">
        <v>2941</v>
      </c>
      <c r="N836" t="s">
        <v>47</v>
      </c>
      <c r="O836" t="s">
        <v>2965</v>
      </c>
      <c r="P836" t="s">
        <v>49</v>
      </c>
      <c r="R836">
        <v>1</v>
      </c>
      <c r="S836">
        <v>0</v>
      </c>
      <c r="T836">
        <v>0</v>
      </c>
      <c r="U836" t="s">
        <v>2966</v>
      </c>
      <c r="V836" t="s">
        <v>2967</v>
      </c>
      <c r="W836">
        <v>29012312700112</v>
      </c>
      <c r="AE836" t="s">
        <v>234</v>
      </c>
      <c r="AF836">
        <v>78</v>
      </c>
      <c r="AG836">
        <v>174</v>
      </c>
      <c r="AH836">
        <v>4</v>
      </c>
      <c r="AJ836" t="s">
        <v>2968</v>
      </c>
    </row>
    <row r="837" spans="1:36" ht="18.75" customHeight="1" x14ac:dyDescent="0.3">
      <c r="A837" s="1">
        <v>2014142704248</v>
      </c>
      <c r="B837" t="s">
        <v>75</v>
      </c>
      <c r="C837" t="s">
        <v>2969</v>
      </c>
      <c r="D837" t="s">
        <v>2939</v>
      </c>
      <c r="E837" t="s">
        <v>736</v>
      </c>
      <c r="F837" t="s">
        <v>2970</v>
      </c>
      <c r="G837">
        <v>41930</v>
      </c>
      <c r="H837">
        <v>42918</v>
      </c>
      <c r="I837">
        <v>45984</v>
      </c>
      <c r="J837">
        <v>45984</v>
      </c>
      <c r="K837">
        <v>45984</v>
      </c>
      <c r="L837" t="s">
        <v>135</v>
      </c>
      <c r="M837" t="s">
        <v>264</v>
      </c>
      <c r="N837" t="s">
        <v>127</v>
      </c>
      <c r="O837" t="s">
        <v>1237</v>
      </c>
      <c r="P837" t="s">
        <v>49</v>
      </c>
      <c r="R837">
        <v>0</v>
      </c>
      <c r="S837">
        <v>0</v>
      </c>
      <c r="T837">
        <v>0</v>
      </c>
      <c r="U837" t="s">
        <v>2971</v>
      </c>
      <c r="W837">
        <v>29907012711667</v>
      </c>
      <c r="AE837" t="s">
        <v>2950</v>
      </c>
      <c r="AF837">
        <v>89</v>
      </c>
      <c r="AG837">
        <v>169</v>
      </c>
      <c r="AH837">
        <v>20</v>
      </c>
      <c r="AJ837" t="s">
        <v>2972</v>
      </c>
    </row>
    <row r="838" spans="1:36" ht="18.75" customHeight="1" x14ac:dyDescent="0.3">
      <c r="A838" s="1">
        <v>2015142703248</v>
      </c>
      <c r="B838" t="s">
        <v>75</v>
      </c>
      <c r="C838" t="s">
        <v>2973</v>
      </c>
      <c r="D838" t="s">
        <v>2939</v>
      </c>
      <c r="E838" t="s">
        <v>736</v>
      </c>
      <c r="F838" t="s">
        <v>2974</v>
      </c>
      <c r="G838">
        <v>42284</v>
      </c>
      <c r="H838">
        <v>44137</v>
      </c>
      <c r="I838">
        <v>45227</v>
      </c>
      <c r="J838">
        <v>45227</v>
      </c>
      <c r="K838">
        <v>45227</v>
      </c>
      <c r="L838" t="s">
        <v>135</v>
      </c>
      <c r="M838" t="s">
        <v>264</v>
      </c>
      <c r="N838" t="s">
        <v>127</v>
      </c>
      <c r="O838" t="s">
        <v>1237</v>
      </c>
      <c r="P838" t="s">
        <v>49</v>
      </c>
      <c r="R838">
        <v>0</v>
      </c>
      <c r="S838">
        <v>0</v>
      </c>
      <c r="T838">
        <v>0</v>
      </c>
      <c r="U838" t="s">
        <v>2975</v>
      </c>
      <c r="V838" t="s">
        <v>2976</v>
      </c>
      <c r="W838">
        <v>30007012702921</v>
      </c>
      <c r="AE838" t="s">
        <v>2950</v>
      </c>
      <c r="AF838">
        <v>80</v>
      </c>
      <c r="AG838">
        <v>170</v>
      </c>
      <c r="AH838">
        <v>10</v>
      </c>
      <c r="AJ838" t="s">
        <v>2977</v>
      </c>
    </row>
    <row r="839" spans="1:36" ht="18.75" customHeight="1" x14ac:dyDescent="0.3">
      <c r="A839" s="1">
        <v>2015142703503</v>
      </c>
      <c r="B839" t="s">
        <v>75</v>
      </c>
      <c r="C839" t="s">
        <v>2978</v>
      </c>
      <c r="D839" t="s">
        <v>2939</v>
      </c>
      <c r="E839" t="s">
        <v>736</v>
      </c>
      <c r="F839" t="s">
        <v>2979</v>
      </c>
      <c r="G839">
        <v>42284</v>
      </c>
      <c r="H839">
        <v>46328</v>
      </c>
      <c r="I839">
        <v>44137</v>
      </c>
      <c r="J839">
        <v>45984</v>
      </c>
      <c r="K839">
        <v>45984</v>
      </c>
      <c r="L839" t="s">
        <v>135</v>
      </c>
      <c r="M839" t="s">
        <v>264</v>
      </c>
      <c r="N839" t="s">
        <v>127</v>
      </c>
      <c r="O839" t="s">
        <v>1237</v>
      </c>
      <c r="P839" t="s">
        <v>49</v>
      </c>
      <c r="R839">
        <v>2</v>
      </c>
      <c r="S839">
        <v>0</v>
      </c>
      <c r="T839">
        <v>0</v>
      </c>
      <c r="U839" t="s">
        <v>2960</v>
      </c>
      <c r="V839" t="s">
        <v>2980</v>
      </c>
      <c r="W839">
        <v>29908062700123</v>
      </c>
      <c r="AE839" t="s">
        <v>2950</v>
      </c>
      <c r="AF839">
        <v>75</v>
      </c>
      <c r="AG839">
        <v>170</v>
      </c>
      <c r="AH839">
        <v>5</v>
      </c>
      <c r="AJ839" t="s">
        <v>2977</v>
      </c>
    </row>
    <row r="840" spans="1:36" ht="18.75" customHeight="1" x14ac:dyDescent="0.3">
      <c r="A840" s="1">
        <v>2015132702721</v>
      </c>
      <c r="B840" t="s">
        <v>75</v>
      </c>
      <c r="C840" t="s">
        <v>2981</v>
      </c>
      <c r="D840" t="s">
        <v>2939</v>
      </c>
      <c r="E840" t="s">
        <v>736</v>
      </c>
      <c r="F840" t="s">
        <v>2982</v>
      </c>
      <c r="G840">
        <v>42309</v>
      </c>
      <c r="H840">
        <v>42967</v>
      </c>
      <c r="J840">
        <v>45224</v>
      </c>
      <c r="K840">
        <v>45224</v>
      </c>
      <c r="L840" t="s">
        <v>135</v>
      </c>
      <c r="M840" t="s">
        <v>264</v>
      </c>
      <c r="N840" t="s">
        <v>127</v>
      </c>
      <c r="O840" t="s">
        <v>1237</v>
      </c>
      <c r="P840" t="s">
        <v>49</v>
      </c>
      <c r="R840">
        <v>0</v>
      </c>
      <c r="S840">
        <v>1</v>
      </c>
      <c r="T840">
        <v>1</v>
      </c>
      <c r="U840" t="s">
        <v>2983</v>
      </c>
      <c r="V840" t="s">
        <v>2984</v>
      </c>
      <c r="W840">
        <v>29506172700551</v>
      </c>
      <c r="AE840" t="s">
        <v>234</v>
      </c>
      <c r="AF840">
        <v>68</v>
      </c>
      <c r="AG840">
        <v>170</v>
      </c>
      <c r="AH840">
        <v>-2</v>
      </c>
      <c r="AJ840" t="s">
        <v>2985</v>
      </c>
    </row>
    <row r="841" spans="1:36" ht="18.75" customHeight="1" x14ac:dyDescent="0.3">
      <c r="A841" s="1">
        <v>2015132705189</v>
      </c>
      <c r="B841" t="s">
        <v>75</v>
      </c>
      <c r="C841" t="s">
        <v>2986</v>
      </c>
      <c r="D841" t="s">
        <v>2939</v>
      </c>
      <c r="E841" t="s">
        <v>736</v>
      </c>
      <c r="F841" t="s">
        <v>2982</v>
      </c>
      <c r="G841">
        <v>42309</v>
      </c>
      <c r="H841">
        <v>42967</v>
      </c>
      <c r="I841">
        <v>45595</v>
      </c>
      <c r="J841">
        <v>45595</v>
      </c>
      <c r="K841">
        <v>45595</v>
      </c>
      <c r="L841" t="s">
        <v>135</v>
      </c>
      <c r="M841" t="s">
        <v>264</v>
      </c>
      <c r="N841" t="s">
        <v>127</v>
      </c>
      <c r="O841" t="s">
        <v>1237</v>
      </c>
      <c r="P841" t="s">
        <v>49</v>
      </c>
      <c r="R841">
        <v>4</v>
      </c>
      <c r="S841">
        <v>0</v>
      </c>
      <c r="T841">
        <v>0</v>
      </c>
      <c r="U841" t="s">
        <v>2987</v>
      </c>
      <c r="V841" t="s">
        <v>2988</v>
      </c>
      <c r="W841">
        <v>29609042600737</v>
      </c>
      <c r="AE841" t="s">
        <v>1240</v>
      </c>
      <c r="AF841">
        <v>80</v>
      </c>
      <c r="AG841">
        <v>178</v>
      </c>
      <c r="AH841">
        <v>2</v>
      </c>
      <c r="AJ841" t="s">
        <v>2989</v>
      </c>
    </row>
    <row r="842" spans="1:36" ht="18.75" customHeight="1" x14ac:dyDescent="0.3">
      <c r="A842" s="1">
        <v>2015132705238</v>
      </c>
      <c r="B842" t="s">
        <v>75</v>
      </c>
      <c r="C842" t="s">
        <v>2990</v>
      </c>
      <c r="D842" t="s">
        <v>2939</v>
      </c>
      <c r="E842" t="s">
        <v>736</v>
      </c>
      <c r="F842" t="s">
        <v>2982</v>
      </c>
      <c r="G842">
        <v>42309</v>
      </c>
      <c r="H842">
        <v>42967</v>
      </c>
      <c r="I842">
        <v>45595</v>
      </c>
      <c r="J842">
        <v>45595</v>
      </c>
      <c r="K842">
        <v>45595</v>
      </c>
      <c r="L842" t="s">
        <v>135</v>
      </c>
      <c r="M842" t="s">
        <v>264</v>
      </c>
      <c r="N842" t="s">
        <v>127</v>
      </c>
      <c r="O842" t="s">
        <v>1237</v>
      </c>
      <c r="P842" t="s">
        <v>49</v>
      </c>
      <c r="R842">
        <v>1</v>
      </c>
      <c r="S842">
        <v>0</v>
      </c>
      <c r="T842">
        <v>0</v>
      </c>
      <c r="U842" t="s">
        <v>2991</v>
      </c>
      <c r="V842" t="s">
        <v>2992</v>
      </c>
      <c r="W842">
        <v>29609042600737</v>
      </c>
      <c r="AE842" t="s">
        <v>1257</v>
      </c>
      <c r="AF842">
        <v>78</v>
      </c>
      <c r="AG842">
        <v>173</v>
      </c>
      <c r="AH842">
        <v>5</v>
      </c>
      <c r="AJ842" t="s">
        <v>2993</v>
      </c>
    </row>
    <row r="843" spans="1:36" ht="18.75" customHeight="1" x14ac:dyDescent="0.3">
      <c r="A843" s="1">
        <v>2015132705246</v>
      </c>
      <c r="B843" t="s">
        <v>75</v>
      </c>
      <c r="C843" t="s">
        <v>2994</v>
      </c>
      <c r="D843" t="s">
        <v>2939</v>
      </c>
      <c r="E843" t="s">
        <v>736</v>
      </c>
      <c r="F843" t="s">
        <v>2982</v>
      </c>
      <c r="G843">
        <v>42309</v>
      </c>
      <c r="H843">
        <v>42967</v>
      </c>
      <c r="I843">
        <v>44127</v>
      </c>
      <c r="J843">
        <v>44127</v>
      </c>
      <c r="K843">
        <v>44127</v>
      </c>
      <c r="L843" t="s">
        <v>135</v>
      </c>
      <c r="M843" t="s">
        <v>264</v>
      </c>
      <c r="N843" t="s">
        <v>127</v>
      </c>
      <c r="O843" t="s">
        <v>1237</v>
      </c>
      <c r="P843" t="s">
        <v>49</v>
      </c>
      <c r="R843">
        <v>0</v>
      </c>
      <c r="S843">
        <v>0</v>
      </c>
      <c r="T843">
        <v>0</v>
      </c>
      <c r="U843" t="s">
        <v>2995</v>
      </c>
      <c r="V843" t="s">
        <v>2996</v>
      </c>
      <c r="W843">
        <v>29611162601995</v>
      </c>
      <c r="AE843" t="s">
        <v>1257</v>
      </c>
      <c r="AF843">
        <v>68</v>
      </c>
      <c r="AG843">
        <v>170</v>
      </c>
      <c r="AH843">
        <v>-2</v>
      </c>
      <c r="AJ843" t="s">
        <v>2997</v>
      </c>
    </row>
    <row r="844" spans="1:36" ht="18.75" customHeight="1" x14ac:dyDescent="0.3">
      <c r="A844" s="1">
        <v>2015132705270</v>
      </c>
      <c r="B844" t="s">
        <v>75</v>
      </c>
      <c r="C844" t="s">
        <v>2998</v>
      </c>
      <c r="D844" t="s">
        <v>2939</v>
      </c>
      <c r="E844" t="s">
        <v>736</v>
      </c>
      <c r="F844" t="s">
        <v>2982</v>
      </c>
      <c r="G844">
        <v>42309</v>
      </c>
      <c r="H844">
        <v>42967</v>
      </c>
      <c r="I844">
        <v>45984</v>
      </c>
      <c r="J844">
        <v>45984</v>
      </c>
      <c r="K844">
        <v>45984</v>
      </c>
      <c r="L844" t="s">
        <v>135</v>
      </c>
      <c r="M844" t="s">
        <v>264</v>
      </c>
      <c r="N844" t="s">
        <v>127</v>
      </c>
      <c r="O844" t="s">
        <v>1237</v>
      </c>
      <c r="P844" t="s">
        <v>49</v>
      </c>
      <c r="R844">
        <v>8</v>
      </c>
      <c r="S844">
        <v>0</v>
      </c>
      <c r="T844">
        <v>0</v>
      </c>
      <c r="U844" t="s">
        <v>2999</v>
      </c>
      <c r="V844" t="s">
        <v>3000</v>
      </c>
      <c r="W844">
        <v>29709012611599</v>
      </c>
      <c r="AE844" t="s">
        <v>1257</v>
      </c>
      <c r="AF844">
        <v>102</v>
      </c>
      <c r="AG844">
        <v>187</v>
      </c>
      <c r="AH844">
        <v>15</v>
      </c>
      <c r="AJ844" t="s">
        <v>3001</v>
      </c>
    </row>
    <row r="845" spans="1:36" ht="18.75" customHeight="1" x14ac:dyDescent="0.3">
      <c r="A845" s="1">
        <v>2017142704052</v>
      </c>
      <c r="B845" t="s">
        <v>75</v>
      </c>
      <c r="C845" t="s">
        <v>3002</v>
      </c>
      <c r="D845" t="s">
        <v>2939</v>
      </c>
      <c r="E845" t="s">
        <v>736</v>
      </c>
      <c r="F845" t="s">
        <v>3003</v>
      </c>
      <c r="G845">
        <v>42325</v>
      </c>
      <c r="H845">
        <v>43684</v>
      </c>
      <c r="I845">
        <v>45982</v>
      </c>
      <c r="J845">
        <v>45982</v>
      </c>
      <c r="K845">
        <v>45982</v>
      </c>
      <c r="L845" t="s">
        <v>135</v>
      </c>
      <c r="M845" t="s">
        <v>264</v>
      </c>
      <c r="N845" t="s">
        <v>127</v>
      </c>
      <c r="O845" t="s">
        <v>1237</v>
      </c>
      <c r="P845" t="s">
        <v>49</v>
      </c>
      <c r="R845">
        <v>0</v>
      </c>
      <c r="S845">
        <v>0</v>
      </c>
      <c r="T845">
        <v>0</v>
      </c>
      <c r="U845" t="s">
        <v>3004</v>
      </c>
      <c r="V845" t="s">
        <v>3005</v>
      </c>
      <c r="W845">
        <v>29902131203007</v>
      </c>
      <c r="AE845" t="s">
        <v>118</v>
      </c>
      <c r="AF845">
        <v>80</v>
      </c>
      <c r="AG845">
        <v>168</v>
      </c>
      <c r="AH845">
        <v>12</v>
      </c>
      <c r="AJ845" t="s">
        <v>3006</v>
      </c>
    </row>
    <row r="846" spans="1:36" ht="18.75" customHeight="1" x14ac:dyDescent="0.3">
      <c r="A846" s="1">
        <v>2016132703115</v>
      </c>
      <c r="B846" t="s">
        <v>75</v>
      </c>
      <c r="C846" t="s">
        <v>3007</v>
      </c>
      <c r="D846" t="s">
        <v>2939</v>
      </c>
      <c r="E846" t="s">
        <v>736</v>
      </c>
      <c r="F846" t="s">
        <v>3008</v>
      </c>
      <c r="G846">
        <v>42662</v>
      </c>
      <c r="H846">
        <v>43321</v>
      </c>
      <c r="I846">
        <v>44499</v>
      </c>
      <c r="J846">
        <v>41212</v>
      </c>
      <c r="K846">
        <v>41212</v>
      </c>
      <c r="L846" t="s">
        <v>135</v>
      </c>
      <c r="M846" t="s">
        <v>264</v>
      </c>
      <c r="N846" t="s">
        <v>127</v>
      </c>
      <c r="O846" t="s">
        <v>1237</v>
      </c>
      <c r="P846" t="s">
        <v>49</v>
      </c>
      <c r="R846">
        <v>4</v>
      </c>
      <c r="S846">
        <v>0</v>
      </c>
      <c r="T846">
        <v>0</v>
      </c>
      <c r="U846" t="s">
        <v>3009</v>
      </c>
      <c r="V846" t="s">
        <v>3010</v>
      </c>
      <c r="W846">
        <v>29803282401678</v>
      </c>
      <c r="AE846" t="s">
        <v>376</v>
      </c>
      <c r="AF846">
        <v>76</v>
      </c>
      <c r="AG846">
        <v>171</v>
      </c>
      <c r="AH846">
        <v>5</v>
      </c>
      <c r="AJ846" t="s">
        <v>3011</v>
      </c>
    </row>
    <row r="847" spans="1:36" ht="18.75" customHeight="1" x14ac:dyDescent="0.3">
      <c r="A847" s="1">
        <v>2017132400553</v>
      </c>
      <c r="B847" t="s">
        <v>106</v>
      </c>
      <c r="C847" t="s">
        <v>3012</v>
      </c>
      <c r="D847" t="s">
        <v>2939</v>
      </c>
      <c r="E847" t="s">
        <v>736</v>
      </c>
      <c r="F847" t="s">
        <v>3013</v>
      </c>
      <c r="G847">
        <v>42915</v>
      </c>
      <c r="H847">
        <v>43663</v>
      </c>
      <c r="I847">
        <v>45972</v>
      </c>
      <c r="J847">
        <v>45972</v>
      </c>
      <c r="K847">
        <v>45972</v>
      </c>
      <c r="L847" t="s">
        <v>135</v>
      </c>
      <c r="M847" t="s">
        <v>1171</v>
      </c>
      <c r="N847" t="s">
        <v>1172</v>
      </c>
      <c r="O847" t="s">
        <v>3014</v>
      </c>
      <c r="P847" t="s">
        <v>49</v>
      </c>
      <c r="R847">
        <v>0</v>
      </c>
      <c r="S847">
        <v>0</v>
      </c>
      <c r="T847">
        <v>0</v>
      </c>
      <c r="U847" t="s">
        <v>3015</v>
      </c>
      <c r="V847" t="s">
        <v>3016</v>
      </c>
      <c r="W847">
        <v>29809281700432</v>
      </c>
      <c r="AE847" t="s">
        <v>167</v>
      </c>
      <c r="AF847">
        <v>70</v>
      </c>
      <c r="AG847">
        <v>173</v>
      </c>
      <c r="AH847">
        <v>-3</v>
      </c>
      <c r="AJ847" t="s">
        <v>3017</v>
      </c>
    </row>
    <row r="848" spans="1:36" ht="18.75" customHeight="1" x14ac:dyDescent="0.3">
      <c r="A848" s="1">
        <v>2019132704167</v>
      </c>
      <c r="B848" t="s">
        <v>106</v>
      </c>
      <c r="C848" t="s">
        <v>3018</v>
      </c>
      <c r="D848" t="s">
        <v>2939</v>
      </c>
      <c r="E848" t="s">
        <v>736</v>
      </c>
      <c r="F848" t="s">
        <v>3019</v>
      </c>
      <c r="G848">
        <v>43775</v>
      </c>
      <c r="H848" t="s">
        <v>3020</v>
      </c>
      <c r="I848">
        <v>44670</v>
      </c>
      <c r="J848">
        <v>44670</v>
      </c>
      <c r="K848">
        <v>44670</v>
      </c>
      <c r="L848" t="s">
        <v>135</v>
      </c>
      <c r="M848" t="s">
        <v>264</v>
      </c>
      <c r="N848" t="s">
        <v>127</v>
      </c>
      <c r="O848" t="s">
        <v>1237</v>
      </c>
      <c r="P848" t="s">
        <v>49</v>
      </c>
      <c r="R848">
        <v>0</v>
      </c>
      <c r="S848">
        <v>0</v>
      </c>
      <c r="T848">
        <v>0</v>
      </c>
      <c r="U848" t="s">
        <v>3021</v>
      </c>
      <c r="V848" t="s">
        <v>3022</v>
      </c>
      <c r="W848">
        <v>30102112701992</v>
      </c>
      <c r="AE848" t="s">
        <v>2950</v>
      </c>
      <c r="AF848">
        <v>77</v>
      </c>
      <c r="AG848">
        <v>170</v>
      </c>
      <c r="AH848">
        <v>7</v>
      </c>
    </row>
    <row r="849" spans="1:40" ht="18.75" customHeight="1" x14ac:dyDescent="0.3">
      <c r="A849" s="1">
        <v>2019132704175</v>
      </c>
      <c r="B849" t="s">
        <v>106</v>
      </c>
      <c r="C849" t="s">
        <v>3023</v>
      </c>
      <c r="D849" t="s">
        <v>2939</v>
      </c>
      <c r="E849" t="s">
        <v>736</v>
      </c>
      <c r="F849" t="s">
        <v>3019</v>
      </c>
      <c r="H849">
        <v>44500</v>
      </c>
      <c r="I849">
        <v>44670</v>
      </c>
      <c r="J849">
        <v>44670</v>
      </c>
      <c r="K849">
        <v>44670</v>
      </c>
      <c r="L849" t="s">
        <v>135</v>
      </c>
      <c r="M849" t="s">
        <v>264</v>
      </c>
      <c r="N849" t="s">
        <v>127</v>
      </c>
      <c r="O849" t="s">
        <v>1237</v>
      </c>
      <c r="P849" t="s">
        <v>49</v>
      </c>
      <c r="R849">
        <v>0</v>
      </c>
      <c r="S849">
        <v>0</v>
      </c>
      <c r="T849">
        <v>0</v>
      </c>
      <c r="U849" t="s">
        <v>3024</v>
      </c>
      <c r="V849" t="s">
        <v>3025</v>
      </c>
      <c r="W849">
        <v>30004182701394</v>
      </c>
      <c r="AE849" t="s">
        <v>2950</v>
      </c>
      <c r="AF849">
        <v>75</v>
      </c>
      <c r="AG849">
        <v>171</v>
      </c>
      <c r="AH849">
        <v>4</v>
      </c>
    </row>
    <row r="850" spans="1:40" ht="18.75" customHeight="1" x14ac:dyDescent="0.3">
      <c r="A850" s="1">
        <v>2023162700219</v>
      </c>
      <c r="B850" t="s">
        <v>106</v>
      </c>
      <c r="C850" t="s">
        <v>3026</v>
      </c>
      <c r="D850" t="s">
        <v>2939</v>
      </c>
      <c r="E850" t="s">
        <v>736</v>
      </c>
      <c r="M850" t="s">
        <v>264</v>
      </c>
      <c r="AH850" t="s">
        <v>787</v>
      </c>
    </row>
    <row r="851" spans="1:40" ht="18.75" customHeight="1" x14ac:dyDescent="0.3">
      <c r="A851" s="1">
        <v>2023162700227</v>
      </c>
      <c r="B851" t="s">
        <v>106</v>
      </c>
      <c r="C851" t="s">
        <v>3027</v>
      </c>
      <c r="D851" t="s">
        <v>2939</v>
      </c>
      <c r="E851" t="s">
        <v>736</v>
      </c>
      <c r="M851" t="s">
        <v>264</v>
      </c>
      <c r="AH851" t="s">
        <v>787</v>
      </c>
      <c r="AN851" t="s">
        <v>145</v>
      </c>
    </row>
    <row r="852" spans="1:40" ht="18.75" customHeight="1" x14ac:dyDescent="0.3">
      <c r="A852" s="1">
        <v>2023162700235</v>
      </c>
      <c r="B852" t="s">
        <v>106</v>
      </c>
      <c r="C852" t="s">
        <v>3028</v>
      </c>
      <c r="D852" t="s">
        <v>2939</v>
      </c>
      <c r="E852" t="s">
        <v>736</v>
      </c>
      <c r="M852" t="s">
        <v>264</v>
      </c>
      <c r="AH852" t="s">
        <v>787</v>
      </c>
      <c r="AN852" t="s">
        <v>145</v>
      </c>
    </row>
    <row r="853" spans="1:40" ht="18.75" customHeight="1" x14ac:dyDescent="0.3">
      <c r="A853" s="1">
        <v>2023162700269</v>
      </c>
      <c r="B853" t="s">
        <v>106</v>
      </c>
      <c r="C853" t="s">
        <v>3029</v>
      </c>
      <c r="D853" t="s">
        <v>2939</v>
      </c>
      <c r="E853" t="s">
        <v>736</v>
      </c>
      <c r="M853" t="s">
        <v>264</v>
      </c>
      <c r="AH853" t="s">
        <v>787</v>
      </c>
    </row>
    <row r="854" spans="1:40" ht="18.75" customHeight="1" x14ac:dyDescent="0.3">
      <c r="A854" s="1">
        <v>2025162700570</v>
      </c>
      <c r="B854" t="s">
        <v>106</v>
      </c>
      <c r="C854" t="s">
        <v>3030</v>
      </c>
      <c r="D854" t="s">
        <v>2939</v>
      </c>
      <c r="E854" t="s">
        <v>736</v>
      </c>
      <c r="M854" t="s">
        <v>264</v>
      </c>
      <c r="X854">
        <v>37025</v>
      </c>
    </row>
    <row r="855" spans="1:40" ht="18.75" customHeight="1" x14ac:dyDescent="0.3">
      <c r="A855" s="1">
        <v>2011138300395</v>
      </c>
      <c r="B855" t="s">
        <v>75</v>
      </c>
      <c r="C855" t="s">
        <v>3031</v>
      </c>
      <c r="D855" t="s">
        <v>1353</v>
      </c>
      <c r="E855" t="s">
        <v>1354</v>
      </c>
      <c r="M855" t="s">
        <v>1355</v>
      </c>
      <c r="N855" t="s">
        <v>127</v>
      </c>
      <c r="O855" t="s">
        <v>3032</v>
      </c>
      <c r="AH855" t="s">
        <v>787</v>
      </c>
    </row>
    <row r="856" spans="1:40" ht="18.75" customHeight="1" x14ac:dyDescent="0.3">
      <c r="A856" s="1">
        <v>2019131808001</v>
      </c>
      <c r="B856" t="s">
        <v>125</v>
      </c>
      <c r="C856" t="s">
        <v>3033</v>
      </c>
      <c r="D856" t="s">
        <v>694</v>
      </c>
      <c r="E856" t="s">
        <v>43</v>
      </c>
      <c r="F856">
        <v>159</v>
      </c>
      <c r="G856">
        <v>43692</v>
      </c>
      <c r="H856">
        <v>44482</v>
      </c>
      <c r="I856">
        <v>44482</v>
      </c>
      <c r="L856" t="s">
        <v>135</v>
      </c>
      <c r="M856" t="s">
        <v>695</v>
      </c>
      <c r="N856" t="s">
        <v>727</v>
      </c>
      <c r="O856" t="s">
        <v>608</v>
      </c>
      <c r="Q856" t="s">
        <v>49</v>
      </c>
      <c r="R856">
        <v>1</v>
      </c>
      <c r="S856">
        <v>0</v>
      </c>
      <c r="T856">
        <v>0</v>
      </c>
      <c r="U856" t="s">
        <v>3034</v>
      </c>
      <c r="V856" t="s">
        <v>3035</v>
      </c>
      <c r="X856">
        <v>37643</v>
      </c>
      <c r="Y856" t="s">
        <v>153</v>
      </c>
      <c r="Z856">
        <v>0</v>
      </c>
      <c r="AA856">
        <v>0</v>
      </c>
      <c r="AD856" t="s">
        <v>191</v>
      </c>
      <c r="AF856">
        <v>71</v>
      </c>
      <c r="AH856">
        <f>IF([2]!Table1[[#This Row],[الوزن]]&lt;&gt;"",[2]!Table1[[#This Row],[الوزن]]-([2]!Table1[[#This Row],[الطول]]-100),"")</f>
        <v>-1</v>
      </c>
      <c r="AI856">
        <v>2</v>
      </c>
      <c r="AN856" t="s">
        <v>145</v>
      </c>
    </row>
    <row r="857" spans="1:40" ht="18.75" customHeight="1" x14ac:dyDescent="0.3">
      <c r="A857" s="1">
        <v>2006138304629</v>
      </c>
      <c r="B857" t="s">
        <v>57</v>
      </c>
      <c r="C857" t="s">
        <v>3036</v>
      </c>
      <c r="D857" t="s">
        <v>849</v>
      </c>
      <c r="E857" t="s">
        <v>850</v>
      </c>
      <c r="F857">
        <v>136</v>
      </c>
      <c r="G857">
        <v>38913</v>
      </c>
      <c r="H857">
        <v>39376</v>
      </c>
      <c r="I857">
        <v>44927</v>
      </c>
      <c r="M857" t="s">
        <v>136</v>
      </c>
      <c r="N857" t="s">
        <v>127</v>
      </c>
      <c r="O857" t="s">
        <v>1097</v>
      </c>
      <c r="Q857" t="s">
        <v>49</v>
      </c>
      <c r="R857">
        <v>6</v>
      </c>
      <c r="S857">
        <v>1</v>
      </c>
      <c r="T857">
        <v>0</v>
      </c>
      <c r="U857" t="s">
        <v>3037</v>
      </c>
      <c r="V857" t="s">
        <v>3038</v>
      </c>
      <c r="X857">
        <v>32209</v>
      </c>
      <c r="Y857" t="s">
        <v>103</v>
      </c>
      <c r="AF857">
        <v>85</v>
      </c>
      <c r="AG857">
        <v>186</v>
      </c>
      <c r="AH857">
        <v>-1</v>
      </c>
      <c r="AN857" t="s">
        <v>3039</v>
      </c>
    </row>
    <row r="858" spans="1:40" ht="18.75" customHeight="1" x14ac:dyDescent="0.3">
      <c r="A858" s="1">
        <v>1999138300713</v>
      </c>
      <c r="B858" t="s">
        <v>210</v>
      </c>
      <c r="C858" t="s">
        <v>3040</v>
      </c>
      <c r="D858" t="s">
        <v>1353</v>
      </c>
      <c r="E858" t="s">
        <v>1354</v>
      </c>
      <c r="M858" t="s">
        <v>1355</v>
      </c>
      <c r="N858" t="s">
        <v>127</v>
      </c>
      <c r="O858" t="s">
        <v>3041</v>
      </c>
      <c r="AH858" t="s">
        <v>787</v>
      </c>
    </row>
    <row r="859" spans="1:40" ht="18.75" customHeight="1" x14ac:dyDescent="0.3">
      <c r="A859" s="1">
        <v>2021138316739</v>
      </c>
      <c r="B859" t="s">
        <v>125</v>
      </c>
      <c r="C859" t="s">
        <v>3042</v>
      </c>
      <c r="D859" t="s">
        <v>3043</v>
      </c>
      <c r="E859" t="s">
        <v>1354</v>
      </c>
      <c r="M859" t="s">
        <v>2546</v>
      </c>
      <c r="O859" t="s">
        <v>3044</v>
      </c>
      <c r="AH859" t="s">
        <v>787</v>
      </c>
    </row>
    <row r="860" spans="1:40" ht="18.75" customHeight="1" x14ac:dyDescent="0.3">
      <c r="A860" s="1">
        <v>2013138303501</v>
      </c>
      <c r="B860" t="s">
        <v>75</v>
      </c>
      <c r="C860" t="s">
        <v>3045</v>
      </c>
      <c r="D860" t="s">
        <v>3043</v>
      </c>
      <c r="E860" t="s">
        <v>1354</v>
      </c>
      <c r="M860" t="s">
        <v>2546</v>
      </c>
      <c r="O860" t="s">
        <v>3046</v>
      </c>
      <c r="AH860" t="s">
        <v>787</v>
      </c>
    </row>
    <row r="861" spans="1:40" ht="18.75" customHeight="1" x14ac:dyDescent="0.3">
      <c r="A861" s="1">
        <v>2011138312556</v>
      </c>
      <c r="B861" t="s">
        <v>75</v>
      </c>
      <c r="C861" t="s">
        <v>3047</v>
      </c>
      <c r="D861" t="s">
        <v>3043</v>
      </c>
      <c r="E861" t="s">
        <v>1354</v>
      </c>
      <c r="M861" t="s">
        <v>2546</v>
      </c>
      <c r="O861" t="s">
        <v>3048</v>
      </c>
      <c r="AH861" t="s">
        <v>787</v>
      </c>
    </row>
    <row r="862" spans="1:40" ht="18.75" customHeight="1" x14ac:dyDescent="0.3">
      <c r="A862" s="1">
        <v>2009138303534</v>
      </c>
      <c r="B862" t="s">
        <v>57</v>
      </c>
      <c r="C862" t="s">
        <v>3049</v>
      </c>
      <c r="D862" t="s">
        <v>3043</v>
      </c>
      <c r="E862" t="s">
        <v>1354</v>
      </c>
      <c r="M862" t="s">
        <v>2546</v>
      </c>
      <c r="O862" t="s">
        <v>3046</v>
      </c>
      <c r="AH862" t="s">
        <v>787</v>
      </c>
    </row>
    <row r="863" spans="1:40" ht="18.75" customHeight="1" x14ac:dyDescent="0.3">
      <c r="A863" s="1">
        <v>2007138311127</v>
      </c>
      <c r="B863" t="s">
        <v>57</v>
      </c>
      <c r="C863" t="s">
        <v>3050</v>
      </c>
      <c r="D863" t="s">
        <v>3043</v>
      </c>
      <c r="E863" t="s">
        <v>1354</v>
      </c>
      <c r="M863" t="s">
        <v>2546</v>
      </c>
      <c r="O863" t="s">
        <v>3046</v>
      </c>
      <c r="AH863" t="s">
        <v>787</v>
      </c>
    </row>
    <row r="864" spans="1:40" ht="18.75" customHeight="1" x14ac:dyDescent="0.3">
      <c r="A864" s="1">
        <v>2009138304491</v>
      </c>
      <c r="B864" t="s">
        <v>57</v>
      </c>
      <c r="C864" t="s">
        <v>3051</v>
      </c>
      <c r="D864" t="s">
        <v>3043</v>
      </c>
      <c r="E864" t="s">
        <v>1354</v>
      </c>
      <c r="M864" t="s">
        <v>2546</v>
      </c>
      <c r="O864" t="s">
        <v>3052</v>
      </c>
      <c r="AH864" t="s">
        <v>787</v>
      </c>
    </row>
    <row r="865" spans="1:34" ht="18.75" customHeight="1" x14ac:dyDescent="0.3">
      <c r="A865" s="1">
        <v>2009138302130</v>
      </c>
      <c r="B865" t="s">
        <v>57</v>
      </c>
      <c r="C865" t="s">
        <v>3053</v>
      </c>
      <c r="D865" t="s">
        <v>3043</v>
      </c>
      <c r="E865" t="s">
        <v>1354</v>
      </c>
      <c r="M865" t="s">
        <v>2546</v>
      </c>
      <c r="O865" t="s">
        <v>3052</v>
      </c>
      <c r="AH865" t="s">
        <v>787</v>
      </c>
    </row>
    <row r="866" spans="1:34" ht="18.75" customHeight="1" x14ac:dyDescent="0.3">
      <c r="A866" s="1">
        <v>2001138302540</v>
      </c>
      <c r="B866" t="s">
        <v>210</v>
      </c>
      <c r="C866" t="s">
        <v>3054</v>
      </c>
      <c r="D866" t="s">
        <v>3043</v>
      </c>
      <c r="E866" t="s">
        <v>1354</v>
      </c>
      <c r="M866" t="s">
        <v>2546</v>
      </c>
      <c r="O866" t="s">
        <v>3055</v>
      </c>
      <c r="AH866" t="s">
        <v>787</v>
      </c>
    </row>
    <row r="867" spans="1:34" ht="18.75" customHeight="1" x14ac:dyDescent="0.3">
      <c r="A867" s="1">
        <v>2018130403408</v>
      </c>
      <c r="B867" t="s">
        <v>106</v>
      </c>
      <c r="C867" t="s">
        <v>3056</v>
      </c>
      <c r="D867" t="s">
        <v>3057</v>
      </c>
      <c r="E867" t="s">
        <v>1354</v>
      </c>
      <c r="M867" t="s">
        <v>2546</v>
      </c>
      <c r="O867" t="s">
        <v>3058</v>
      </c>
      <c r="AH867" t="s">
        <v>787</v>
      </c>
    </row>
    <row r="868" spans="1:34" ht="18.75" customHeight="1" x14ac:dyDescent="0.3">
      <c r="A868" s="1">
        <v>2017138304030</v>
      </c>
      <c r="B868" t="s">
        <v>106</v>
      </c>
      <c r="C868" t="s">
        <v>3059</v>
      </c>
      <c r="D868" t="s">
        <v>3057</v>
      </c>
      <c r="E868" t="s">
        <v>1354</v>
      </c>
      <c r="M868" t="s">
        <v>2546</v>
      </c>
      <c r="O868" t="s">
        <v>3046</v>
      </c>
      <c r="AH868" t="s">
        <v>787</v>
      </c>
    </row>
    <row r="869" spans="1:34" ht="18.75" customHeight="1" x14ac:dyDescent="0.3">
      <c r="A869" s="1">
        <v>2012138317140</v>
      </c>
      <c r="B869" t="s">
        <v>75</v>
      </c>
      <c r="C869" t="s">
        <v>3060</v>
      </c>
      <c r="D869" t="s">
        <v>3057</v>
      </c>
      <c r="E869" t="s">
        <v>1354</v>
      </c>
      <c r="M869" t="s">
        <v>2546</v>
      </c>
      <c r="O869" t="s">
        <v>3061</v>
      </c>
      <c r="AH869" t="s">
        <v>787</v>
      </c>
    </row>
    <row r="870" spans="1:34" ht="18.75" customHeight="1" x14ac:dyDescent="0.3">
      <c r="A870" s="1">
        <v>2014138307668</v>
      </c>
      <c r="B870" t="s">
        <v>75</v>
      </c>
      <c r="C870" t="s">
        <v>3062</v>
      </c>
      <c r="D870" t="s">
        <v>3057</v>
      </c>
      <c r="E870" t="s">
        <v>1354</v>
      </c>
      <c r="M870" t="s">
        <v>2546</v>
      </c>
      <c r="O870" t="s">
        <v>3063</v>
      </c>
      <c r="AH870" t="s">
        <v>787</v>
      </c>
    </row>
    <row r="871" spans="1:34" ht="18.75" customHeight="1" x14ac:dyDescent="0.3">
      <c r="A871" s="1">
        <v>2014138326460</v>
      </c>
      <c r="B871" t="s">
        <v>75</v>
      </c>
      <c r="C871" t="s">
        <v>3064</v>
      </c>
      <c r="D871" t="s">
        <v>3057</v>
      </c>
      <c r="E871" t="s">
        <v>1354</v>
      </c>
      <c r="M871" t="s">
        <v>2546</v>
      </c>
      <c r="O871" t="s">
        <v>3048</v>
      </c>
      <c r="AH871" t="s">
        <v>787</v>
      </c>
    </row>
    <row r="872" spans="1:34" ht="18.75" customHeight="1" x14ac:dyDescent="0.3">
      <c r="A872" s="1">
        <v>2013138313162</v>
      </c>
      <c r="B872" t="s">
        <v>75</v>
      </c>
      <c r="C872" t="s">
        <v>3065</v>
      </c>
      <c r="D872" t="s">
        <v>3057</v>
      </c>
      <c r="E872" t="s">
        <v>1354</v>
      </c>
      <c r="M872" t="s">
        <v>2546</v>
      </c>
      <c r="O872" t="s">
        <v>3046</v>
      </c>
      <c r="AH872" t="s">
        <v>787</v>
      </c>
    </row>
    <row r="873" spans="1:34" ht="18.75" customHeight="1" x14ac:dyDescent="0.3">
      <c r="A873" s="1">
        <v>2023138306984</v>
      </c>
      <c r="B873" t="s">
        <v>125</v>
      </c>
      <c r="C873" t="s">
        <v>3066</v>
      </c>
      <c r="D873" t="s">
        <v>3067</v>
      </c>
      <c r="E873" t="s">
        <v>1354</v>
      </c>
      <c r="M873" t="s">
        <v>2546</v>
      </c>
      <c r="O873" t="s">
        <v>3068</v>
      </c>
      <c r="AH873" t="s">
        <v>787</v>
      </c>
    </row>
    <row r="874" spans="1:34" ht="18.75" customHeight="1" x14ac:dyDescent="0.3">
      <c r="A874" s="1">
        <v>2023138305275</v>
      </c>
      <c r="B874" t="s">
        <v>125</v>
      </c>
      <c r="C874" t="s">
        <v>3069</v>
      </c>
      <c r="D874" t="s">
        <v>3067</v>
      </c>
      <c r="E874" t="s">
        <v>1354</v>
      </c>
      <c r="M874" t="s">
        <v>2546</v>
      </c>
      <c r="O874" t="s">
        <v>3070</v>
      </c>
      <c r="AH874" t="s">
        <v>787</v>
      </c>
    </row>
    <row r="875" spans="1:34" ht="18.75" customHeight="1" x14ac:dyDescent="0.3">
      <c r="A875" s="1">
        <v>2021138313222</v>
      </c>
      <c r="B875" t="s">
        <v>125</v>
      </c>
      <c r="C875" t="s">
        <v>3071</v>
      </c>
      <c r="D875" t="s">
        <v>3067</v>
      </c>
      <c r="E875" t="s">
        <v>1354</v>
      </c>
      <c r="M875" t="s">
        <v>2546</v>
      </c>
      <c r="AH875" t="s">
        <v>787</v>
      </c>
    </row>
    <row r="876" spans="1:34" ht="18.75" customHeight="1" x14ac:dyDescent="0.3">
      <c r="A876" s="1">
        <v>2013138311322</v>
      </c>
      <c r="B876" t="s">
        <v>75</v>
      </c>
      <c r="C876" t="s">
        <v>3072</v>
      </c>
      <c r="D876" t="s">
        <v>3067</v>
      </c>
      <c r="E876" t="s">
        <v>1354</v>
      </c>
      <c r="M876" t="s">
        <v>2546</v>
      </c>
      <c r="O876" t="s">
        <v>3073</v>
      </c>
      <c r="AH876" t="s">
        <v>787</v>
      </c>
    </row>
    <row r="877" spans="1:34" ht="18.75" customHeight="1" x14ac:dyDescent="0.3">
      <c r="A877" s="1">
        <v>2008138306259</v>
      </c>
      <c r="B877" t="s">
        <v>57</v>
      </c>
      <c r="C877" t="s">
        <v>3074</v>
      </c>
      <c r="D877" t="s">
        <v>3067</v>
      </c>
      <c r="E877" t="s">
        <v>1354</v>
      </c>
      <c r="M877" t="s">
        <v>2546</v>
      </c>
      <c r="O877" t="s">
        <v>3075</v>
      </c>
      <c r="AH877" t="s">
        <v>787</v>
      </c>
    </row>
    <row r="878" spans="1:34" ht="18.75" customHeight="1" x14ac:dyDescent="0.3">
      <c r="A878" s="1">
        <v>2001138302011</v>
      </c>
      <c r="B878" t="s">
        <v>210</v>
      </c>
      <c r="C878" t="s">
        <v>3076</v>
      </c>
      <c r="D878" t="s">
        <v>3067</v>
      </c>
      <c r="E878" t="s">
        <v>1354</v>
      </c>
      <c r="M878" t="s">
        <v>2546</v>
      </c>
      <c r="O878" t="s">
        <v>3055</v>
      </c>
      <c r="AH878" t="s">
        <v>787</v>
      </c>
    </row>
    <row r="879" spans="1:34" ht="18.75" customHeight="1" x14ac:dyDescent="0.3">
      <c r="A879" s="1">
        <v>2023138308245</v>
      </c>
      <c r="B879" t="s">
        <v>125</v>
      </c>
      <c r="C879" t="s">
        <v>3077</v>
      </c>
      <c r="D879" t="s">
        <v>3078</v>
      </c>
      <c r="E879" t="s">
        <v>1354</v>
      </c>
      <c r="M879" t="s">
        <v>3079</v>
      </c>
      <c r="N879" t="s">
        <v>127</v>
      </c>
      <c r="O879" t="s">
        <v>3080</v>
      </c>
      <c r="AH879" t="s">
        <v>787</v>
      </c>
    </row>
    <row r="880" spans="1:34" ht="18.75" customHeight="1" x14ac:dyDescent="0.3">
      <c r="A880" s="1">
        <v>2021138304362</v>
      </c>
      <c r="B880" t="s">
        <v>125</v>
      </c>
      <c r="C880" t="s">
        <v>3081</v>
      </c>
      <c r="D880" t="s">
        <v>3078</v>
      </c>
      <c r="E880" t="s">
        <v>1354</v>
      </c>
      <c r="M880" t="s">
        <v>3079</v>
      </c>
      <c r="N880" t="s">
        <v>127</v>
      </c>
      <c r="O880" t="s">
        <v>3082</v>
      </c>
      <c r="AH880" t="s">
        <v>787</v>
      </c>
    </row>
    <row r="881" spans="1:40" ht="18.75" customHeight="1" x14ac:dyDescent="0.3">
      <c r="A881" s="1">
        <v>2018131805249</v>
      </c>
      <c r="B881" t="s">
        <v>106</v>
      </c>
      <c r="C881" t="s">
        <v>3083</v>
      </c>
      <c r="D881" t="s">
        <v>855</v>
      </c>
      <c r="E881" t="s">
        <v>43</v>
      </c>
      <c r="G881">
        <v>43279</v>
      </c>
      <c r="H881">
        <v>44117</v>
      </c>
      <c r="I881">
        <v>46023</v>
      </c>
      <c r="L881" t="s">
        <v>45</v>
      </c>
      <c r="M881" t="s">
        <v>46</v>
      </c>
      <c r="N881" t="s">
        <v>727</v>
      </c>
      <c r="O881" t="s">
        <v>608</v>
      </c>
      <c r="Q881" t="s">
        <v>49</v>
      </c>
      <c r="R881">
        <v>3</v>
      </c>
      <c r="U881">
        <v>1202900850</v>
      </c>
      <c r="W881">
        <v>30201101700615</v>
      </c>
      <c r="X881">
        <v>37266</v>
      </c>
      <c r="Y881" t="s">
        <v>767</v>
      </c>
      <c r="Z881">
        <v>0</v>
      </c>
      <c r="AA881">
        <v>0</v>
      </c>
      <c r="AB881">
        <v>0</v>
      </c>
      <c r="AC881" t="s">
        <v>3084</v>
      </c>
      <c r="AD881" t="s">
        <v>1447</v>
      </c>
      <c r="AE881" t="s">
        <v>167</v>
      </c>
      <c r="AF881">
        <v>58</v>
      </c>
      <c r="AG881" t="str">
        <f>IF([2]!Table1[[#This Row],[الوزن]]&lt;&gt;"",[2]!Table1[[#This Row],[الوزن]]-([2]!Table1[[#This Row],[الطول]]-100),"")</f>
        <v/>
      </c>
      <c r="AH881">
        <v>-11</v>
      </c>
      <c r="AI881" t="s">
        <v>955</v>
      </c>
      <c r="AN881" t="s">
        <v>145</v>
      </c>
    </row>
    <row r="882" spans="1:40" ht="18.75" customHeight="1" x14ac:dyDescent="0.3">
      <c r="A882" s="1">
        <v>2015138323480</v>
      </c>
      <c r="B882" t="s">
        <v>106</v>
      </c>
      <c r="C882" t="s">
        <v>3085</v>
      </c>
      <c r="D882" t="s">
        <v>3078</v>
      </c>
      <c r="E882" t="s">
        <v>1354</v>
      </c>
      <c r="M882" t="s">
        <v>3079</v>
      </c>
      <c r="N882" t="s">
        <v>127</v>
      </c>
      <c r="O882" t="s">
        <v>3086</v>
      </c>
      <c r="AH882" t="s">
        <v>787</v>
      </c>
    </row>
    <row r="883" spans="1:40" ht="18.75" customHeight="1" x14ac:dyDescent="0.3">
      <c r="A883" s="1">
        <v>2016138304090</v>
      </c>
      <c r="B883" t="s">
        <v>106</v>
      </c>
      <c r="C883" t="s">
        <v>3087</v>
      </c>
      <c r="D883" t="s">
        <v>3078</v>
      </c>
      <c r="E883" t="s">
        <v>1354</v>
      </c>
      <c r="M883" t="s">
        <v>3079</v>
      </c>
      <c r="N883" t="s">
        <v>127</v>
      </c>
      <c r="O883" t="s">
        <v>3088</v>
      </c>
      <c r="AH883" t="s">
        <v>787</v>
      </c>
    </row>
    <row r="884" spans="1:40" ht="18.75" customHeight="1" x14ac:dyDescent="0.3">
      <c r="A884" s="1">
        <v>2008138303338</v>
      </c>
      <c r="B884" t="s">
        <v>57</v>
      </c>
      <c r="C884" t="s">
        <v>3089</v>
      </c>
      <c r="D884" t="s">
        <v>3078</v>
      </c>
      <c r="E884" t="s">
        <v>1354</v>
      </c>
      <c r="M884" t="s">
        <v>3079</v>
      </c>
      <c r="N884" t="s">
        <v>127</v>
      </c>
      <c r="O884" t="s">
        <v>3090</v>
      </c>
      <c r="AH884" t="s">
        <v>787</v>
      </c>
    </row>
    <row r="885" spans="1:40" ht="18.75" customHeight="1" x14ac:dyDescent="0.3">
      <c r="A885" s="1">
        <v>2013134702319</v>
      </c>
      <c r="B885" t="s">
        <v>57</v>
      </c>
      <c r="C885" t="s">
        <v>3091</v>
      </c>
      <c r="D885" t="s">
        <v>3078</v>
      </c>
      <c r="E885" t="s">
        <v>1354</v>
      </c>
      <c r="M885" t="s">
        <v>3079</v>
      </c>
      <c r="N885" t="s">
        <v>47</v>
      </c>
      <c r="O885" t="s">
        <v>3092</v>
      </c>
      <c r="AH885" t="s">
        <v>787</v>
      </c>
    </row>
    <row r="886" spans="1:40" ht="18.75" customHeight="1" x14ac:dyDescent="0.3">
      <c r="A886" s="1">
        <v>2007138305948</v>
      </c>
      <c r="B886" t="s">
        <v>57</v>
      </c>
      <c r="C886" t="s">
        <v>3093</v>
      </c>
      <c r="D886" t="s">
        <v>3078</v>
      </c>
      <c r="E886" t="s">
        <v>1354</v>
      </c>
      <c r="M886" t="s">
        <v>3079</v>
      </c>
      <c r="N886" t="s">
        <v>127</v>
      </c>
      <c r="O886" t="s">
        <v>3086</v>
      </c>
      <c r="AH886" t="s">
        <v>787</v>
      </c>
    </row>
    <row r="887" spans="1:40" ht="18.75" customHeight="1" x14ac:dyDescent="0.3">
      <c r="A887" s="1">
        <v>2023138308154</v>
      </c>
      <c r="B887" t="s">
        <v>125</v>
      </c>
      <c r="C887" t="s">
        <v>3094</v>
      </c>
      <c r="D887" t="s">
        <v>3095</v>
      </c>
      <c r="E887" t="s">
        <v>1354</v>
      </c>
      <c r="M887" t="s">
        <v>3079</v>
      </c>
      <c r="N887" t="s">
        <v>127</v>
      </c>
      <c r="O887" t="s">
        <v>3082</v>
      </c>
      <c r="AH887" t="s">
        <v>787</v>
      </c>
    </row>
    <row r="888" spans="1:40" ht="18.75" customHeight="1" x14ac:dyDescent="0.3">
      <c r="A888" s="1">
        <v>2019138304838</v>
      </c>
      <c r="B888" t="s">
        <v>125</v>
      </c>
      <c r="C888" t="s">
        <v>3096</v>
      </c>
      <c r="D888" t="s">
        <v>3095</v>
      </c>
      <c r="E888" t="s">
        <v>1354</v>
      </c>
      <c r="M888" t="s">
        <v>3079</v>
      </c>
      <c r="N888" t="s">
        <v>127</v>
      </c>
      <c r="O888" t="s">
        <v>3088</v>
      </c>
      <c r="AH888" t="s">
        <v>787</v>
      </c>
    </row>
    <row r="889" spans="1:40" ht="18.75" customHeight="1" x14ac:dyDescent="0.3">
      <c r="A889" s="1">
        <v>2019138310702</v>
      </c>
      <c r="B889" t="s">
        <v>125</v>
      </c>
      <c r="C889" t="s">
        <v>3097</v>
      </c>
      <c r="D889" t="s">
        <v>3095</v>
      </c>
      <c r="E889" t="s">
        <v>1354</v>
      </c>
      <c r="M889" t="s">
        <v>3079</v>
      </c>
      <c r="N889" t="s">
        <v>127</v>
      </c>
      <c r="O889" t="s">
        <v>3098</v>
      </c>
      <c r="AH889" t="s">
        <v>787</v>
      </c>
    </row>
    <row r="890" spans="1:40" ht="18.75" customHeight="1" x14ac:dyDescent="0.3">
      <c r="A890" s="1">
        <v>2015138314687</v>
      </c>
      <c r="B890" t="s">
        <v>106</v>
      </c>
      <c r="C890" t="s">
        <v>3099</v>
      </c>
      <c r="D890" t="s">
        <v>3095</v>
      </c>
      <c r="E890" t="s">
        <v>1354</v>
      </c>
      <c r="M890" t="s">
        <v>3079</v>
      </c>
      <c r="N890" t="s">
        <v>127</v>
      </c>
      <c r="O890" t="s">
        <v>3100</v>
      </c>
      <c r="AH890" t="s">
        <v>787</v>
      </c>
    </row>
    <row r="891" spans="1:40" ht="18.75" customHeight="1" x14ac:dyDescent="0.3">
      <c r="A891" s="1">
        <v>2015138321799</v>
      </c>
      <c r="B891" t="s">
        <v>106</v>
      </c>
      <c r="C891" t="s">
        <v>3101</v>
      </c>
      <c r="D891" t="s">
        <v>3095</v>
      </c>
      <c r="E891" t="s">
        <v>1354</v>
      </c>
      <c r="M891" t="s">
        <v>3079</v>
      </c>
      <c r="N891" t="s">
        <v>127</v>
      </c>
      <c r="O891" t="s">
        <v>3102</v>
      </c>
      <c r="AH891" t="s">
        <v>787</v>
      </c>
    </row>
    <row r="892" spans="1:40" ht="18.75" customHeight="1" x14ac:dyDescent="0.3">
      <c r="A892" s="1">
        <v>2013138312304</v>
      </c>
      <c r="B892" t="s">
        <v>75</v>
      </c>
      <c r="C892" t="s">
        <v>3103</v>
      </c>
      <c r="D892" t="s">
        <v>3095</v>
      </c>
      <c r="E892" t="s">
        <v>1354</v>
      </c>
      <c r="M892" t="s">
        <v>3079</v>
      </c>
      <c r="N892" t="s">
        <v>127</v>
      </c>
      <c r="O892" t="s">
        <v>3086</v>
      </c>
      <c r="AH892" t="s">
        <v>787</v>
      </c>
    </row>
    <row r="893" spans="1:40" ht="18.75" customHeight="1" x14ac:dyDescent="0.3">
      <c r="A893" s="1">
        <v>2014138327252</v>
      </c>
      <c r="B893" t="s">
        <v>75</v>
      </c>
      <c r="C893" t="s">
        <v>3104</v>
      </c>
      <c r="D893" t="s">
        <v>3095</v>
      </c>
      <c r="E893" t="s">
        <v>1354</v>
      </c>
      <c r="M893" t="s">
        <v>3079</v>
      </c>
      <c r="N893" t="s">
        <v>127</v>
      </c>
      <c r="O893" t="s">
        <v>1105</v>
      </c>
      <c r="AH893" t="s">
        <v>787</v>
      </c>
    </row>
    <row r="894" spans="1:40" ht="18.75" customHeight="1" x14ac:dyDescent="0.3">
      <c r="A894" s="1">
        <v>2013138312924</v>
      </c>
      <c r="B894" t="s">
        <v>75</v>
      </c>
      <c r="C894" t="s">
        <v>3105</v>
      </c>
      <c r="D894" t="s">
        <v>3095</v>
      </c>
      <c r="E894" t="s">
        <v>1354</v>
      </c>
      <c r="M894" t="s">
        <v>3079</v>
      </c>
      <c r="N894" t="s">
        <v>127</v>
      </c>
      <c r="O894" t="s">
        <v>3086</v>
      </c>
      <c r="AH894" t="s">
        <v>787</v>
      </c>
    </row>
    <row r="895" spans="1:40" ht="18.75" customHeight="1" x14ac:dyDescent="0.3">
      <c r="A895" s="1">
        <v>2004130400429</v>
      </c>
      <c r="B895" t="s">
        <v>210</v>
      </c>
      <c r="C895" t="s">
        <v>3106</v>
      </c>
      <c r="D895" t="s">
        <v>3107</v>
      </c>
      <c r="E895" t="s">
        <v>1354</v>
      </c>
      <c r="F895">
        <v>132</v>
      </c>
      <c r="G895">
        <v>38175</v>
      </c>
      <c r="H895">
        <v>38657</v>
      </c>
      <c r="I895">
        <v>46023</v>
      </c>
      <c r="J895">
        <v>45223</v>
      </c>
      <c r="K895">
        <v>45223</v>
      </c>
      <c r="M895" t="s">
        <v>3108</v>
      </c>
      <c r="N895" t="s">
        <v>78</v>
      </c>
      <c r="O895" t="s">
        <v>620</v>
      </c>
      <c r="P895" t="s">
        <v>49</v>
      </c>
      <c r="R895">
        <v>0</v>
      </c>
      <c r="S895">
        <v>0</v>
      </c>
      <c r="T895">
        <v>0</v>
      </c>
      <c r="U895" t="s">
        <v>3109</v>
      </c>
      <c r="V895" t="s">
        <v>3110</v>
      </c>
      <c r="W895">
        <v>28606212201937</v>
      </c>
      <c r="X895">
        <v>31584</v>
      </c>
      <c r="Y895" t="s">
        <v>103</v>
      </c>
      <c r="Z895">
        <v>3</v>
      </c>
      <c r="AA895">
        <v>2</v>
      </c>
      <c r="AB895">
        <v>1</v>
      </c>
      <c r="AC895" t="s">
        <v>3111</v>
      </c>
      <c r="AF895">
        <v>78</v>
      </c>
      <c r="AG895">
        <v>180</v>
      </c>
      <c r="AH895">
        <v>-2</v>
      </c>
      <c r="AJ895" t="s">
        <v>3112</v>
      </c>
      <c r="AN895" t="s">
        <v>625</v>
      </c>
    </row>
    <row r="896" spans="1:40" ht="18.75" customHeight="1" x14ac:dyDescent="0.3">
      <c r="A896" s="1">
        <v>2009138300390</v>
      </c>
      <c r="B896" t="s">
        <v>57</v>
      </c>
      <c r="C896" t="s">
        <v>3113</v>
      </c>
      <c r="D896" t="s">
        <v>3107</v>
      </c>
      <c r="E896" t="s">
        <v>1354</v>
      </c>
      <c r="F896">
        <v>141</v>
      </c>
      <c r="G896">
        <v>39837</v>
      </c>
      <c r="H896">
        <v>40308</v>
      </c>
      <c r="I896">
        <v>45839</v>
      </c>
      <c r="J896">
        <v>44501</v>
      </c>
      <c r="K896">
        <v>44501</v>
      </c>
      <c r="M896" t="s">
        <v>3114</v>
      </c>
      <c r="N896" t="s">
        <v>127</v>
      </c>
      <c r="O896" t="s">
        <v>3115</v>
      </c>
      <c r="P896" t="s">
        <v>49</v>
      </c>
      <c r="R896">
        <v>1</v>
      </c>
      <c r="S896">
        <v>0</v>
      </c>
      <c r="T896">
        <v>0</v>
      </c>
      <c r="U896" t="s">
        <v>3116</v>
      </c>
      <c r="V896" t="s">
        <v>3117</v>
      </c>
      <c r="W896">
        <v>28607020201816</v>
      </c>
      <c r="X896">
        <v>31595</v>
      </c>
      <c r="Y896" t="s">
        <v>103</v>
      </c>
      <c r="Z896">
        <v>3</v>
      </c>
      <c r="AA896">
        <v>1</v>
      </c>
      <c r="AB896">
        <v>2</v>
      </c>
      <c r="AC896" t="s">
        <v>3118</v>
      </c>
      <c r="AF896">
        <v>82</v>
      </c>
      <c r="AG896">
        <v>182</v>
      </c>
      <c r="AH896">
        <v>0</v>
      </c>
      <c r="AJ896" t="s">
        <v>3119</v>
      </c>
      <c r="AN896" t="s">
        <v>625</v>
      </c>
    </row>
    <row r="897" spans="1:40" ht="18.75" customHeight="1" x14ac:dyDescent="0.3">
      <c r="A897" s="1">
        <v>2014132401127</v>
      </c>
      <c r="B897" t="s">
        <v>75</v>
      </c>
      <c r="C897" t="s">
        <v>3120</v>
      </c>
      <c r="D897" t="s">
        <v>3107</v>
      </c>
      <c r="E897" t="s">
        <v>1354</v>
      </c>
      <c r="F897">
        <v>152</v>
      </c>
      <c r="G897">
        <v>41853</v>
      </c>
      <c r="H897">
        <v>42326</v>
      </c>
      <c r="I897">
        <v>46023</v>
      </c>
      <c r="J897">
        <v>44501</v>
      </c>
      <c r="K897">
        <v>44501</v>
      </c>
      <c r="M897" t="s">
        <v>1171</v>
      </c>
      <c r="N897" t="s">
        <v>1172</v>
      </c>
      <c r="O897" t="s">
        <v>3121</v>
      </c>
      <c r="Q897" t="s">
        <v>49</v>
      </c>
      <c r="R897">
        <v>4</v>
      </c>
      <c r="S897">
        <v>0</v>
      </c>
      <c r="T897">
        <v>0</v>
      </c>
      <c r="U897" t="s">
        <v>3122</v>
      </c>
      <c r="V897" t="s">
        <v>3123</v>
      </c>
      <c r="W897">
        <v>29803010202757</v>
      </c>
      <c r="X897">
        <v>35855</v>
      </c>
      <c r="Y897" t="s">
        <v>103</v>
      </c>
      <c r="Z897">
        <v>1</v>
      </c>
      <c r="AA897">
        <v>1</v>
      </c>
      <c r="AB897">
        <v>0</v>
      </c>
      <c r="AC897" t="s">
        <v>3124</v>
      </c>
      <c r="AF897">
        <v>70</v>
      </c>
      <c r="AG897">
        <v>166</v>
      </c>
      <c r="AH897">
        <v>4</v>
      </c>
      <c r="AJ897" t="s">
        <v>3125</v>
      </c>
      <c r="AN897" t="s">
        <v>625</v>
      </c>
    </row>
    <row r="898" spans="1:40" ht="18.75" customHeight="1" x14ac:dyDescent="0.3">
      <c r="A898" s="1">
        <v>2021131807701</v>
      </c>
      <c r="B898" t="s">
        <v>125</v>
      </c>
      <c r="C898" t="s">
        <v>3126</v>
      </c>
      <c r="D898" t="s">
        <v>42</v>
      </c>
      <c r="E898" t="s">
        <v>43</v>
      </c>
      <c r="F898">
        <v>160</v>
      </c>
      <c r="G898">
        <v>44205</v>
      </c>
      <c r="H898">
        <v>45197</v>
      </c>
      <c r="I898">
        <v>45197</v>
      </c>
      <c r="J898">
        <v>45214</v>
      </c>
      <c r="K898">
        <v>45214</v>
      </c>
      <c r="L898" t="s">
        <v>77</v>
      </c>
      <c r="M898" t="s">
        <v>46</v>
      </c>
      <c r="N898" t="s">
        <v>727</v>
      </c>
      <c r="O898" t="s">
        <v>608</v>
      </c>
      <c r="P898" t="s">
        <v>49</v>
      </c>
      <c r="R898">
        <v>0</v>
      </c>
      <c r="S898">
        <v>0</v>
      </c>
      <c r="T898">
        <v>0</v>
      </c>
      <c r="U898" t="s">
        <v>3127</v>
      </c>
      <c r="W898">
        <v>30203201500233</v>
      </c>
      <c r="X898">
        <v>37335</v>
      </c>
      <c r="Y898" t="s">
        <v>51</v>
      </c>
      <c r="Z898">
        <v>0</v>
      </c>
      <c r="AA898">
        <v>0</v>
      </c>
      <c r="AB898">
        <v>0</v>
      </c>
      <c r="AC898" t="s">
        <v>3128</v>
      </c>
      <c r="AD898" t="s">
        <v>1457</v>
      </c>
      <c r="AE898" t="s">
        <v>242</v>
      </c>
      <c r="AF898">
        <v>78</v>
      </c>
      <c r="AG898">
        <v>174</v>
      </c>
      <c r="AH898">
        <f>IF([2]!Table1[[#This Row],[الوزن]]&lt;&gt;"",[2]!Table1[[#This Row],[الوزن]]-([2]!Table1[[#This Row],[الطول]]-100),"")</f>
        <v>-5</v>
      </c>
      <c r="AJ898" t="s">
        <v>298</v>
      </c>
      <c r="AN898" t="s">
        <v>56</v>
      </c>
    </row>
    <row r="899" spans="1:40" ht="18.75" customHeight="1" x14ac:dyDescent="0.3">
      <c r="A899" s="1">
        <v>2018132702600</v>
      </c>
      <c r="B899" t="s">
        <v>75</v>
      </c>
      <c r="C899" t="s">
        <v>3129</v>
      </c>
      <c r="D899" t="s">
        <v>3107</v>
      </c>
      <c r="E899" t="s">
        <v>1354</v>
      </c>
      <c r="F899" t="s">
        <v>3130</v>
      </c>
      <c r="G899">
        <v>43394</v>
      </c>
      <c r="H899">
        <v>44123</v>
      </c>
      <c r="I899">
        <v>46023</v>
      </c>
      <c r="J899">
        <v>45964</v>
      </c>
      <c r="K899">
        <v>45964</v>
      </c>
      <c r="M899" t="s">
        <v>264</v>
      </c>
      <c r="N899" t="s">
        <v>127</v>
      </c>
      <c r="O899" t="s">
        <v>1237</v>
      </c>
      <c r="Q899" t="s">
        <v>49</v>
      </c>
      <c r="R899">
        <v>3</v>
      </c>
      <c r="S899">
        <v>0</v>
      </c>
      <c r="T899">
        <v>0</v>
      </c>
      <c r="U899" t="s">
        <v>3131</v>
      </c>
      <c r="V899" t="s">
        <v>3132</v>
      </c>
      <c r="W899">
        <v>30008271600556</v>
      </c>
      <c r="X899">
        <v>36765</v>
      </c>
      <c r="Y899" t="s">
        <v>153</v>
      </c>
      <c r="Z899">
        <v>0</v>
      </c>
      <c r="AA899">
        <v>0</v>
      </c>
      <c r="AB899">
        <v>0</v>
      </c>
      <c r="AC899" t="s">
        <v>3133</v>
      </c>
      <c r="AF899">
        <v>65</v>
      </c>
      <c r="AG899">
        <v>170</v>
      </c>
      <c r="AH899">
        <v>-5</v>
      </c>
      <c r="AJ899" t="s">
        <v>3134</v>
      </c>
      <c r="AN899" t="s">
        <v>625</v>
      </c>
    </row>
    <row r="900" spans="1:40" ht="18.75" customHeight="1" x14ac:dyDescent="0.3">
      <c r="A900" s="1">
        <v>2019134702953</v>
      </c>
      <c r="B900" t="s">
        <v>125</v>
      </c>
      <c r="C900" t="s">
        <v>3135</v>
      </c>
      <c r="D900" t="s">
        <v>3107</v>
      </c>
      <c r="E900" t="s">
        <v>1354</v>
      </c>
      <c r="F900">
        <v>159</v>
      </c>
      <c r="G900">
        <v>43692</v>
      </c>
      <c r="H900">
        <v>45212</v>
      </c>
      <c r="I900">
        <v>45212</v>
      </c>
      <c r="J900">
        <v>45977</v>
      </c>
      <c r="K900">
        <v>45977</v>
      </c>
      <c r="M900" t="s">
        <v>342</v>
      </c>
      <c r="N900" t="s">
        <v>47</v>
      </c>
      <c r="O900" t="s">
        <v>3136</v>
      </c>
      <c r="P900" t="s">
        <v>49</v>
      </c>
      <c r="R900">
        <v>0</v>
      </c>
      <c r="S900">
        <v>0</v>
      </c>
      <c r="T900">
        <v>0</v>
      </c>
      <c r="U900" t="s">
        <v>3137</v>
      </c>
      <c r="V900" t="s">
        <v>3138</v>
      </c>
      <c r="W900">
        <v>29809291701194</v>
      </c>
      <c r="X900">
        <v>35761</v>
      </c>
      <c r="Y900" t="s">
        <v>103</v>
      </c>
      <c r="Z900">
        <v>1</v>
      </c>
      <c r="AA900">
        <v>1</v>
      </c>
      <c r="AB900">
        <v>0</v>
      </c>
      <c r="AC900" t="s">
        <v>3139</v>
      </c>
      <c r="AF900">
        <v>69</v>
      </c>
      <c r="AG900">
        <v>173</v>
      </c>
      <c r="AH900">
        <v>-4</v>
      </c>
      <c r="AJ900" t="s">
        <v>3140</v>
      </c>
      <c r="AN900" t="s">
        <v>625</v>
      </c>
    </row>
    <row r="901" spans="1:40" ht="18.75" customHeight="1" x14ac:dyDescent="0.3">
      <c r="A901" s="1">
        <v>2021134708162</v>
      </c>
      <c r="B901" t="s">
        <v>125</v>
      </c>
      <c r="C901" t="s">
        <v>3141</v>
      </c>
      <c r="D901" t="s">
        <v>3107</v>
      </c>
      <c r="E901" t="s">
        <v>1354</v>
      </c>
      <c r="F901">
        <v>160</v>
      </c>
      <c r="G901">
        <v>44205</v>
      </c>
      <c r="H901">
        <v>45197</v>
      </c>
      <c r="I901">
        <v>45197</v>
      </c>
      <c r="J901">
        <v>45977</v>
      </c>
      <c r="K901">
        <v>45977</v>
      </c>
      <c r="M901" t="s">
        <v>342</v>
      </c>
      <c r="N901" t="s">
        <v>47</v>
      </c>
      <c r="O901" t="s">
        <v>372</v>
      </c>
      <c r="P901" t="s">
        <v>49</v>
      </c>
      <c r="R901">
        <v>2</v>
      </c>
      <c r="S901">
        <v>0</v>
      </c>
      <c r="T901">
        <v>0</v>
      </c>
      <c r="U901" t="s">
        <v>3142</v>
      </c>
      <c r="V901" t="s">
        <v>3138</v>
      </c>
      <c r="W901">
        <v>29809291701194</v>
      </c>
      <c r="X901">
        <v>36067</v>
      </c>
      <c r="Y901" t="s">
        <v>153</v>
      </c>
      <c r="Z901">
        <v>0</v>
      </c>
      <c r="AA901">
        <v>0</v>
      </c>
      <c r="AB901">
        <v>0</v>
      </c>
      <c r="AC901" t="s">
        <v>3143</v>
      </c>
      <c r="AF901">
        <v>83</v>
      </c>
      <c r="AG901">
        <v>179</v>
      </c>
      <c r="AH901">
        <v>4</v>
      </c>
      <c r="AJ901" t="s">
        <v>3144</v>
      </c>
      <c r="AN901" t="s">
        <v>625</v>
      </c>
    </row>
    <row r="902" spans="1:40" ht="18.75" customHeight="1" x14ac:dyDescent="0.3">
      <c r="A902" s="1">
        <v>2019134703084</v>
      </c>
      <c r="B902" t="s">
        <v>125</v>
      </c>
      <c r="C902" t="s">
        <v>3145</v>
      </c>
      <c r="D902" t="s">
        <v>3146</v>
      </c>
      <c r="E902" t="s">
        <v>1354</v>
      </c>
      <c r="M902" t="s">
        <v>342</v>
      </c>
      <c r="O902" t="s">
        <v>372</v>
      </c>
      <c r="AH902" t="s">
        <v>787</v>
      </c>
    </row>
    <row r="903" spans="1:40" ht="18.75" customHeight="1" x14ac:dyDescent="0.3">
      <c r="A903" s="1">
        <v>2019134703000</v>
      </c>
      <c r="B903" t="s">
        <v>125</v>
      </c>
      <c r="C903" t="s">
        <v>3147</v>
      </c>
      <c r="D903" t="s">
        <v>3146</v>
      </c>
      <c r="E903" t="s">
        <v>1354</v>
      </c>
      <c r="M903" t="s">
        <v>342</v>
      </c>
      <c r="O903" t="s">
        <v>372</v>
      </c>
      <c r="AH903" t="s">
        <v>787</v>
      </c>
    </row>
    <row r="904" spans="1:40" ht="18.75" customHeight="1" x14ac:dyDescent="0.3">
      <c r="A904" s="1">
        <v>2019130403555</v>
      </c>
      <c r="B904" t="s">
        <v>125</v>
      </c>
      <c r="C904" t="s">
        <v>3148</v>
      </c>
      <c r="D904" t="s">
        <v>3146</v>
      </c>
      <c r="E904" t="s">
        <v>1354</v>
      </c>
      <c r="M904" t="s">
        <v>342</v>
      </c>
      <c r="O904" t="s">
        <v>379</v>
      </c>
      <c r="AH904" t="s">
        <v>787</v>
      </c>
    </row>
    <row r="905" spans="1:40" ht="18.75" customHeight="1" x14ac:dyDescent="0.3">
      <c r="A905" s="1">
        <v>2023134700106</v>
      </c>
      <c r="B905" t="s">
        <v>125</v>
      </c>
      <c r="C905" t="s">
        <v>3149</v>
      </c>
      <c r="D905" t="s">
        <v>3146</v>
      </c>
      <c r="E905" t="s">
        <v>1354</v>
      </c>
      <c r="M905" t="s">
        <v>342</v>
      </c>
      <c r="O905" t="s">
        <v>3150</v>
      </c>
      <c r="AH905" t="s">
        <v>787</v>
      </c>
    </row>
    <row r="906" spans="1:40" ht="18.75" customHeight="1" x14ac:dyDescent="0.3">
      <c r="A906" s="1">
        <v>2015134708743</v>
      </c>
      <c r="B906" t="s">
        <v>106</v>
      </c>
      <c r="C906" t="s">
        <v>3151</v>
      </c>
      <c r="D906" t="s">
        <v>3146</v>
      </c>
      <c r="E906" t="s">
        <v>1354</v>
      </c>
      <c r="M906" t="s">
        <v>342</v>
      </c>
      <c r="O906" t="s">
        <v>2426</v>
      </c>
      <c r="AH906" t="s">
        <v>787</v>
      </c>
    </row>
    <row r="907" spans="1:40" ht="18.75" customHeight="1" x14ac:dyDescent="0.3">
      <c r="A907" s="1">
        <v>2018131811361</v>
      </c>
      <c r="B907" t="s">
        <v>106</v>
      </c>
      <c r="C907" t="s">
        <v>3152</v>
      </c>
      <c r="D907" t="s">
        <v>3146</v>
      </c>
      <c r="E907" t="s">
        <v>1354</v>
      </c>
      <c r="M907" t="s">
        <v>342</v>
      </c>
      <c r="O907" t="s">
        <v>308</v>
      </c>
      <c r="AH907" t="s">
        <v>787</v>
      </c>
    </row>
    <row r="908" spans="1:40" ht="18.75" customHeight="1" x14ac:dyDescent="0.3">
      <c r="A908" s="1">
        <v>2015134704759</v>
      </c>
      <c r="B908" t="s">
        <v>106</v>
      </c>
      <c r="C908" t="s">
        <v>3153</v>
      </c>
      <c r="D908" t="s">
        <v>3146</v>
      </c>
      <c r="E908" t="s">
        <v>1354</v>
      </c>
      <c r="M908" t="s">
        <v>342</v>
      </c>
      <c r="O908" t="s">
        <v>2426</v>
      </c>
      <c r="AH908" t="s">
        <v>787</v>
      </c>
    </row>
    <row r="909" spans="1:40" ht="18.75" customHeight="1" x14ac:dyDescent="0.3">
      <c r="A909" s="1">
        <v>2017130402345</v>
      </c>
      <c r="B909" t="s">
        <v>106</v>
      </c>
      <c r="C909" t="s">
        <v>3154</v>
      </c>
      <c r="D909" t="s">
        <v>3146</v>
      </c>
      <c r="E909" t="s">
        <v>1354</v>
      </c>
      <c r="M909" t="s">
        <v>342</v>
      </c>
      <c r="O909" t="s">
        <v>379</v>
      </c>
      <c r="AH909" t="s">
        <v>787</v>
      </c>
    </row>
    <row r="910" spans="1:40" ht="18.75" customHeight="1" x14ac:dyDescent="0.3">
      <c r="A910" s="1">
        <v>2015134703488</v>
      </c>
      <c r="B910" t="s">
        <v>106</v>
      </c>
      <c r="C910" t="s">
        <v>3155</v>
      </c>
      <c r="D910" t="s">
        <v>3146</v>
      </c>
      <c r="E910" t="s">
        <v>1354</v>
      </c>
      <c r="M910" t="s">
        <v>342</v>
      </c>
      <c r="O910" t="s">
        <v>2426</v>
      </c>
      <c r="AH910" t="s">
        <v>787</v>
      </c>
    </row>
    <row r="911" spans="1:40" ht="18.75" customHeight="1" x14ac:dyDescent="0.3">
      <c r="A911" s="1">
        <v>2011138308612</v>
      </c>
      <c r="B911" t="s">
        <v>75</v>
      </c>
      <c r="C911" t="s">
        <v>3156</v>
      </c>
      <c r="D911" t="s">
        <v>3146</v>
      </c>
      <c r="E911" t="s">
        <v>1354</v>
      </c>
      <c r="M911" t="s">
        <v>342</v>
      </c>
      <c r="O911" t="s">
        <v>3157</v>
      </c>
      <c r="AH911" t="s">
        <v>787</v>
      </c>
    </row>
    <row r="912" spans="1:40" ht="18.75" customHeight="1" x14ac:dyDescent="0.3">
      <c r="A912" s="1">
        <v>2018134707137</v>
      </c>
      <c r="B912" t="s">
        <v>75</v>
      </c>
      <c r="C912" t="s">
        <v>3158</v>
      </c>
      <c r="D912" t="s">
        <v>3146</v>
      </c>
      <c r="E912" t="s">
        <v>1354</v>
      </c>
      <c r="M912" t="s">
        <v>342</v>
      </c>
      <c r="O912" t="s">
        <v>3150</v>
      </c>
      <c r="AH912" t="s">
        <v>787</v>
      </c>
    </row>
    <row r="913" spans="1:34" ht="18.75" customHeight="1" x14ac:dyDescent="0.3">
      <c r="A913" s="1">
        <v>2016134703329</v>
      </c>
      <c r="B913" t="s">
        <v>75</v>
      </c>
      <c r="C913" t="s">
        <v>3159</v>
      </c>
      <c r="D913" t="s">
        <v>3146</v>
      </c>
      <c r="E913" t="s">
        <v>1354</v>
      </c>
      <c r="M913" t="s">
        <v>342</v>
      </c>
      <c r="O913" t="s">
        <v>3150</v>
      </c>
      <c r="AH913" t="s">
        <v>787</v>
      </c>
    </row>
    <row r="914" spans="1:34" ht="18.75" customHeight="1" x14ac:dyDescent="0.3">
      <c r="A914" s="1">
        <v>2017134705125</v>
      </c>
      <c r="B914" t="s">
        <v>75</v>
      </c>
      <c r="C914" t="s">
        <v>3160</v>
      </c>
      <c r="D914" t="s">
        <v>3146</v>
      </c>
      <c r="E914" t="s">
        <v>1354</v>
      </c>
      <c r="M914" t="s">
        <v>342</v>
      </c>
      <c r="O914" t="s">
        <v>491</v>
      </c>
      <c r="AH914" t="s">
        <v>787</v>
      </c>
    </row>
    <row r="915" spans="1:34" ht="18.75" customHeight="1" x14ac:dyDescent="0.3">
      <c r="A915" s="1">
        <v>2010138306428</v>
      </c>
      <c r="B915" t="s">
        <v>75</v>
      </c>
      <c r="C915" t="s">
        <v>3161</v>
      </c>
      <c r="D915" t="s">
        <v>3146</v>
      </c>
      <c r="E915" t="s">
        <v>1354</v>
      </c>
      <c r="M915" t="s">
        <v>342</v>
      </c>
      <c r="O915" t="s">
        <v>3162</v>
      </c>
      <c r="AH915" t="s">
        <v>787</v>
      </c>
    </row>
    <row r="916" spans="1:34" ht="18.75" customHeight="1" x14ac:dyDescent="0.3">
      <c r="A916" s="1">
        <v>2016134703204</v>
      </c>
      <c r="B916" t="s">
        <v>75</v>
      </c>
      <c r="C916" t="s">
        <v>3163</v>
      </c>
      <c r="D916" t="s">
        <v>3146</v>
      </c>
      <c r="E916" t="s">
        <v>1354</v>
      </c>
      <c r="M916" t="s">
        <v>342</v>
      </c>
      <c r="O916" t="s">
        <v>372</v>
      </c>
      <c r="AH916" t="s">
        <v>787</v>
      </c>
    </row>
    <row r="917" spans="1:34" ht="18.75" customHeight="1" x14ac:dyDescent="0.3">
      <c r="A917" s="1">
        <v>2014134703828</v>
      </c>
      <c r="B917" t="s">
        <v>75</v>
      </c>
      <c r="C917" t="s">
        <v>3164</v>
      </c>
      <c r="D917" t="s">
        <v>3146</v>
      </c>
      <c r="E917" t="s">
        <v>1354</v>
      </c>
      <c r="M917" t="s">
        <v>342</v>
      </c>
      <c r="O917" t="s">
        <v>2426</v>
      </c>
      <c r="AH917" t="s">
        <v>787</v>
      </c>
    </row>
    <row r="918" spans="1:34" ht="18.75" customHeight="1" x14ac:dyDescent="0.3">
      <c r="A918" s="1">
        <v>2018134707228</v>
      </c>
      <c r="B918" t="s">
        <v>75</v>
      </c>
      <c r="C918" t="s">
        <v>3165</v>
      </c>
      <c r="D918" t="s">
        <v>3146</v>
      </c>
      <c r="E918" t="s">
        <v>1354</v>
      </c>
      <c r="M918" t="s">
        <v>342</v>
      </c>
      <c r="O918" t="s">
        <v>3150</v>
      </c>
      <c r="AH918" t="s">
        <v>787</v>
      </c>
    </row>
    <row r="919" spans="1:34" ht="18.75" customHeight="1" x14ac:dyDescent="0.3">
      <c r="A919" s="1">
        <v>2016134702967</v>
      </c>
      <c r="B919" t="s">
        <v>75</v>
      </c>
      <c r="C919" t="s">
        <v>3166</v>
      </c>
      <c r="D919" t="s">
        <v>3146</v>
      </c>
      <c r="E919" t="s">
        <v>1354</v>
      </c>
      <c r="M919" t="s">
        <v>342</v>
      </c>
      <c r="O919" t="s">
        <v>372</v>
      </c>
      <c r="AH919" t="s">
        <v>787</v>
      </c>
    </row>
    <row r="920" spans="1:34" ht="18.75" customHeight="1" x14ac:dyDescent="0.3">
      <c r="A920" s="1">
        <v>2008138302413</v>
      </c>
      <c r="B920" t="s">
        <v>57</v>
      </c>
      <c r="C920" t="s">
        <v>3167</v>
      </c>
      <c r="D920" t="s">
        <v>3146</v>
      </c>
      <c r="E920" t="s">
        <v>1354</v>
      </c>
      <c r="M920" t="s">
        <v>342</v>
      </c>
      <c r="O920" t="s">
        <v>3168</v>
      </c>
      <c r="AH920" t="s">
        <v>787</v>
      </c>
    </row>
    <row r="921" spans="1:34" ht="18.75" customHeight="1" x14ac:dyDescent="0.3">
      <c r="A921" s="1">
        <v>2015134700880</v>
      </c>
      <c r="B921" t="s">
        <v>57</v>
      </c>
      <c r="C921" t="s">
        <v>3169</v>
      </c>
      <c r="D921" t="s">
        <v>3146</v>
      </c>
      <c r="E921" t="s">
        <v>1354</v>
      </c>
      <c r="M921" t="s">
        <v>342</v>
      </c>
      <c r="O921" t="s">
        <v>372</v>
      </c>
      <c r="AH921" t="s">
        <v>787</v>
      </c>
    </row>
    <row r="922" spans="1:34" ht="18.75" customHeight="1" x14ac:dyDescent="0.3">
      <c r="A922" s="1">
        <v>2015134700608</v>
      </c>
      <c r="B922" t="s">
        <v>57</v>
      </c>
      <c r="C922" t="s">
        <v>3170</v>
      </c>
      <c r="D922" t="s">
        <v>3146</v>
      </c>
      <c r="E922" t="s">
        <v>1354</v>
      </c>
      <c r="M922" t="s">
        <v>342</v>
      </c>
      <c r="O922" t="s">
        <v>2432</v>
      </c>
      <c r="AH922" t="s">
        <v>787</v>
      </c>
    </row>
    <row r="923" spans="1:34" ht="18.75" customHeight="1" x14ac:dyDescent="0.3">
      <c r="A923" s="1">
        <v>2013134706080</v>
      </c>
      <c r="B923" t="s">
        <v>57</v>
      </c>
      <c r="C923" t="s">
        <v>3171</v>
      </c>
      <c r="D923" t="s">
        <v>3146</v>
      </c>
      <c r="E923" t="s">
        <v>1354</v>
      </c>
      <c r="M923" t="s">
        <v>342</v>
      </c>
      <c r="O923" t="s">
        <v>372</v>
      </c>
      <c r="AH923" t="s">
        <v>787</v>
      </c>
    </row>
    <row r="924" spans="1:34" ht="18.75" customHeight="1" x14ac:dyDescent="0.3">
      <c r="A924" s="1">
        <v>2007138311896</v>
      </c>
      <c r="B924" t="s">
        <v>57</v>
      </c>
      <c r="C924" t="s">
        <v>3172</v>
      </c>
      <c r="D924" t="s">
        <v>3146</v>
      </c>
      <c r="E924" t="s">
        <v>1354</v>
      </c>
      <c r="M924" t="s">
        <v>342</v>
      </c>
      <c r="O924" t="s">
        <v>3157</v>
      </c>
      <c r="AH924" t="s">
        <v>787</v>
      </c>
    </row>
    <row r="925" spans="1:34" ht="18.75" customHeight="1" x14ac:dyDescent="0.3">
      <c r="A925" s="1">
        <v>2009138300829</v>
      </c>
      <c r="B925" t="s">
        <v>57</v>
      </c>
      <c r="C925" t="s">
        <v>3173</v>
      </c>
      <c r="D925" t="s">
        <v>3146</v>
      </c>
      <c r="E925" t="s">
        <v>1354</v>
      </c>
      <c r="M925" t="s">
        <v>342</v>
      </c>
      <c r="O925" t="s">
        <v>3162</v>
      </c>
      <c r="AH925" t="s">
        <v>787</v>
      </c>
    </row>
    <row r="926" spans="1:34" ht="18.75" customHeight="1" x14ac:dyDescent="0.3">
      <c r="A926" s="1">
        <v>2012134706561</v>
      </c>
      <c r="B926" t="s">
        <v>57</v>
      </c>
      <c r="C926" t="s">
        <v>3174</v>
      </c>
      <c r="D926" t="s">
        <v>3146</v>
      </c>
      <c r="E926" t="s">
        <v>1354</v>
      </c>
      <c r="M926" t="s">
        <v>342</v>
      </c>
      <c r="O926" t="s">
        <v>343</v>
      </c>
      <c r="AH926" t="s">
        <v>787</v>
      </c>
    </row>
    <row r="927" spans="1:34" ht="18.75" customHeight="1" x14ac:dyDescent="0.3">
      <c r="A927" s="1">
        <v>2021131811116</v>
      </c>
      <c r="B927" t="s">
        <v>125</v>
      </c>
      <c r="C927" t="s">
        <v>3175</v>
      </c>
      <c r="D927" t="s">
        <v>3176</v>
      </c>
      <c r="E927" t="s">
        <v>1354</v>
      </c>
      <c r="M927" t="s">
        <v>46</v>
      </c>
      <c r="O927" t="s">
        <v>608</v>
      </c>
      <c r="AH927" t="s">
        <v>787</v>
      </c>
    </row>
    <row r="928" spans="1:34" ht="18.75" customHeight="1" x14ac:dyDescent="0.3">
      <c r="A928" s="1">
        <v>2023134701790</v>
      </c>
      <c r="B928" t="s">
        <v>125</v>
      </c>
      <c r="C928" t="s">
        <v>3177</v>
      </c>
      <c r="D928" t="s">
        <v>3176</v>
      </c>
      <c r="E928" t="s">
        <v>1354</v>
      </c>
      <c r="M928" t="s">
        <v>46</v>
      </c>
      <c r="O928" t="s">
        <v>96</v>
      </c>
      <c r="AH928" t="s">
        <v>787</v>
      </c>
    </row>
    <row r="929" spans="1:34" ht="18.75" customHeight="1" x14ac:dyDescent="0.3">
      <c r="A929" s="1">
        <v>2023134701295</v>
      </c>
      <c r="B929" t="s">
        <v>125</v>
      </c>
      <c r="C929" t="s">
        <v>3178</v>
      </c>
      <c r="D929" t="s">
        <v>3176</v>
      </c>
      <c r="E929" t="s">
        <v>1354</v>
      </c>
      <c r="M929" t="s">
        <v>46</v>
      </c>
      <c r="O929" t="s">
        <v>96</v>
      </c>
      <c r="AH929" t="s">
        <v>787</v>
      </c>
    </row>
    <row r="930" spans="1:34" ht="18.75" customHeight="1" x14ac:dyDescent="0.3">
      <c r="A930" s="1">
        <v>2021134719060</v>
      </c>
      <c r="B930" t="s">
        <v>125</v>
      </c>
      <c r="C930" t="s">
        <v>3179</v>
      </c>
      <c r="D930" t="s">
        <v>3176</v>
      </c>
      <c r="E930" t="s">
        <v>1354</v>
      </c>
      <c r="M930" t="s">
        <v>46</v>
      </c>
      <c r="O930" t="s">
        <v>96</v>
      </c>
      <c r="AH930" t="s">
        <v>787</v>
      </c>
    </row>
    <row r="931" spans="1:34" ht="18.75" customHeight="1" x14ac:dyDescent="0.3">
      <c r="A931" s="1">
        <v>2019134702292</v>
      </c>
      <c r="B931" t="s">
        <v>125</v>
      </c>
      <c r="C931" t="s">
        <v>3180</v>
      </c>
      <c r="D931" t="s">
        <v>3176</v>
      </c>
      <c r="E931" t="s">
        <v>1354</v>
      </c>
      <c r="M931" t="s">
        <v>46</v>
      </c>
      <c r="O931" t="s">
        <v>96</v>
      </c>
      <c r="AH931" t="s">
        <v>787</v>
      </c>
    </row>
    <row r="932" spans="1:34" ht="18.75" customHeight="1" x14ac:dyDescent="0.3">
      <c r="A932" s="1">
        <v>2023134701237</v>
      </c>
      <c r="B932" t="s">
        <v>125</v>
      </c>
      <c r="C932" t="s">
        <v>3181</v>
      </c>
      <c r="D932" t="s">
        <v>3176</v>
      </c>
      <c r="E932" t="s">
        <v>1354</v>
      </c>
      <c r="M932" t="s">
        <v>46</v>
      </c>
      <c r="O932" t="s">
        <v>96</v>
      </c>
      <c r="AH932" t="s">
        <v>787</v>
      </c>
    </row>
    <row r="933" spans="1:34" ht="18.75" customHeight="1" x14ac:dyDescent="0.3">
      <c r="A933" s="1">
        <v>2021131811843</v>
      </c>
      <c r="B933" t="s">
        <v>125</v>
      </c>
      <c r="C933" t="s">
        <v>3182</v>
      </c>
      <c r="D933" t="s">
        <v>3176</v>
      </c>
      <c r="E933" t="s">
        <v>1354</v>
      </c>
      <c r="M933" t="s">
        <v>46</v>
      </c>
      <c r="O933" t="s">
        <v>608</v>
      </c>
      <c r="AH933" t="s">
        <v>787</v>
      </c>
    </row>
    <row r="934" spans="1:34" ht="18.75" customHeight="1" x14ac:dyDescent="0.3">
      <c r="A934" s="1">
        <v>2019138317394</v>
      </c>
      <c r="B934" t="s">
        <v>125</v>
      </c>
      <c r="C934" t="s">
        <v>3183</v>
      </c>
      <c r="D934" t="s">
        <v>3176</v>
      </c>
      <c r="E934" t="s">
        <v>1354</v>
      </c>
      <c r="M934" t="s">
        <v>46</v>
      </c>
      <c r="AH934" t="s">
        <v>787</v>
      </c>
    </row>
    <row r="935" spans="1:34" ht="18.75" customHeight="1" x14ac:dyDescent="0.3">
      <c r="A935" s="1">
        <v>2021131808072</v>
      </c>
      <c r="B935" t="s">
        <v>125</v>
      </c>
      <c r="C935" t="s">
        <v>3184</v>
      </c>
      <c r="D935" t="s">
        <v>3176</v>
      </c>
      <c r="E935" t="s">
        <v>1354</v>
      </c>
      <c r="M935" t="s">
        <v>46</v>
      </c>
      <c r="O935" t="s">
        <v>608</v>
      </c>
      <c r="AH935" t="s">
        <v>787</v>
      </c>
    </row>
    <row r="936" spans="1:34" ht="18.75" customHeight="1" x14ac:dyDescent="0.3">
      <c r="A936" s="1">
        <v>2019134700717</v>
      </c>
      <c r="B936" t="s">
        <v>125</v>
      </c>
      <c r="C936" t="s">
        <v>3185</v>
      </c>
      <c r="D936" t="s">
        <v>3176</v>
      </c>
      <c r="E936" t="s">
        <v>1354</v>
      </c>
      <c r="M936" t="s">
        <v>46</v>
      </c>
      <c r="O936" t="s">
        <v>2135</v>
      </c>
      <c r="AH936" t="s">
        <v>787</v>
      </c>
    </row>
    <row r="937" spans="1:34" ht="18.75" customHeight="1" x14ac:dyDescent="0.3">
      <c r="A937" s="1">
        <v>2019134702797</v>
      </c>
      <c r="B937" t="s">
        <v>125</v>
      </c>
      <c r="C937" t="s">
        <v>3186</v>
      </c>
      <c r="D937" t="s">
        <v>3176</v>
      </c>
      <c r="E937" t="s">
        <v>1354</v>
      </c>
      <c r="M937" t="s">
        <v>46</v>
      </c>
      <c r="O937" t="s">
        <v>96</v>
      </c>
      <c r="AH937" t="s">
        <v>787</v>
      </c>
    </row>
    <row r="938" spans="1:34" ht="18.75" customHeight="1" x14ac:dyDescent="0.3">
      <c r="A938" s="1">
        <v>2021134714218</v>
      </c>
      <c r="B938" t="s">
        <v>125</v>
      </c>
      <c r="C938" t="s">
        <v>3187</v>
      </c>
      <c r="D938" t="s">
        <v>3176</v>
      </c>
      <c r="E938" t="s">
        <v>1354</v>
      </c>
      <c r="M938" t="s">
        <v>46</v>
      </c>
      <c r="O938" t="s">
        <v>2135</v>
      </c>
      <c r="AH938" t="s">
        <v>787</v>
      </c>
    </row>
    <row r="939" spans="1:34" ht="18.75" customHeight="1" x14ac:dyDescent="0.3">
      <c r="A939" s="1">
        <v>2018138310035</v>
      </c>
      <c r="B939" t="s">
        <v>106</v>
      </c>
      <c r="C939" t="s">
        <v>3188</v>
      </c>
      <c r="D939" t="s">
        <v>3176</v>
      </c>
      <c r="E939" t="s">
        <v>1354</v>
      </c>
      <c r="M939" t="s">
        <v>46</v>
      </c>
      <c r="O939" t="s">
        <v>3189</v>
      </c>
      <c r="AH939" t="s">
        <v>787</v>
      </c>
    </row>
    <row r="940" spans="1:34" ht="18.75" customHeight="1" x14ac:dyDescent="0.3">
      <c r="A940" s="1">
        <v>2015138315445</v>
      </c>
      <c r="B940" t="s">
        <v>106</v>
      </c>
      <c r="C940" t="s">
        <v>3190</v>
      </c>
      <c r="D940" t="s">
        <v>3176</v>
      </c>
      <c r="E940" t="s">
        <v>1354</v>
      </c>
      <c r="M940" t="s">
        <v>46</v>
      </c>
      <c r="O940" t="s">
        <v>1730</v>
      </c>
      <c r="AH940" t="s">
        <v>787</v>
      </c>
    </row>
    <row r="941" spans="1:34" ht="18.75" customHeight="1" x14ac:dyDescent="0.3">
      <c r="A941" s="1">
        <v>2015130404254</v>
      </c>
      <c r="B941" t="s">
        <v>106</v>
      </c>
      <c r="C941" t="s">
        <v>3191</v>
      </c>
      <c r="D941" t="s">
        <v>3176</v>
      </c>
      <c r="E941" t="s">
        <v>1354</v>
      </c>
      <c r="M941" t="s">
        <v>46</v>
      </c>
      <c r="O941" t="s">
        <v>3192</v>
      </c>
      <c r="AH941" t="s">
        <v>787</v>
      </c>
    </row>
    <row r="942" spans="1:34" ht="18.75" customHeight="1" x14ac:dyDescent="0.3">
      <c r="A942" s="1">
        <v>2018138310019</v>
      </c>
      <c r="B942" t="s">
        <v>106</v>
      </c>
      <c r="C942" t="s">
        <v>3193</v>
      </c>
      <c r="D942" t="s">
        <v>3176</v>
      </c>
      <c r="E942" t="s">
        <v>1354</v>
      </c>
      <c r="M942" t="s">
        <v>46</v>
      </c>
      <c r="O942" t="s">
        <v>3194</v>
      </c>
      <c r="AH942" t="s">
        <v>787</v>
      </c>
    </row>
    <row r="943" spans="1:34" ht="18.75" customHeight="1" x14ac:dyDescent="0.3">
      <c r="A943" s="1">
        <v>2017138302357</v>
      </c>
      <c r="B943" t="s">
        <v>106</v>
      </c>
      <c r="C943" t="s">
        <v>3195</v>
      </c>
      <c r="D943" t="s">
        <v>3176</v>
      </c>
      <c r="E943" t="s">
        <v>1354</v>
      </c>
      <c r="M943" t="s">
        <v>46</v>
      </c>
      <c r="O943" t="s">
        <v>3196</v>
      </c>
      <c r="AH943" t="s">
        <v>787</v>
      </c>
    </row>
    <row r="944" spans="1:34" ht="18.75" customHeight="1" x14ac:dyDescent="0.3">
      <c r="A944" s="1">
        <v>2014134703779</v>
      </c>
      <c r="B944" t="s">
        <v>75</v>
      </c>
      <c r="C944" t="s">
        <v>3197</v>
      </c>
      <c r="D944" t="s">
        <v>3176</v>
      </c>
      <c r="E944" t="s">
        <v>1354</v>
      </c>
      <c r="M944" t="s">
        <v>46</v>
      </c>
      <c r="O944" t="s">
        <v>48</v>
      </c>
      <c r="AH944" t="s">
        <v>787</v>
      </c>
    </row>
    <row r="945" spans="1:34" ht="18.75" customHeight="1" x14ac:dyDescent="0.3">
      <c r="A945" s="1">
        <v>2015134714659</v>
      </c>
      <c r="B945" t="s">
        <v>75</v>
      </c>
      <c r="C945" t="s">
        <v>3198</v>
      </c>
      <c r="D945" t="s">
        <v>3176</v>
      </c>
      <c r="E945" t="s">
        <v>1354</v>
      </c>
      <c r="M945" t="s">
        <v>46</v>
      </c>
      <c r="O945" t="s">
        <v>96</v>
      </c>
      <c r="AH945" t="s">
        <v>787</v>
      </c>
    </row>
    <row r="946" spans="1:34" ht="18.75" customHeight="1" x14ac:dyDescent="0.3">
      <c r="A946" s="1">
        <v>2015134708199</v>
      </c>
      <c r="B946" t="s">
        <v>75</v>
      </c>
      <c r="C946" t="s">
        <v>3199</v>
      </c>
      <c r="D946" t="s">
        <v>3176</v>
      </c>
      <c r="E946" t="s">
        <v>1354</v>
      </c>
      <c r="M946" t="s">
        <v>46</v>
      </c>
      <c r="O946" t="s">
        <v>96</v>
      </c>
      <c r="AH946" t="s">
        <v>787</v>
      </c>
    </row>
    <row r="947" spans="1:34" ht="18.75" customHeight="1" x14ac:dyDescent="0.3">
      <c r="A947" s="1">
        <v>2014131804851</v>
      </c>
      <c r="B947" t="s">
        <v>75</v>
      </c>
      <c r="C947" t="s">
        <v>3200</v>
      </c>
      <c r="D947" t="s">
        <v>3176</v>
      </c>
      <c r="E947" t="s">
        <v>1354</v>
      </c>
      <c r="M947" t="s">
        <v>46</v>
      </c>
      <c r="O947" t="s">
        <v>608</v>
      </c>
      <c r="AH947" t="s">
        <v>787</v>
      </c>
    </row>
    <row r="948" spans="1:34" ht="18.75" customHeight="1" x14ac:dyDescent="0.3">
      <c r="A948" s="1">
        <v>2017134704052</v>
      </c>
      <c r="B948" t="s">
        <v>75</v>
      </c>
      <c r="C948" t="s">
        <v>3201</v>
      </c>
      <c r="D948" t="s">
        <v>3176</v>
      </c>
      <c r="E948" t="s">
        <v>1354</v>
      </c>
      <c r="M948" t="s">
        <v>46</v>
      </c>
      <c r="O948" t="s">
        <v>96</v>
      </c>
      <c r="AH948" t="s">
        <v>787</v>
      </c>
    </row>
    <row r="949" spans="1:34" ht="18.75" customHeight="1" x14ac:dyDescent="0.3">
      <c r="A949" s="1">
        <v>2012134707402</v>
      </c>
      <c r="B949" t="s">
        <v>75</v>
      </c>
      <c r="C949" t="s">
        <v>3202</v>
      </c>
      <c r="D949" t="s">
        <v>3176</v>
      </c>
      <c r="E949" t="s">
        <v>1354</v>
      </c>
      <c r="M949" t="s">
        <v>46</v>
      </c>
      <c r="O949" t="s">
        <v>96</v>
      </c>
      <c r="AH949" t="s">
        <v>787</v>
      </c>
    </row>
    <row r="950" spans="1:34" ht="18.75" customHeight="1" x14ac:dyDescent="0.3">
      <c r="A950" s="1">
        <v>2017134700852</v>
      </c>
      <c r="B950" t="s">
        <v>75</v>
      </c>
      <c r="C950" t="s">
        <v>3203</v>
      </c>
      <c r="D950" t="s">
        <v>3176</v>
      </c>
      <c r="E950" t="s">
        <v>1354</v>
      </c>
      <c r="M950" t="s">
        <v>46</v>
      </c>
      <c r="O950" t="s">
        <v>96</v>
      </c>
      <c r="AH950" t="s">
        <v>787</v>
      </c>
    </row>
    <row r="951" spans="1:34" ht="18.75" customHeight="1" x14ac:dyDescent="0.3">
      <c r="A951" s="1">
        <v>2018134700561</v>
      </c>
      <c r="B951" t="s">
        <v>75</v>
      </c>
      <c r="C951" t="s">
        <v>3204</v>
      </c>
      <c r="D951" t="s">
        <v>3176</v>
      </c>
      <c r="E951" t="s">
        <v>1354</v>
      </c>
      <c r="M951" t="s">
        <v>46</v>
      </c>
      <c r="O951" t="s">
        <v>48</v>
      </c>
      <c r="AH951" t="s">
        <v>787</v>
      </c>
    </row>
    <row r="952" spans="1:34" ht="18.75" customHeight="1" x14ac:dyDescent="0.3">
      <c r="A952" s="1">
        <v>2013138307397</v>
      </c>
      <c r="B952" t="s">
        <v>75</v>
      </c>
      <c r="C952" t="s">
        <v>3205</v>
      </c>
      <c r="D952" t="s">
        <v>3176</v>
      </c>
      <c r="E952" t="s">
        <v>1354</v>
      </c>
      <c r="M952" t="s">
        <v>46</v>
      </c>
      <c r="O952" t="s">
        <v>3196</v>
      </c>
      <c r="AH952" t="s">
        <v>787</v>
      </c>
    </row>
    <row r="953" spans="1:34" ht="18.75" customHeight="1" x14ac:dyDescent="0.3">
      <c r="A953" s="1">
        <v>2011134701216</v>
      </c>
      <c r="B953" t="s">
        <v>57</v>
      </c>
      <c r="C953" t="s">
        <v>3206</v>
      </c>
      <c r="D953" t="s">
        <v>3176</v>
      </c>
      <c r="E953" t="s">
        <v>1354</v>
      </c>
      <c r="M953" t="s">
        <v>46</v>
      </c>
      <c r="O953" t="s">
        <v>96</v>
      </c>
      <c r="AH953" t="s">
        <v>787</v>
      </c>
    </row>
    <row r="954" spans="1:34" ht="18.75" customHeight="1" x14ac:dyDescent="0.3">
      <c r="A954" s="1">
        <v>2008134700041</v>
      </c>
      <c r="B954" t="s">
        <v>210</v>
      </c>
      <c r="C954" t="s">
        <v>3207</v>
      </c>
      <c r="D954" t="s">
        <v>3176</v>
      </c>
      <c r="E954" t="s">
        <v>1354</v>
      </c>
      <c r="M954" t="s">
        <v>46</v>
      </c>
      <c r="O954" t="s">
        <v>96</v>
      </c>
      <c r="AH954" t="s">
        <v>787</v>
      </c>
    </row>
    <row r="955" spans="1:34" ht="18.75" customHeight="1" x14ac:dyDescent="0.3">
      <c r="A955" s="1">
        <v>2001134701994</v>
      </c>
      <c r="B955" t="s">
        <v>210</v>
      </c>
      <c r="C955" t="s">
        <v>3208</v>
      </c>
      <c r="D955" t="s">
        <v>3176</v>
      </c>
      <c r="E955" t="s">
        <v>1354</v>
      </c>
      <c r="M955" t="s">
        <v>46</v>
      </c>
      <c r="O955" t="s">
        <v>96</v>
      </c>
      <c r="AH955" t="s">
        <v>787</v>
      </c>
    </row>
    <row r="956" spans="1:34" ht="18.75" customHeight="1" x14ac:dyDescent="0.3">
      <c r="A956" s="1">
        <v>2008134700934</v>
      </c>
      <c r="B956" t="s">
        <v>210</v>
      </c>
      <c r="C956" t="s">
        <v>3209</v>
      </c>
      <c r="D956" t="s">
        <v>3176</v>
      </c>
      <c r="E956" t="s">
        <v>1354</v>
      </c>
      <c r="M956" t="s">
        <v>46</v>
      </c>
      <c r="O956" t="s">
        <v>96</v>
      </c>
      <c r="AH956" t="s">
        <v>787</v>
      </c>
    </row>
    <row r="957" spans="1:34" ht="18.75" customHeight="1" x14ac:dyDescent="0.3">
      <c r="A957" s="1">
        <v>2014134790304</v>
      </c>
      <c r="B957" t="s">
        <v>66</v>
      </c>
      <c r="C957" t="s">
        <v>3210</v>
      </c>
      <c r="D957" t="s">
        <v>3176</v>
      </c>
      <c r="E957" t="s">
        <v>1354</v>
      </c>
      <c r="M957" t="s">
        <v>46</v>
      </c>
      <c r="O957" t="s">
        <v>2118</v>
      </c>
      <c r="AH957" t="s">
        <v>787</v>
      </c>
    </row>
    <row r="958" spans="1:34" ht="18.75" customHeight="1" x14ac:dyDescent="0.3">
      <c r="A958" s="1">
        <v>2014130402185</v>
      </c>
      <c r="B958" t="s">
        <v>75</v>
      </c>
      <c r="C958" t="s">
        <v>3211</v>
      </c>
      <c r="D958" t="s">
        <v>3212</v>
      </c>
      <c r="E958" t="s">
        <v>1354</v>
      </c>
      <c r="M958" t="s">
        <v>3213</v>
      </c>
      <c r="O958" t="s">
        <v>3214</v>
      </c>
      <c r="AH958" t="s">
        <v>787</v>
      </c>
    </row>
    <row r="959" spans="1:34" ht="18.75" customHeight="1" x14ac:dyDescent="0.3">
      <c r="A959" s="1">
        <v>2012138301234</v>
      </c>
      <c r="B959" t="s">
        <v>75</v>
      </c>
      <c r="C959" t="s">
        <v>3215</v>
      </c>
      <c r="D959" t="s">
        <v>3212</v>
      </c>
      <c r="E959" t="s">
        <v>1354</v>
      </c>
      <c r="M959" t="s">
        <v>3213</v>
      </c>
      <c r="O959" t="s">
        <v>3216</v>
      </c>
      <c r="AH959" t="s">
        <v>787</v>
      </c>
    </row>
    <row r="960" spans="1:34" ht="18.75" customHeight="1" x14ac:dyDescent="0.3">
      <c r="A960" s="1">
        <v>1988134710597</v>
      </c>
      <c r="B960" t="s">
        <v>125</v>
      </c>
      <c r="C960" t="s">
        <v>3217</v>
      </c>
      <c r="D960" t="s">
        <v>3218</v>
      </c>
      <c r="E960" t="s">
        <v>1354</v>
      </c>
      <c r="M960" t="s">
        <v>3219</v>
      </c>
      <c r="O960" t="s">
        <v>3220</v>
      </c>
      <c r="AH960" t="s">
        <v>787</v>
      </c>
    </row>
    <row r="961" spans="1:33" ht="18.75" customHeight="1" x14ac:dyDescent="0.3">
      <c r="A961" s="1">
        <v>2016138302854</v>
      </c>
      <c r="B961" t="s">
        <v>106</v>
      </c>
      <c r="C961" t="s">
        <v>3221</v>
      </c>
      <c r="D961" t="s">
        <v>3222</v>
      </c>
      <c r="E961" t="s">
        <v>1354</v>
      </c>
      <c r="M961" t="s">
        <v>726</v>
      </c>
      <c r="O961" t="s">
        <v>1105</v>
      </c>
      <c r="AG961" t="s">
        <v>787</v>
      </c>
    </row>
    <row r="962" spans="1:33" ht="18.75" customHeight="1" x14ac:dyDescent="0.3">
      <c r="A962" s="1">
        <v>2015138321715</v>
      </c>
      <c r="B962" t="s">
        <v>106</v>
      </c>
      <c r="C962" t="s">
        <v>3223</v>
      </c>
      <c r="D962" t="s">
        <v>3222</v>
      </c>
      <c r="E962" t="s">
        <v>1354</v>
      </c>
      <c r="M962" t="s">
        <v>726</v>
      </c>
      <c r="O962" t="s">
        <v>3224</v>
      </c>
      <c r="AG962" t="s">
        <v>787</v>
      </c>
    </row>
    <row r="963" spans="1:33" ht="18.75" customHeight="1" x14ac:dyDescent="0.3">
      <c r="A963" s="1">
        <v>2013138312362</v>
      </c>
      <c r="B963" t="s">
        <v>75</v>
      </c>
      <c r="C963" t="s">
        <v>3225</v>
      </c>
      <c r="D963" t="s">
        <v>3222</v>
      </c>
      <c r="E963" t="s">
        <v>1354</v>
      </c>
      <c r="M963" t="s">
        <v>726</v>
      </c>
      <c r="O963" t="s">
        <v>1105</v>
      </c>
      <c r="AG963" t="s">
        <v>787</v>
      </c>
    </row>
    <row r="964" spans="1:33" ht="18.75" customHeight="1" x14ac:dyDescent="0.3">
      <c r="A964" s="1">
        <v>2021130900134</v>
      </c>
      <c r="B964" t="s">
        <v>125</v>
      </c>
      <c r="C964" t="s">
        <v>3226</v>
      </c>
      <c r="D964" t="s">
        <v>3227</v>
      </c>
      <c r="E964" t="s">
        <v>1354</v>
      </c>
      <c r="M964" t="s">
        <v>3228</v>
      </c>
      <c r="N964" t="s">
        <v>3229</v>
      </c>
      <c r="O964" t="s">
        <v>3230</v>
      </c>
      <c r="AG964" t="s">
        <v>787</v>
      </c>
    </row>
    <row r="965" spans="1:33" ht="18.75" customHeight="1" x14ac:dyDescent="0.3">
      <c r="A965" s="1">
        <v>2021130900126</v>
      </c>
      <c r="B965" t="s">
        <v>125</v>
      </c>
      <c r="C965" t="s">
        <v>3231</v>
      </c>
      <c r="D965" t="s">
        <v>3227</v>
      </c>
      <c r="E965" t="s">
        <v>1354</v>
      </c>
      <c r="M965" t="s">
        <v>3228</v>
      </c>
      <c r="N965" t="s">
        <v>3229</v>
      </c>
      <c r="O965" t="s">
        <v>3230</v>
      </c>
      <c r="AG965" t="s">
        <v>787</v>
      </c>
    </row>
    <row r="966" spans="1:33" ht="18.75" customHeight="1" x14ac:dyDescent="0.3">
      <c r="A966" s="1">
        <v>2021130900374</v>
      </c>
      <c r="B966" t="s">
        <v>125</v>
      </c>
      <c r="C966" t="s">
        <v>3232</v>
      </c>
      <c r="D966" t="s">
        <v>3227</v>
      </c>
      <c r="E966" t="s">
        <v>1354</v>
      </c>
      <c r="M966" t="s">
        <v>3228</v>
      </c>
      <c r="N966" t="s">
        <v>3229</v>
      </c>
      <c r="O966" t="s">
        <v>3230</v>
      </c>
      <c r="AG966" t="s">
        <v>787</v>
      </c>
    </row>
    <row r="967" spans="1:33" ht="18.75" customHeight="1" x14ac:dyDescent="0.3">
      <c r="A967" s="1">
        <v>2021130900316</v>
      </c>
      <c r="B967" t="s">
        <v>125</v>
      </c>
      <c r="C967" t="s">
        <v>3233</v>
      </c>
      <c r="D967" t="s">
        <v>3227</v>
      </c>
      <c r="E967" t="s">
        <v>1354</v>
      </c>
      <c r="M967" t="s">
        <v>3228</v>
      </c>
      <c r="N967" t="s">
        <v>3229</v>
      </c>
      <c r="O967" t="s">
        <v>3230</v>
      </c>
      <c r="AG967" t="s">
        <v>787</v>
      </c>
    </row>
    <row r="968" spans="1:33" ht="18.75" customHeight="1" x14ac:dyDescent="0.3">
      <c r="A968" s="1">
        <v>2019130900270</v>
      </c>
      <c r="B968" t="s">
        <v>106</v>
      </c>
      <c r="C968" t="s">
        <v>3234</v>
      </c>
      <c r="D968" t="s">
        <v>3227</v>
      </c>
      <c r="E968" t="s">
        <v>1354</v>
      </c>
      <c r="M968" t="s">
        <v>3228</v>
      </c>
      <c r="N968" t="s">
        <v>3229</v>
      </c>
      <c r="AG968" t="s">
        <v>787</v>
      </c>
    </row>
    <row r="969" spans="1:33" ht="18.75" customHeight="1" x14ac:dyDescent="0.3">
      <c r="A969" s="1">
        <v>2019130900064</v>
      </c>
      <c r="B969" t="s">
        <v>106</v>
      </c>
      <c r="C969" t="s">
        <v>3235</v>
      </c>
      <c r="D969" t="s">
        <v>3227</v>
      </c>
      <c r="E969" t="s">
        <v>1354</v>
      </c>
      <c r="M969" t="s">
        <v>3228</v>
      </c>
      <c r="N969" t="s">
        <v>3229</v>
      </c>
      <c r="AG969" t="s">
        <v>787</v>
      </c>
    </row>
    <row r="970" spans="1:33" ht="18.75" customHeight="1" x14ac:dyDescent="0.3">
      <c r="A970" s="1">
        <v>2019130900056</v>
      </c>
      <c r="B970" t="s">
        <v>106</v>
      </c>
      <c r="C970" t="s">
        <v>3236</v>
      </c>
      <c r="D970" t="s">
        <v>3227</v>
      </c>
      <c r="E970" t="s">
        <v>1354</v>
      </c>
      <c r="M970" t="s">
        <v>3228</v>
      </c>
      <c r="N970" t="s">
        <v>3229</v>
      </c>
      <c r="AG970" t="s">
        <v>787</v>
      </c>
    </row>
    <row r="971" spans="1:33" ht="18.75" customHeight="1" x14ac:dyDescent="0.3">
      <c r="A971" s="1">
        <v>2019130900121</v>
      </c>
      <c r="B971" t="s">
        <v>106</v>
      </c>
      <c r="C971" t="s">
        <v>3237</v>
      </c>
      <c r="D971" t="s">
        <v>3227</v>
      </c>
      <c r="E971" t="s">
        <v>1354</v>
      </c>
      <c r="M971" t="s">
        <v>3228</v>
      </c>
      <c r="N971" t="s">
        <v>3229</v>
      </c>
      <c r="AG971" t="s">
        <v>787</v>
      </c>
    </row>
    <row r="972" spans="1:33" ht="18.75" customHeight="1" x14ac:dyDescent="0.3">
      <c r="A972" s="1">
        <v>2017130900026</v>
      </c>
      <c r="B972" t="s">
        <v>75</v>
      </c>
      <c r="C972" t="s">
        <v>3238</v>
      </c>
      <c r="D972" t="s">
        <v>3227</v>
      </c>
      <c r="E972" t="s">
        <v>1354</v>
      </c>
      <c r="M972" t="s">
        <v>3228</v>
      </c>
      <c r="N972" t="s">
        <v>3229</v>
      </c>
      <c r="O972" t="s">
        <v>3239</v>
      </c>
      <c r="AG972" t="s">
        <v>787</v>
      </c>
    </row>
    <row r="973" spans="1:33" ht="18.75" customHeight="1" x14ac:dyDescent="0.3">
      <c r="A973" s="1">
        <v>2015130901060</v>
      </c>
      <c r="B973" t="s">
        <v>75</v>
      </c>
      <c r="C973" t="s">
        <v>3240</v>
      </c>
      <c r="D973" t="s">
        <v>3227</v>
      </c>
      <c r="E973" t="s">
        <v>1354</v>
      </c>
      <c r="M973" t="s">
        <v>3228</v>
      </c>
      <c r="N973" t="s">
        <v>3229</v>
      </c>
      <c r="O973" t="s">
        <v>3239</v>
      </c>
      <c r="AG973" t="s">
        <v>787</v>
      </c>
    </row>
    <row r="974" spans="1:33" ht="18.75" customHeight="1" x14ac:dyDescent="0.3">
      <c r="A974" s="1">
        <v>2012130900258</v>
      </c>
      <c r="B974" t="s">
        <v>57</v>
      </c>
      <c r="C974" t="s">
        <v>3241</v>
      </c>
      <c r="D974" t="s">
        <v>3227</v>
      </c>
      <c r="E974" t="s">
        <v>1354</v>
      </c>
      <c r="M974" t="s">
        <v>3228</v>
      </c>
      <c r="N974" t="s">
        <v>3229</v>
      </c>
      <c r="O974" t="s">
        <v>3230</v>
      </c>
      <c r="AG974" t="s">
        <v>787</v>
      </c>
    </row>
    <row r="975" spans="1:33" ht="18.75" customHeight="1" x14ac:dyDescent="0.3">
      <c r="A975" s="1">
        <v>2013130900313</v>
      </c>
      <c r="B975" t="s">
        <v>57</v>
      </c>
      <c r="C975" t="s">
        <v>3242</v>
      </c>
      <c r="D975" t="s">
        <v>3227</v>
      </c>
      <c r="E975" t="s">
        <v>1354</v>
      </c>
      <c r="M975" t="s">
        <v>3228</v>
      </c>
      <c r="N975" t="s">
        <v>3229</v>
      </c>
      <c r="O975" t="s">
        <v>3230</v>
      </c>
      <c r="AG975" t="s">
        <v>787</v>
      </c>
    </row>
    <row r="976" spans="1:33" ht="18.75" customHeight="1" x14ac:dyDescent="0.3">
      <c r="A976" s="1">
        <v>2013130900769</v>
      </c>
      <c r="B976" t="s">
        <v>57</v>
      </c>
      <c r="C976" t="s">
        <v>3243</v>
      </c>
      <c r="D976" t="s">
        <v>3227</v>
      </c>
      <c r="E976" t="s">
        <v>1354</v>
      </c>
      <c r="M976" t="s">
        <v>3228</v>
      </c>
      <c r="N976" t="s">
        <v>3229</v>
      </c>
      <c r="O976" t="s">
        <v>3230</v>
      </c>
      <c r="AG976" t="s">
        <v>787</v>
      </c>
    </row>
    <row r="977" spans="1:33" ht="18.75" customHeight="1" x14ac:dyDescent="0.3">
      <c r="A977" s="1">
        <v>2013130900074</v>
      </c>
      <c r="B977" t="s">
        <v>57</v>
      </c>
      <c r="C977" t="s">
        <v>3244</v>
      </c>
      <c r="D977" t="s">
        <v>3227</v>
      </c>
      <c r="E977" t="s">
        <v>1354</v>
      </c>
      <c r="M977" t="s">
        <v>3228</v>
      </c>
      <c r="N977" t="s">
        <v>3229</v>
      </c>
      <c r="O977" t="s">
        <v>3245</v>
      </c>
      <c r="AG977" t="s">
        <v>787</v>
      </c>
    </row>
    <row r="978" spans="1:33" ht="18.75" customHeight="1" x14ac:dyDescent="0.3">
      <c r="A978" s="1">
        <v>2012130900331</v>
      </c>
      <c r="B978" t="s">
        <v>57</v>
      </c>
      <c r="C978" t="s">
        <v>3246</v>
      </c>
      <c r="D978" t="s">
        <v>3227</v>
      </c>
      <c r="E978" t="s">
        <v>1354</v>
      </c>
      <c r="M978" t="s">
        <v>3228</v>
      </c>
      <c r="N978" t="s">
        <v>3229</v>
      </c>
      <c r="O978" t="s">
        <v>3230</v>
      </c>
      <c r="AG978" t="s">
        <v>787</v>
      </c>
    </row>
    <row r="979" spans="1:33" ht="18.75" customHeight="1" x14ac:dyDescent="0.3">
      <c r="A979" s="1">
        <v>2013130900595</v>
      </c>
      <c r="B979" t="s">
        <v>57</v>
      </c>
      <c r="C979" t="s">
        <v>3247</v>
      </c>
      <c r="D979" t="s">
        <v>3227</v>
      </c>
      <c r="E979" t="s">
        <v>1354</v>
      </c>
      <c r="M979" t="s">
        <v>3228</v>
      </c>
      <c r="N979" t="s">
        <v>3229</v>
      </c>
      <c r="O979" t="s">
        <v>3230</v>
      </c>
      <c r="AG979" t="s">
        <v>787</v>
      </c>
    </row>
    <row r="980" spans="1:33" ht="18.75" customHeight="1" x14ac:dyDescent="0.3">
      <c r="A980" s="1">
        <v>2013130900743</v>
      </c>
      <c r="B980" t="s">
        <v>57</v>
      </c>
      <c r="C980" t="s">
        <v>3248</v>
      </c>
      <c r="D980" t="s">
        <v>3227</v>
      </c>
      <c r="E980" t="s">
        <v>1354</v>
      </c>
      <c r="M980" t="s">
        <v>3228</v>
      </c>
      <c r="N980" t="s">
        <v>3229</v>
      </c>
      <c r="O980" t="s">
        <v>3230</v>
      </c>
      <c r="AG980" t="s">
        <v>787</v>
      </c>
    </row>
    <row r="981" spans="1:33" ht="18.75" customHeight="1" x14ac:dyDescent="0.3">
      <c r="A981" s="1">
        <v>2013130900628</v>
      </c>
      <c r="B981" t="s">
        <v>57</v>
      </c>
      <c r="C981" t="s">
        <v>3249</v>
      </c>
      <c r="D981" t="s">
        <v>3227</v>
      </c>
      <c r="E981" t="s">
        <v>1354</v>
      </c>
      <c r="M981" t="s">
        <v>3228</v>
      </c>
      <c r="N981" t="s">
        <v>3229</v>
      </c>
      <c r="O981" t="s">
        <v>3230</v>
      </c>
      <c r="AG981" t="s">
        <v>787</v>
      </c>
    </row>
    <row r="982" spans="1:33" ht="18.75" customHeight="1" x14ac:dyDescent="0.3">
      <c r="A982" s="1">
        <v>2014130900767</v>
      </c>
      <c r="B982" t="s">
        <v>57</v>
      </c>
      <c r="C982" t="s">
        <v>3250</v>
      </c>
      <c r="D982" t="s">
        <v>3227</v>
      </c>
      <c r="E982" t="s">
        <v>1354</v>
      </c>
      <c r="M982" t="s">
        <v>3228</v>
      </c>
      <c r="N982" t="s">
        <v>3229</v>
      </c>
      <c r="O982" t="s">
        <v>3251</v>
      </c>
      <c r="AG982" t="s">
        <v>787</v>
      </c>
    </row>
    <row r="983" spans="1:33" ht="18.75" customHeight="1" x14ac:dyDescent="0.3">
      <c r="A983" s="1">
        <v>2013130900024</v>
      </c>
      <c r="B983" t="s">
        <v>57</v>
      </c>
      <c r="C983" t="s">
        <v>3252</v>
      </c>
      <c r="D983" t="s">
        <v>3227</v>
      </c>
      <c r="E983" t="s">
        <v>1354</v>
      </c>
      <c r="M983" t="s">
        <v>3228</v>
      </c>
      <c r="N983" t="s">
        <v>3229</v>
      </c>
      <c r="O983" t="s">
        <v>3251</v>
      </c>
      <c r="AG983" t="s">
        <v>787</v>
      </c>
    </row>
    <row r="984" spans="1:33" ht="18.75" customHeight="1" x14ac:dyDescent="0.3">
      <c r="A984" s="1">
        <v>2011130900028</v>
      </c>
      <c r="B984" t="s">
        <v>210</v>
      </c>
      <c r="C984" t="s">
        <v>3253</v>
      </c>
      <c r="D984" t="s">
        <v>3227</v>
      </c>
      <c r="E984" t="s">
        <v>1354</v>
      </c>
      <c r="M984" t="s">
        <v>3228</v>
      </c>
      <c r="N984" t="s">
        <v>3229</v>
      </c>
      <c r="O984" t="s">
        <v>3230</v>
      </c>
      <c r="AG984" t="s">
        <v>787</v>
      </c>
    </row>
    <row r="985" spans="1:33" ht="18.75" customHeight="1" x14ac:dyDescent="0.3">
      <c r="A985" s="1">
        <v>2008130901057</v>
      </c>
      <c r="B985" t="s">
        <v>210</v>
      </c>
      <c r="C985" t="s">
        <v>3254</v>
      </c>
      <c r="D985" t="s">
        <v>3227</v>
      </c>
      <c r="E985" t="s">
        <v>1354</v>
      </c>
      <c r="M985" t="s">
        <v>3228</v>
      </c>
      <c r="N985" t="s">
        <v>3229</v>
      </c>
      <c r="O985" t="s">
        <v>3255</v>
      </c>
      <c r="AG985" t="s">
        <v>787</v>
      </c>
    </row>
    <row r="986" spans="1:33" ht="18.75" customHeight="1" x14ac:dyDescent="0.3">
      <c r="A986" s="1">
        <v>2007130900663</v>
      </c>
      <c r="B986" t="s">
        <v>210</v>
      </c>
      <c r="C986" t="s">
        <v>3256</v>
      </c>
      <c r="D986" t="s">
        <v>3227</v>
      </c>
      <c r="E986" t="s">
        <v>1354</v>
      </c>
      <c r="M986" t="s">
        <v>3228</v>
      </c>
      <c r="N986" t="s">
        <v>3229</v>
      </c>
      <c r="O986" t="s">
        <v>3230</v>
      </c>
      <c r="AG986" t="s">
        <v>787</v>
      </c>
    </row>
    <row r="987" spans="1:33" ht="18.75" customHeight="1" x14ac:dyDescent="0.3">
      <c r="A987" s="1">
        <v>2000130400675</v>
      </c>
      <c r="B987" t="s">
        <v>210</v>
      </c>
      <c r="C987" t="s">
        <v>3257</v>
      </c>
      <c r="D987" t="s">
        <v>3227</v>
      </c>
      <c r="E987" t="s">
        <v>1354</v>
      </c>
      <c r="M987" t="s">
        <v>3228</v>
      </c>
      <c r="N987" t="s">
        <v>78</v>
      </c>
      <c r="O987" t="s">
        <v>3258</v>
      </c>
      <c r="AG987" t="s">
        <v>787</v>
      </c>
    </row>
    <row r="988" spans="1:33" ht="18.75" customHeight="1" x14ac:dyDescent="0.3">
      <c r="A988" s="1">
        <v>2010130900476</v>
      </c>
      <c r="B988" t="s">
        <v>210</v>
      </c>
      <c r="C988" t="s">
        <v>3259</v>
      </c>
      <c r="D988" t="s">
        <v>3227</v>
      </c>
      <c r="E988" t="s">
        <v>1354</v>
      </c>
      <c r="M988" t="s">
        <v>3228</v>
      </c>
      <c r="N988" t="s">
        <v>3229</v>
      </c>
      <c r="O988" t="s">
        <v>3230</v>
      </c>
      <c r="AG988" t="s">
        <v>787</v>
      </c>
    </row>
    <row r="989" spans="1:33" ht="18.75" customHeight="1" x14ac:dyDescent="0.3">
      <c r="A989" s="1">
        <v>2008130900934</v>
      </c>
      <c r="B989" t="s">
        <v>210</v>
      </c>
      <c r="C989" t="s">
        <v>3260</v>
      </c>
      <c r="D989" t="s">
        <v>3227</v>
      </c>
      <c r="E989" t="s">
        <v>1354</v>
      </c>
      <c r="M989" t="s">
        <v>3228</v>
      </c>
      <c r="N989" t="s">
        <v>3229</v>
      </c>
      <c r="O989" t="s">
        <v>3239</v>
      </c>
      <c r="AG989" t="s">
        <v>787</v>
      </c>
    </row>
    <row r="990" spans="1:33" ht="18.75" customHeight="1" x14ac:dyDescent="0.3">
      <c r="A990" s="1">
        <v>2008130900174</v>
      </c>
      <c r="B990" t="s">
        <v>210</v>
      </c>
      <c r="C990" t="s">
        <v>3261</v>
      </c>
      <c r="D990" t="s">
        <v>3227</v>
      </c>
      <c r="E990" t="s">
        <v>1354</v>
      </c>
      <c r="M990" t="s">
        <v>3228</v>
      </c>
      <c r="N990" t="s">
        <v>3229</v>
      </c>
      <c r="O990" t="s">
        <v>3230</v>
      </c>
      <c r="AG990" t="s">
        <v>787</v>
      </c>
    </row>
    <row r="991" spans="1:33" ht="18.75" customHeight="1" x14ac:dyDescent="0.3">
      <c r="A991" s="1">
        <v>2008130900504</v>
      </c>
      <c r="B991" t="s">
        <v>210</v>
      </c>
      <c r="C991" t="s">
        <v>3262</v>
      </c>
      <c r="D991" t="s">
        <v>3227</v>
      </c>
      <c r="E991" t="s">
        <v>1354</v>
      </c>
      <c r="M991" t="s">
        <v>3228</v>
      </c>
      <c r="N991" t="s">
        <v>3229</v>
      </c>
      <c r="O991" t="s">
        <v>3255</v>
      </c>
      <c r="AG991" t="s">
        <v>787</v>
      </c>
    </row>
    <row r="992" spans="1:33" ht="18.75" customHeight="1" x14ac:dyDescent="0.3">
      <c r="A992" s="1">
        <v>2009130900148</v>
      </c>
      <c r="B992" t="s">
        <v>210</v>
      </c>
      <c r="C992" t="s">
        <v>3263</v>
      </c>
      <c r="D992" t="s">
        <v>3227</v>
      </c>
      <c r="E992" t="s">
        <v>1354</v>
      </c>
      <c r="M992" t="s">
        <v>3228</v>
      </c>
      <c r="N992" t="s">
        <v>3229</v>
      </c>
      <c r="O992" t="s">
        <v>3230</v>
      </c>
      <c r="AG992" t="s">
        <v>787</v>
      </c>
    </row>
    <row r="993" spans="1:36" ht="18.75" customHeight="1" x14ac:dyDescent="0.3">
      <c r="A993" s="1">
        <v>2007130901306</v>
      </c>
      <c r="B993" t="s">
        <v>210</v>
      </c>
      <c r="C993" t="s">
        <v>3264</v>
      </c>
      <c r="D993" t="s">
        <v>3227</v>
      </c>
      <c r="E993" t="s">
        <v>1354</v>
      </c>
      <c r="M993" t="s">
        <v>3228</v>
      </c>
      <c r="N993" t="s">
        <v>3229</v>
      </c>
      <c r="O993" t="s">
        <v>3230</v>
      </c>
      <c r="AG993" t="s">
        <v>787</v>
      </c>
    </row>
    <row r="994" spans="1:36" ht="18.75" customHeight="1" x14ac:dyDescent="0.3">
      <c r="A994" s="1">
        <v>2008130900489</v>
      </c>
      <c r="B994" t="s">
        <v>210</v>
      </c>
      <c r="C994" t="s">
        <v>3265</v>
      </c>
      <c r="D994" t="s">
        <v>3227</v>
      </c>
      <c r="E994" t="s">
        <v>1354</v>
      </c>
      <c r="M994" t="s">
        <v>3228</v>
      </c>
      <c r="N994" t="s">
        <v>3229</v>
      </c>
      <c r="O994" t="s">
        <v>3266</v>
      </c>
      <c r="AG994" t="s">
        <v>787</v>
      </c>
    </row>
    <row r="995" spans="1:36" ht="18.75" customHeight="1" x14ac:dyDescent="0.3">
      <c r="A995" s="1">
        <v>2008130900752</v>
      </c>
      <c r="B995" t="s">
        <v>210</v>
      </c>
      <c r="C995" t="s">
        <v>3267</v>
      </c>
      <c r="D995" t="s">
        <v>3227</v>
      </c>
      <c r="E995" t="s">
        <v>1354</v>
      </c>
      <c r="M995" t="s">
        <v>3228</v>
      </c>
      <c r="N995" t="s">
        <v>3229</v>
      </c>
      <c r="O995" t="s">
        <v>3266</v>
      </c>
      <c r="AG995" t="s">
        <v>787</v>
      </c>
    </row>
    <row r="996" spans="1:36" ht="18.75" customHeight="1" x14ac:dyDescent="0.3">
      <c r="A996" s="1">
        <v>2011130900292</v>
      </c>
      <c r="B996" t="s">
        <v>210</v>
      </c>
      <c r="C996" t="s">
        <v>3268</v>
      </c>
      <c r="D996" t="s">
        <v>3227</v>
      </c>
      <c r="E996" t="s">
        <v>1354</v>
      </c>
      <c r="M996" t="s">
        <v>3228</v>
      </c>
      <c r="N996" t="s">
        <v>3229</v>
      </c>
      <c r="O996" t="s">
        <v>3230</v>
      </c>
      <c r="AG996" t="s">
        <v>787</v>
      </c>
    </row>
    <row r="997" spans="1:36" ht="18.75" customHeight="1" x14ac:dyDescent="0.3">
      <c r="A997" s="1">
        <v>2011130900242</v>
      </c>
      <c r="B997" t="s">
        <v>210</v>
      </c>
      <c r="C997" t="s">
        <v>3269</v>
      </c>
      <c r="D997" t="s">
        <v>3227</v>
      </c>
      <c r="E997" t="s">
        <v>1354</v>
      </c>
      <c r="M997" t="s">
        <v>3228</v>
      </c>
      <c r="N997" t="s">
        <v>3229</v>
      </c>
      <c r="O997" t="s">
        <v>3230</v>
      </c>
      <c r="AG997" t="s">
        <v>787</v>
      </c>
    </row>
    <row r="998" spans="1:36" ht="18.75" customHeight="1" x14ac:dyDescent="0.3">
      <c r="A998" s="1">
        <v>2021131814665</v>
      </c>
      <c r="B998" t="s">
        <v>125</v>
      </c>
      <c r="C998" t="s">
        <v>3270</v>
      </c>
      <c r="D998" t="s">
        <v>3271</v>
      </c>
      <c r="E998" t="s">
        <v>1354</v>
      </c>
      <c r="M998" t="s">
        <v>2546</v>
      </c>
      <c r="O998" t="s">
        <v>308</v>
      </c>
      <c r="AG998" t="s">
        <v>787</v>
      </c>
    </row>
    <row r="999" spans="1:36" ht="18.75" customHeight="1" x14ac:dyDescent="0.3">
      <c r="A999" s="1">
        <v>2021131807280</v>
      </c>
      <c r="B999" t="s">
        <v>125</v>
      </c>
      <c r="C999" t="s">
        <v>3272</v>
      </c>
      <c r="D999" t="s">
        <v>3271</v>
      </c>
      <c r="E999" t="s">
        <v>1354</v>
      </c>
      <c r="M999" t="s">
        <v>2546</v>
      </c>
      <c r="O999" t="s">
        <v>308</v>
      </c>
      <c r="AG999" t="s">
        <v>787</v>
      </c>
    </row>
    <row r="1000" spans="1:36" ht="18.75" customHeight="1" x14ac:dyDescent="0.3">
      <c r="A1000" s="1">
        <v>2012138313370</v>
      </c>
      <c r="B1000" t="s">
        <v>75</v>
      </c>
      <c r="C1000" t="s">
        <v>3273</v>
      </c>
      <c r="D1000" t="s">
        <v>3271</v>
      </c>
      <c r="E1000" t="s">
        <v>1354</v>
      </c>
      <c r="M1000" t="s">
        <v>2546</v>
      </c>
      <c r="O1000" t="s">
        <v>3274</v>
      </c>
      <c r="AG1000" t="s">
        <v>787</v>
      </c>
    </row>
    <row r="1001" spans="1:36" ht="18.75" customHeight="1" x14ac:dyDescent="0.3">
      <c r="A1001" s="1">
        <v>2010138309810</v>
      </c>
      <c r="B1001" t="s">
        <v>75</v>
      </c>
      <c r="C1001" t="s">
        <v>3275</v>
      </c>
      <c r="D1001" t="s">
        <v>3271</v>
      </c>
      <c r="E1001" t="s">
        <v>1354</v>
      </c>
      <c r="M1001" t="s">
        <v>2546</v>
      </c>
      <c r="O1001" t="s">
        <v>3046</v>
      </c>
      <c r="AG1001" t="s">
        <v>787</v>
      </c>
    </row>
    <row r="1002" spans="1:36" ht="18.75" customHeight="1" x14ac:dyDescent="0.3">
      <c r="A1002" s="1">
        <v>2005134701433</v>
      </c>
      <c r="B1002" t="s">
        <v>57</v>
      </c>
      <c r="C1002" t="s">
        <v>3276</v>
      </c>
      <c r="D1002" t="s">
        <v>3271</v>
      </c>
      <c r="E1002" t="s">
        <v>1354</v>
      </c>
      <c r="M1002" t="s">
        <v>2546</v>
      </c>
      <c r="O1002" t="s">
        <v>3277</v>
      </c>
      <c r="AG1002" t="s">
        <v>787</v>
      </c>
    </row>
    <row r="1003" spans="1:36" ht="18.75" customHeight="1" x14ac:dyDescent="0.3">
      <c r="A1003" s="1">
        <v>2008138304790</v>
      </c>
      <c r="B1003" t="s">
        <v>57</v>
      </c>
      <c r="C1003" t="s">
        <v>3278</v>
      </c>
      <c r="D1003" t="s">
        <v>3271</v>
      </c>
      <c r="E1003" t="s">
        <v>1354</v>
      </c>
      <c r="M1003" t="s">
        <v>2546</v>
      </c>
      <c r="O1003" t="s">
        <v>3279</v>
      </c>
      <c r="AG1003" t="s">
        <v>787</v>
      </c>
    </row>
    <row r="1004" spans="1:36" ht="18.75" customHeight="1" x14ac:dyDescent="0.3">
      <c r="A1004" s="1">
        <v>2010134700749</v>
      </c>
      <c r="B1004" t="s">
        <v>210</v>
      </c>
      <c r="C1004" t="s">
        <v>3280</v>
      </c>
      <c r="D1004" t="s">
        <v>3271</v>
      </c>
      <c r="E1004" t="s">
        <v>1354</v>
      </c>
      <c r="M1004" t="s">
        <v>2546</v>
      </c>
      <c r="O1004" t="s">
        <v>3281</v>
      </c>
      <c r="AG1004" t="s">
        <v>787</v>
      </c>
    </row>
    <row r="1005" spans="1:36" ht="18.75" customHeight="1" x14ac:dyDescent="0.3">
      <c r="A1005" s="1">
        <v>2010134700658</v>
      </c>
      <c r="B1005" t="s">
        <v>210</v>
      </c>
      <c r="C1005" t="s">
        <v>3282</v>
      </c>
      <c r="D1005" t="s">
        <v>3271</v>
      </c>
      <c r="E1005" t="s">
        <v>1354</v>
      </c>
      <c r="M1005" t="s">
        <v>2546</v>
      </c>
      <c r="O1005" t="s">
        <v>3283</v>
      </c>
      <c r="AG1005" t="s">
        <v>787</v>
      </c>
    </row>
    <row r="1006" spans="1:36" ht="18.75" customHeight="1" x14ac:dyDescent="0.3">
      <c r="A1006" s="1">
        <v>2014138327898</v>
      </c>
      <c r="B1006" t="s">
        <v>75</v>
      </c>
      <c r="C1006" t="s">
        <v>3284</v>
      </c>
      <c r="D1006" t="s">
        <v>3222</v>
      </c>
      <c r="E1006" t="s">
        <v>1354</v>
      </c>
      <c r="M1006" t="s">
        <v>726</v>
      </c>
      <c r="O1006" t="s">
        <v>3224</v>
      </c>
      <c r="AF1006" t="s">
        <v>787</v>
      </c>
    </row>
    <row r="1007" spans="1:36" ht="18.75" customHeight="1" x14ac:dyDescent="0.3">
      <c r="A1007" s="1">
        <v>2018130403474</v>
      </c>
      <c r="B1007" t="s">
        <v>125</v>
      </c>
      <c r="C1007" t="s">
        <v>3285</v>
      </c>
      <c r="D1007" t="s">
        <v>3286</v>
      </c>
      <c r="E1007" t="s">
        <v>1354</v>
      </c>
      <c r="F1007">
        <v>158</v>
      </c>
      <c r="G1007">
        <v>43279</v>
      </c>
      <c r="H1007">
        <v>44117</v>
      </c>
      <c r="I1007">
        <v>44117</v>
      </c>
      <c r="M1007" t="s">
        <v>1571</v>
      </c>
      <c r="N1007" t="s">
        <v>127</v>
      </c>
      <c r="O1007" t="s">
        <v>78</v>
      </c>
      <c r="Q1007" t="s">
        <v>49</v>
      </c>
      <c r="R1007">
        <v>1</v>
      </c>
      <c r="S1007">
        <v>0</v>
      </c>
      <c r="T1007">
        <v>0</v>
      </c>
      <c r="U1007" t="s">
        <v>3287</v>
      </c>
      <c r="V1007" t="s">
        <v>3288</v>
      </c>
      <c r="X1007">
        <v>37399</v>
      </c>
      <c r="Y1007" t="s">
        <v>103</v>
      </c>
      <c r="Z1007">
        <v>1</v>
      </c>
      <c r="AC1007" t="s">
        <v>2895</v>
      </c>
      <c r="AF1007">
        <v>76</v>
      </c>
      <c r="AG1007">
        <v>180</v>
      </c>
      <c r="AH1007">
        <v>-4</v>
      </c>
      <c r="AJ1007" t="s">
        <v>280</v>
      </c>
    </row>
    <row r="1008" spans="1:36" ht="18.75" customHeight="1" x14ac:dyDescent="0.3">
      <c r="A1008" s="1">
        <v>2018131808087</v>
      </c>
      <c r="B1008" t="s">
        <v>125</v>
      </c>
      <c r="C1008" t="s">
        <v>3289</v>
      </c>
      <c r="D1008" t="s">
        <v>3286</v>
      </c>
      <c r="E1008" t="s">
        <v>1354</v>
      </c>
      <c r="F1008">
        <v>158</v>
      </c>
      <c r="G1008">
        <v>43279</v>
      </c>
      <c r="H1008">
        <v>44117</v>
      </c>
      <c r="I1008">
        <v>44117</v>
      </c>
      <c r="M1008" t="s">
        <v>1571</v>
      </c>
      <c r="N1008" t="s">
        <v>127</v>
      </c>
      <c r="O1008" t="s">
        <v>608</v>
      </c>
      <c r="P1008" t="s">
        <v>49</v>
      </c>
      <c r="R1008">
        <v>0</v>
      </c>
      <c r="S1008">
        <v>0</v>
      </c>
      <c r="T1008">
        <v>0</v>
      </c>
      <c r="U1008" t="s">
        <v>3290</v>
      </c>
      <c r="V1008" t="s">
        <v>3291</v>
      </c>
      <c r="X1008">
        <v>35137</v>
      </c>
      <c r="Y1008" t="s">
        <v>153</v>
      </c>
      <c r="Z1008">
        <v>0</v>
      </c>
      <c r="AC1008" t="s">
        <v>3292</v>
      </c>
      <c r="AF1008">
        <v>72</v>
      </c>
      <c r="AG1008">
        <v>171</v>
      </c>
      <c r="AH1008">
        <v>1</v>
      </c>
      <c r="AJ1008" t="s">
        <v>280</v>
      </c>
    </row>
    <row r="1009" spans="1:40" ht="18.75" customHeight="1" x14ac:dyDescent="0.3">
      <c r="A1009" s="1">
        <v>201134701744</v>
      </c>
      <c r="B1009" t="s">
        <v>125</v>
      </c>
      <c r="C1009" t="s">
        <v>3293</v>
      </c>
      <c r="D1009" t="s">
        <v>3286</v>
      </c>
      <c r="E1009" t="s">
        <v>1354</v>
      </c>
      <c r="F1009">
        <v>160</v>
      </c>
      <c r="G1009">
        <v>44205</v>
      </c>
      <c r="H1009">
        <v>45197</v>
      </c>
      <c r="I1009">
        <v>45197</v>
      </c>
      <c r="M1009" t="s">
        <v>1571</v>
      </c>
      <c r="N1009" t="s">
        <v>127</v>
      </c>
      <c r="O1009" t="s">
        <v>3294</v>
      </c>
      <c r="Q1009" t="s">
        <v>49</v>
      </c>
      <c r="R1009">
        <v>0</v>
      </c>
      <c r="S1009">
        <v>0</v>
      </c>
      <c r="T1009">
        <v>0</v>
      </c>
      <c r="U1009" t="s">
        <v>3295</v>
      </c>
      <c r="V1009" t="s">
        <v>3296</v>
      </c>
      <c r="X1009">
        <v>37158</v>
      </c>
      <c r="Y1009" t="s">
        <v>153</v>
      </c>
      <c r="Z1009">
        <v>0</v>
      </c>
      <c r="AC1009" t="s">
        <v>3297</v>
      </c>
      <c r="AF1009">
        <v>73</v>
      </c>
      <c r="AG1009">
        <v>176</v>
      </c>
      <c r="AH1009">
        <v>-3</v>
      </c>
      <c r="AJ1009" t="s">
        <v>280</v>
      </c>
    </row>
    <row r="1010" spans="1:40" ht="18.75" customHeight="1" x14ac:dyDescent="0.3">
      <c r="A1010" s="1">
        <v>2021134701348</v>
      </c>
      <c r="B1010" t="s">
        <v>125</v>
      </c>
      <c r="C1010" t="s">
        <v>3298</v>
      </c>
      <c r="D1010" t="s">
        <v>3286</v>
      </c>
      <c r="E1010" t="s">
        <v>1354</v>
      </c>
      <c r="F1010">
        <v>160</v>
      </c>
      <c r="G1010">
        <v>44205</v>
      </c>
      <c r="H1010">
        <v>45197</v>
      </c>
      <c r="I1010">
        <v>45197</v>
      </c>
      <c r="M1010" t="s">
        <v>1571</v>
      </c>
      <c r="N1010" t="s">
        <v>127</v>
      </c>
      <c r="O1010" t="s">
        <v>3299</v>
      </c>
      <c r="Q1010" t="s">
        <v>49</v>
      </c>
      <c r="R1010">
        <v>0</v>
      </c>
      <c r="S1010">
        <v>0</v>
      </c>
      <c r="T1010">
        <v>0</v>
      </c>
      <c r="U1010" t="s">
        <v>3300</v>
      </c>
      <c r="V1010" t="s">
        <v>3301</v>
      </c>
      <c r="X1010">
        <v>37043</v>
      </c>
      <c r="Y1010" t="s">
        <v>153</v>
      </c>
      <c r="Z1010">
        <v>0</v>
      </c>
      <c r="AC1010" t="s">
        <v>834</v>
      </c>
      <c r="AF1010">
        <v>74</v>
      </c>
      <c r="AG1010">
        <v>175</v>
      </c>
      <c r="AH1010">
        <v>-1</v>
      </c>
      <c r="AJ1010" t="s">
        <v>280</v>
      </c>
    </row>
    <row r="1011" spans="1:40" ht="18.75" customHeight="1" x14ac:dyDescent="0.3">
      <c r="A1011" s="1">
        <v>2021134718872</v>
      </c>
      <c r="B1011" t="s">
        <v>125</v>
      </c>
      <c r="C1011" t="s">
        <v>3302</v>
      </c>
      <c r="D1011" t="s">
        <v>3286</v>
      </c>
      <c r="E1011" t="s">
        <v>1354</v>
      </c>
      <c r="F1011">
        <v>161</v>
      </c>
      <c r="G1011">
        <v>44546</v>
      </c>
      <c r="H1011">
        <v>45581</v>
      </c>
      <c r="I1011">
        <v>45581</v>
      </c>
      <c r="M1011" t="s">
        <v>1571</v>
      </c>
      <c r="N1011" t="s">
        <v>127</v>
      </c>
      <c r="O1011" t="s">
        <v>3299</v>
      </c>
      <c r="Q1011" t="s">
        <v>49</v>
      </c>
      <c r="R1011">
        <v>0</v>
      </c>
      <c r="S1011">
        <v>0</v>
      </c>
      <c r="T1011">
        <v>0</v>
      </c>
      <c r="U1011" t="s">
        <v>3303</v>
      </c>
      <c r="V1011" t="s">
        <v>3304</v>
      </c>
      <c r="X1011">
        <v>38585</v>
      </c>
      <c r="Y1011" t="s">
        <v>153</v>
      </c>
      <c r="Z1011">
        <v>0</v>
      </c>
      <c r="AC1011" t="s">
        <v>3305</v>
      </c>
      <c r="AF1011">
        <v>71</v>
      </c>
      <c r="AG1011">
        <v>176</v>
      </c>
      <c r="AH1011">
        <v>-5</v>
      </c>
      <c r="AJ1011" t="s">
        <v>280</v>
      </c>
    </row>
    <row r="1012" spans="1:40" ht="18.75" customHeight="1" x14ac:dyDescent="0.3">
      <c r="A1012" s="1">
        <v>2023134703598</v>
      </c>
      <c r="B1012" t="s">
        <v>125</v>
      </c>
      <c r="C1012" t="s">
        <v>3306</v>
      </c>
      <c r="D1012" t="s">
        <v>3286</v>
      </c>
      <c r="E1012" t="s">
        <v>1354</v>
      </c>
      <c r="F1012">
        <v>162</v>
      </c>
      <c r="G1012">
        <v>44941</v>
      </c>
      <c r="H1012">
        <v>45976</v>
      </c>
      <c r="I1012">
        <v>45976</v>
      </c>
      <c r="M1012" t="s">
        <v>1571</v>
      </c>
      <c r="N1012" t="s">
        <v>127</v>
      </c>
      <c r="O1012" t="s">
        <v>3294</v>
      </c>
      <c r="Q1012" t="s">
        <v>49</v>
      </c>
      <c r="R1012">
        <v>0</v>
      </c>
      <c r="S1012">
        <v>0</v>
      </c>
      <c r="T1012">
        <v>0</v>
      </c>
      <c r="U1012" t="s">
        <v>3307</v>
      </c>
      <c r="V1012" t="s">
        <v>3308</v>
      </c>
      <c r="X1012">
        <v>37561</v>
      </c>
      <c r="Y1012" t="s">
        <v>153</v>
      </c>
      <c r="Z1012">
        <v>0</v>
      </c>
      <c r="AC1012" t="s">
        <v>3309</v>
      </c>
      <c r="AF1012">
        <v>76</v>
      </c>
      <c r="AG1012">
        <v>175</v>
      </c>
      <c r="AH1012">
        <v>1</v>
      </c>
      <c r="AJ1012" t="s">
        <v>280</v>
      </c>
    </row>
    <row r="1013" spans="1:40" ht="18.75" customHeight="1" x14ac:dyDescent="0.3">
      <c r="A1013" s="1">
        <v>2015134709882</v>
      </c>
      <c r="B1013" t="s">
        <v>106</v>
      </c>
      <c r="C1013" t="s">
        <v>3310</v>
      </c>
      <c r="D1013" t="s">
        <v>2773</v>
      </c>
      <c r="E1013" t="s">
        <v>750</v>
      </c>
      <c r="AH1013" t="s">
        <v>787</v>
      </c>
      <c r="AN1013" t="s">
        <v>625</v>
      </c>
    </row>
    <row r="1014" spans="1:40" ht="18.75" customHeight="1" x14ac:dyDescent="0.3">
      <c r="A1014" s="1">
        <v>2021138316698</v>
      </c>
      <c r="B1014" t="s">
        <v>125</v>
      </c>
      <c r="C1014" t="s">
        <v>3311</v>
      </c>
      <c r="D1014" t="s">
        <v>2290</v>
      </c>
      <c r="E1014" t="s">
        <v>1354</v>
      </c>
      <c r="M1014" t="s">
        <v>3219</v>
      </c>
      <c r="O1014" t="s">
        <v>3312</v>
      </c>
      <c r="AG1014" t="s">
        <v>787</v>
      </c>
    </row>
    <row r="1015" spans="1:40" ht="18.75" customHeight="1" x14ac:dyDescent="0.3">
      <c r="A1015" s="1">
        <v>2021134714656</v>
      </c>
      <c r="B1015" t="s">
        <v>125</v>
      </c>
      <c r="C1015" t="s">
        <v>3313</v>
      </c>
      <c r="D1015" t="s">
        <v>2290</v>
      </c>
      <c r="E1015" t="s">
        <v>1354</v>
      </c>
      <c r="M1015" t="s">
        <v>3219</v>
      </c>
      <c r="O1015" t="s">
        <v>3314</v>
      </c>
      <c r="AG1015" t="s">
        <v>787</v>
      </c>
    </row>
    <row r="1016" spans="1:40" ht="18.75" customHeight="1" x14ac:dyDescent="0.3">
      <c r="A1016" s="1">
        <v>2023138305423</v>
      </c>
      <c r="B1016" t="s">
        <v>125</v>
      </c>
      <c r="C1016" t="s">
        <v>3315</v>
      </c>
      <c r="D1016" t="s">
        <v>2290</v>
      </c>
      <c r="E1016" t="s">
        <v>1354</v>
      </c>
      <c r="M1016" t="s">
        <v>3219</v>
      </c>
      <c r="O1016" t="s">
        <v>3312</v>
      </c>
      <c r="AG1016" t="s">
        <v>787</v>
      </c>
    </row>
    <row r="1017" spans="1:40" ht="18.75" customHeight="1" x14ac:dyDescent="0.3">
      <c r="A1017" s="1">
        <v>2021134706827</v>
      </c>
      <c r="B1017" t="s">
        <v>125</v>
      </c>
      <c r="C1017" t="s">
        <v>3316</v>
      </c>
      <c r="D1017" t="s">
        <v>2290</v>
      </c>
      <c r="E1017" t="s">
        <v>1354</v>
      </c>
      <c r="M1017" t="s">
        <v>3219</v>
      </c>
      <c r="O1017" t="s">
        <v>3314</v>
      </c>
      <c r="AG1017" t="s">
        <v>787</v>
      </c>
    </row>
    <row r="1018" spans="1:40" ht="18.75" customHeight="1" x14ac:dyDescent="0.3">
      <c r="A1018" s="1">
        <v>2019134704503</v>
      </c>
      <c r="B1018" t="s">
        <v>125</v>
      </c>
      <c r="C1018" t="s">
        <v>3317</v>
      </c>
      <c r="D1018" t="s">
        <v>2290</v>
      </c>
      <c r="E1018" t="s">
        <v>1354</v>
      </c>
      <c r="M1018" t="s">
        <v>3219</v>
      </c>
      <c r="O1018" t="s">
        <v>3314</v>
      </c>
      <c r="AG1018" t="s">
        <v>787</v>
      </c>
    </row>
    <row r="1019" spans="1:40" ht="18.75" customHeight="1" x14ac:dyDescent="0.3">
      <c r="A1019" s="1">
        <v>2019138317469</v>
      </c>
      <c r="B1019" t="s">
        <v>125</v>
      </c>
      <c r="C1019" t="s">
        <v>3318</v>
      </c>
      <c r="D1019" t="s">
        <v>2290</v>
      </c>
      <c r="E1019" t="s">
        <v>1354</v>
      </c>
      <c r="M1019" t="s">
        <v>3219</v>
      </c>
      <c r="O1019" t="s">
        <v>3319</v>
      </c>
      <c r="AG1019" t="s">
        <v>787</v>
      </c>
    </row>
    <row r="1020" spans="1:40" ht="18.75" customHeight="1" x14ac:dyDescent="0.3">
      <c r="A1020" s="1">
        <v>2019131804885</v>
      </c>
      <c r="B1020" t="s">
        <v>125</v>
      </c>
      <c r="C1020" t="s">
        <v>3320</v>
      </c>
      <c r="D1020" t="s">
        <v>2290</v>
      </c>
      <c r="E1020" t="s">
        <v>1354</v>
      </c>
      <c r="M1020" t="s">
        <v>3219</v>
      </c>
      <c r="O1020" t="s">
        <v>608</v>
      </c>
      <c r="AG1020" t="s">
        <v>787</v>
      </c>
    </row>
    <row r="1021" spans="1:40" ht="18.75" customHeight="1" x14ac:dyDescent="0.3">
      <c r="A1021" s="1">
        <v>2021134700605</v>
      </c>
      <c r="B1021" t="s">
        <v>125</v>
      </c>
      <c r="C1021" t="s">
        <v>3321</v>
      </c>
      <c r="D1021" t="s">
        <v>2290</v>
      </c>
      <c r="E1021" t="s">
        <v>1354</v>
      </c>
      <c r="M1021" t="s">
        <v>3219</v>
      </c>
      <c r="O1021" t="s">
        <v>3314</v>
      </c>
      <c r="AG1021" t="s">
        <v>787</v>
      </c>
    </row>
    <row r="1022" spans="1:40" ht="18.75" customHeight="1" x14ac:dyDescent="0.3">
      <c r="A1022" s="1">
        <v>2019138315885</v>
      </c>
      <c r="B1022" t="s">
        <v>125</v>
      </c>
      <c r="C1022" t="s">
        <v>3322</v>
      </c>
      <c r="D1022" t="s">
        <v>2290</v>
      </c>
      <c r="E1022" t="s">
        <v>1354</v>
      </c>
      <c r="M1022" t="s">
        <v>3219</v>
      </c>
      <c r="O1022" t="s">
        <v>3319</v>
      </c>
      <c r="AG1022" t="s">
        <v>787</v>
      </c>
    </row>
    <row r="1023" spans="1:40" ht="18.75" customHeight="1" x14ac:dyDescent="0.3">
      <c r="A1023" s="1">
        <v>2019134701442</v>
      </c>
      <c r="B1023" t="s">
        <v>125</v>
      </c>
      <c r="C1023" t="s">
        <v>3323</v>
      </c>
      <c r="D1023" t="s">
        <v>2290</v>
      </c>
      <c r="E1023" t="s">
        <v>1354</v>
      </c>
      <c r="M1023" t="s">
        <v>3219</v>
      </c>
      <c r="O1023" t="s">
        <v>3314</v>
      </c>
      <c r="AG1023" t="s">
        <v>787</v>
      </c>
    </row>
    <row r="1024" spans="1:40" ht="18.75" customHeight="1" x14ac:dyDescent="0.3">
      <c r="A1024" s="1">
        <v>2021138306243</v>
      </c>
      <c r="B1024" t="s">
        <v>125</v>
      </c>
      <c r="C1024" t="s">
        <v>3324</v>
      </c>
      <c r="D1024" t="s">
        <v>2290</v>
      </c>
      <c r="E1024" t="s">
        <v>1354</v>
      </c>
      <c r="M1024" t="s">
        <v>3219</v>
      </c>
      <c r="O1024" t="s">
        <v>3220</v>
      </c>
      <c r="AG1024" t="s">
        <v>787</v>
      </c>
    </row>
    <row r="1025" spans="1:33" ht="18.75" customHeight="1" x14ac:dyDescent="0.3">
      <c r="A1025" s="1">
        <v>2016130401076</v>
      </c>
      <c r="B1025" t="s">
        <v>106</v>
      </c>
      <c r="C1025" t="s">
        <v>3325</v>
      </c>
      <c r="D1025" t="s">
        <v>2290</v>
      </c>
      <c r="E1025" t="s">
        <v>1354</v>
      </c>
      <c r="M1025" t="s">
        <v>3219</v>
      </c>
      <c r="O1025" t="s">
        <v>379</v>
      </c>
      <c r="AG1025" t="s">
        <v>787</v>
      </c>
    </row>
    <row r="1026" spans="1:33" ht="18.75" customHeight="1" x14ac:dyDescent="0.3">
      <c r="A1026" s="1">
        <v>2018134708606</v>
      </c>
      <c r="B1026" t="s">
        <v>106</v>
      </c>
      <c r="C1026" t="s">
        <v>3326</v>
      </c>
      <c r="D1026" t="s">
        <v>2290</v>
      </c>
      <c r="E1026" t="s">
        <v>1354</v>
      </c>
      <c r="M1026" t="s">
        <v>3219</v>
      </c>
      <c r="O1026" t="s">
        <v>3327</v>
      </c>
      <c r="AG1026" t="s">
        <v>787</v>
      </c>
    </row>
    <row r="1027" spans="1:33" ht="18.75" customHeight="1" x14ac:dyDescent="0.3">
      <c r="A1027" s="1">
        <v>2015134704535</v>
      </c>
      <c r="B1027" t="s">
        <v>106</v>
      </c>
      <c r="C1027" t="s">
        <v>3328</v>
      </c>
      <c r="D1027" t="s">
        <v>2290</v>
      </c>
      <c r="E1027" t="s">
        <v>1354</v>
      </c>
      <c r="M1027" t="s">
        <v>3219</v>
      </c>
      <c r="O1027" t="s">
        <v>3329</v>
      </c>
      <c r="AG1027" t="s">
        <v>787</v>
      </c>
    </row>
    <row r="1028" spans="1:33" ht="18.75" customHeight="1" x14ac:dyDescent="0.3">
      <c r="A1028" s="1">
        <v>2018138310168</v>
      </c>
      <c r="B1028" t="s">
        <v>106</v>
      </c>
      <c r="C1028" t="s">
        <v>3330</v>
      </c>
      <c r="D1028" t="s">
        <v>2290</v>
      </c>
      <c r="E1028" t="s">
        <v>1354</v>
      </c>
      <c r="M1028" t="s">
        <v>3219</v>
      </c>
      <c r="O1028" t="s">
        <v>3319</v>
      </c>
      <c r="AG1028" t="s">
        <v>787</v>
      </c>
    </row>
    <row r="1029" spans="1:33" ht="18.75" customHeight="1" x14ac:dyDescent="0.3">
      <c r="A1029" s="1">
        <v>2015138305214</v>
      </c>
      <c r="B1029" t="s">
        <v>106</v>
      </c>
      <c r="C1029" t="s">
        <v>3331</v>
      </c>
      <c r="D1029" t="s">
        <v>2290</v>
      </c>
      <c r="E1029" t="s">
        <v>1354</v>
      </c>
      <c r="M1029" t="s">
        <v>3219</v>
      </c>
      <c r="O1029" t="s">
        <v>3319</v>
      </c>
      <c r="AG1029" t="s">
        <v>787</v>
      </c>
    </row>
    <row r="1030" spans="1:33" ht="18.75" customHeight="1" x14ac:dyDescent="0.3">
      <c r="A1030" s="1">
        <v>2013134704513</v>
      </c>
      <c r="B1030" t="s">
        <v>75</v>
      </c>
      <c r="C1030" t="s">
        <v>3332</v>
      </c>
      <c r="D1030" t="s">
        <v>2290</v>
      </c>
      <c r="E1030" t="s">
        <v>1354</v>
      </c>
      <c r="M1030" t="s">
        <v>3219</v>
      </c>
      <c r="O1030" t="s">
        <v>3333</v>
      </c>
      <c r="AG1030" t="s">
        <v>787</v>
      </c>
    </row>
    <row r="1031" spans="1:33" ht="18.75" customHeight="1" x14ac:dyDescent="0.3">
      <c r="A1031" s="1">
        <v>2011134702280</v>
      </c>
      <c r="B1031" t="s">
        <v>75</v>
      </c>
      <c r="C1031" t="s">
        <v>3334</v>
      </c>
      <c r="D1031" t="s">
        <v>2290</v>
      </c>
      <c r="E1031" t="s">
        <v>1354</v>
      </c>
      <c r="M1031" t="s">
        <v>3219</v>
      </c>
      <c r="O1031" t="s">
        <v>3327</v>
      </c>
      <c r="AG1031" t="s">
        <v>787</v>
      </c>
    </row>
    <row r="1032" spans="1:33" ht="18.75" customHeight="1" x14ac:dyDescent="0.3">
      <c r="A1032" s="1">
        <v>2012134703179</v>
      </c>
      <c r="B1032" t="s">
        <v>75</v>
      </c>
      <c r="C1032" t="s">
        <v>3335</v>
      </c>
      <c r="D1032" t="s">
        <v>2290</v>
      </c>
      <c r="E1032" t="s">
        <v>1354</v>
      </c>
      <c r="M1032" t="s">
        <v>3219</v>
      </c>
      <c r="O1032" t="s">
        <v>3336</v>
      </c>
      <c r="AG1032" t="s">
        <v>787</v>
      </c>
    </row>
    <row r="1033" spans="1:33" ht="18.75" customHeight="1" x14ac:dyDescent="0.3">
      <c r="A1033" s="1">
        <v>2015134716382</v>
      </c>
      <c r="B1033" t="s">
        <v>75</v>
      </c>
      <c r="C1033" t="s">
        <v>3337</v>
      </c>
      <c r="D1033" t="s">
        <v>2290</v>
      </c>
      <c r="E1033" t="s">
        <v>1354</v>
      </c>
      <c r="M1033" t="s">
        <v>3219</v>
      </c>
      <c r="O1033" t="s">
        <v>3329</v>
      </c>
      <c r="AG1033" t="s">
        <v>787</v>
      </c>
    </row>
    <row r="1034" spans="1:33" ht="18.75" customHeight="1" x14ac:dyDescent="0.3">
      <c r="A1034" s="1">
        <v>2011134705804</v>
      </c>
      <c r="B1034" t="s">
        <v>75</v>
      </c>
      <c r="C1034" t="s">
        <v>3338</v>
      </c>
      <c r="D1034" t="s">
        <v>2290</v>
      </c>
      <c r="E1034" t="s">
        <v>1354</v>
      </c>
      <c r="M1034" t="s">
        <v>3219</v>
      </c>
      <c r="O1034" t="s">
        <v>3314</v>
      </c>
      <c r="AG1034" t="s">
        <v>787</v>
      </c>
    </row>
    <row r="1035" spans="1:33" ht="18.75" customHeight="1" x14ac:dyDescent="0.3">
      <c r="A1035" s="1">
        <v>2011134705250</v>
      </c>
      <c r="B1035" t="s">
        <v>75</v>
      </c>
      <c r="C1035" t="s">
        <v>3339</v>
      </c>
      <c r="D1035" t="s">
        <v>2290</v>
      </c>
      <c r="E1035" t="s">
        <v>1354</v>
      </c>
      <c r="M1035" t="s">
        <v>3219</v>
      </c>
      <c r="O1035" t="s">
        <v>3329</v>
      </c>
      <c r="AG1035" t="s">
        <v>787</v>
      </c>
    </row>
    <row r="1036" spans="1:33" ht="18.75" customHeight="1" x14ac:dyDescent="0.3">
      <c r="A1036" s="1">
        <v>2013134703474</v>
      </c>
      <c r="B1036" t="s">
        <v>75</v>
      </c>
      <c r="C1036" t="s">
        <v>3340</v>
      </c>
      <c r="D1036" t="s">
        <v>2290</v>
      </c>
      <c r="E1036" t="s">
        <v>1354</v>
      </c>
      <c r="M1036" t="s">
        <v>3219</v>
      </c>
      <c r="O1036" t="s">
        <v>3314</v>
      </c>
      <c r="AG1036" t="s">
        <v>787</v>
      </c>
    </row>
    <row r="1037" spans="1:33" ht="18.75" customHeight="1" x14ac:dyDescent="0.3">
      <c r="A1037" s="1">
        <v>2015134712570</v>
      </c>
      <c r="B1037" t="s">
        <v>75</v>
      </c>
      <c r="C1037" t="s">
        <v>3341</v>
      </c>
      <c r="D1037" t="s">
        <v>2290</v>
      </c>
      <c r="E1037" t="s">
        <v>1354</v>
      </c>
      <c r="M1037" t="s">
        <v>3219</v>
      </c>
      <c r="O1037" t="s">
        <v>3329</v>
      </c>
      <c r="AG1037" t="s">
        <v>787</v>
      </c>
    </row>
    <row r="1038" spans="1:33" ht="18.75" customHeight="1" x14ac:dyDescent="0.3">
      <c r="A1038" s="1">
        <v>2010134704072</v>
      </c>
      <c r="B1038" t="s">
        <v>75</v>
      </c>
      <c r="C1038" t="s">
        <v>3342</v>
      </c>
      <c r="D1038" t="s">
        <v>2290</v>
      </c>
      <c r="E1038" t="s">
        <v>1354</v>
      </c>
      <c r="M1038" t="s">
        <v>3219</v>
      </c>
      <c r="O1038" t="s">
        <v>3343</v>
      </c>
      <c r="AG1038" t="s">
        <v>787</v>
      </c>
    </row>
    <row r="1039" spans="1:33" ht="18.75" customHeight="1" x14ac:dyDescent="0.3">
      <c r="A1039" s="1">
        <v>2010134703917</v>
      </c>
      <c r="B1039" t="s">
        <v>75</v>
      </c>
      <c r="C1039" t="s">
        <v>3344</v>
      </c>
      <c r="D1039" t="s">
        <v>2290</v>
      </c>
      <c r="E1039" t="s">
        <v>1354</v>
      </c>
      <c r="M1039" t="s">
        <v>3219</v>
      </c>
      <c r="O1039" t="s">
        <v>3343</v>
      </c>
      <c r="AG1039" t="s">
        <v>787</v>
      </c>
    </row>
    <row r="1040" spans="1:33" ht="18.75" customHeight="1" x14ac:dyDescent="0.3">
      <c r="A1040" s="1">
        <v>2010134703652</v>
      </c>
      <c r="B1040" t="s">
        <v>75</v>
      </c>
      <c r="C1040" t="s">
        <v>3345</v>
      </c>
      <c r="D1040" t="s">
        <v>2290</v>
      </c>
      <c r="E1040" t="s">
        <v>1354</v>
      </c>
      <c r="M1040" t="s">
        <v>3219</v>
      </c>
      <c r="O1040" t="s">
        <v>3343</v>
      </c>
      <c r="AG1040" t="s">
        <v>787</v>
      </c>
    </row>
    <row r="1041" spans="1:33" ht="18.75" customHeight="1" x14ac:dyDescent="0.3">
      <c r="A1041" s="1">
        <v>2014134700981</v>
      </c>
      <c r="B1041" t="s">
        <v>75</v>
      </c>
      <c r="C1041" t="s">
        <v>3346</v>
      </c>
      <c r="D1041" t="s">
        <v>2290</v>
      </c>
      <c r="E1041" t="s">
        <v>1354</v>
      </c>
      <c r="M1041" t="s">
        <v>3219</v>
      </c>
      <c r="O1041" t="s">
        <v>3336</v>
      </c>
      <c r="AG1041" t="s">
        <v>787</v>
      </c>
    </row>
    <row r="1042" spans="1:33" ht="18.75" customHeight="1" x14ac:dyDescent="0.3">
      <c r="A1042" s="1">
        <v>2012134703145</v>
      </c>
      <c r="B1042" t="s">
        <v>75</v>
      </c>
      <c r="C1042" t="s">
        <v>3347</v>
      </c>
      <c r="D1042" t="s">
        <v>2290</v>
      </c>
      <c r="E1042" t="s">
        <v>1354</v>
      </c>
      <c r="M1042" t="s">
        <v>3219</v>
      </c>
      <c r="O1042" t="s">
        <v>3329</v>
      </c>
      <c r="AG1042" t="s">
        <v>787</v>
      </c>
    </row>
    <row r="1043" spans="1:33" ht="18.75" customHeight="1" x14ac:dyDescent="0.3">
      <c r="A1043" s="1">
        <v>2011134705101</v>
      </c>
      <c r="B1043" t="s">
        <v>75</v>
      </c>
      <c r="C1043" t="s">
        <v>3348</v>
      </c>
      <c r="D1043" t="s">
        <v>2290</v>
      </c>
      <c r="E1043" t="s">
        <v>1354</v>
      </c>
      <c r="M1043" t="s">
        <v>3219</v>
      </c>
      <c r="O1043" t="s">
        <v>3336</v>
      </c>
      <c r="AG1043" t="s">
        <v>787</v>
      </c>
    </row>
    <row r="1044" spans="1:33" ht="18.75" customHeight="1" x14ac:dyDescent="0.3">
      <c r="A1044" s="1">
        <v>2010134703785</v>
      </c>
      <c r="B1044" t="s">
        <v>75</v>
      </c>
      <c r="C1044" t="s">
        <v>3349</v>
      </c>
      <c r="D1044" t="s">
        <v>2290</v>
      </c>
      <c r="E1044" t="s">
        <v>1354</v>
      </c>
      <c r="M1044" t="s">
        <v>3219</v>
      </c>
      <c r="O1044" t="s">
        <v>3329</v>
      </c>
      <c r="AG1044" t="s">
        <v>787</v>
      </c>
    </row>
    <row r="1045" spans="1:33" ht="18.75" customHeight="1" x14ac:dyDescent="0.3">
      <c r="A1045" s="1">
        <v>2013134706973</v>
      </c>
      <c r="B1045" t="s">
        <v>75</v>
      </c>
      <c r="C1045" t="s">
        <v>3350</v>
      </c>
      <c r="D1045" t="s">
        <v>2290</v>
      </c>
      <c r="E1045" t="s">
        <v>1354</v>
      </c>
      <c r="M1045" t="s">
        <v>3219</v>
      </c>
      <c r="O1045" t="s">
        <v>3336</v>
      </c>
      <c r="AG1045" t="s">
        <v>787</v>
      </c>
    </row>
    <row r="1046" spans="1:33" ht="18.75" customHeight="1" x14ac:dyDescent="0.3">
      <c r="A1046" s="1">
        <v>2010134703868</v>
      </c>
      <c r="B1046" t="s">
        <v>75</v>
      </c>
      <c r="C1046" t="s">
        <v>3351</v>
      </c>
      <c r="D1046" t="s">
        <v>2290</v>
      </c>
      <c r="E1046" t="s">
        <v>1354</v>
      </c>
      <c r="M1046" t="s">
        <v>3219</v>
      </c>
      <c r="O1046" t="s">
        <v>3343</v>
      </c>
      <c r="AG1046" t="s">
        <v>787</v>
      </c>
    </row>
    <row r="1047" spans="1:33" ht="18.75" customHeight="1" x14ac:dyDescent="0.3">
      <c r="A1047" s="1">
        <v>2013134708333</v>
      </c>
      <c r="B1047" t="s">
        <v>75</v>
      </c>
      <c r="C1047" t="s">
        <v>3352</v>
      </c>
      <c r="D1047" t="s">
        <v>2290</v>
      </c>
      <c r="E1047" t="s">
        <v>1354</v>
      </c>
      <c r="M1047" t="s">
        <v>3219</v>
      </c>
      <c r="O1047" t="s">
        <v>3336</v>
      </c>
      <c r="AG1047" t="s">
        <v>787</v>
      </c>
    </row>
    <row r="1048" spans="1:33" ht="18.75" customHeight="1" x14ac:dyDescent="0.3">
      <c r="A1048" s="1">
        <v>2007134704392</v>
      </c>
      <c r="B1048" t="s">
        <v>75</v>
      </c>
      <c r="C1048" t="s">
        <v>3353</v>
      </c>
      <c r="D1048" t="s">
        <v>2290</v>
      </c>
      <c r="E1048" t="s">
        <v>1354</v>
      </c>
      <c r="M1048" t="s">
        <v>3219</v>
      </c>
      <c r="O1048" t="s">
        <v>3354</v>
      </c>
      <c r="AG1048" t="s">
        <v>787</v>
      </c>
    </row>
    <row r="1049" spans="1:33" ht="18.75" customHeight="1" x14ac:dyDescent="0.3">
      <c r="A1049" s="1">
        <v>2014134701757</v>
      </c>
      <c r="B1049" t="s">
        <v>75</v>
      </c>
      <c r="C1049" t="s">
        <v>3355</v>
      </c>
      <c r="D1049" t="s">
        <v>2290</v>
      </c>
      <c r="E1049" t="s">
        <v>1354</v>
      </c>
      <c r="M1049" t="s">
        <v>3219</v>
      </c>
      <c r="O1049" t="s">
        <v>3327</v>
      </c>
      <c r="AG1049" t="s">
        <v>787</v>
      </c>
    </row>
    <row r="1050" spans="1:33" ht="18.75" customHeight="1" x14ac:dyDescent="0.3">
      <c r="A1050" s="1">
        <v>2010134702662</v>
      </c>
      <c r="B1050" t="s">
        <v>75</v>
      </c>
      <c r="C1050" t="s">
        <v>3356</v>
      </c>
      <c r="D1050" t="s">
        <v>2290</v>
      </c>
      <c r="E1050" t="s">
        <v>1354</v>
      </c>
      <c r="M1050" t="s">
        <v>3219</v>
      </c>
      <c r="O1050" t="s">
        <v>3314</v>
      </c>
      <c r="AG1050" t="s">
        <v>787</v>
      </c>
    </row>
    <row r="1051" spans="1:33" ht="18.75" customHeight="1" x14ac:dyDescent="0.3">
      <c r="A1051" s="1">
        <v>2010134702753</v>
      </c>
      <c r="B1051" t="s">
        <v>75</v>
      </c>
      <c r="C1051" t="s">
        <v>3357</v>
      </c>
      <c r="D1051" t="s">
        <v>2290</v>
      </c>
      <c r="E1051" t="s">
        <v>1354</v>
      </c>
      <c r="M1051" t="s">
        <v>3219</v>
      </c>
      <c r="O1051" t="s">
        <v>3314</v>
      </c>
      <c r="AG1051" t="s">
        <v>787</v>
      </c>
    </row>
    <row r="1052" spans="1:33" ht="18.75" customHeight="1" x14ac:dyDescent="0.3">
      <c r="A1052" s="1">
        <v>2013134707575</v>
      </c>
      <c r="B1052" t="s">
        <v>75</v>
      </c>
      <c r="C1052" t="s">
        <v>3358</v>
      </c>
      <c r="D1052" t="s">
        <v>2290</v>
      </c>
      <c r="E1052" t="s">
        <v>1354</v>
      </c>
      <c r="M1052" t="s">
        <v>3219</v>
      </c>
      <c r="O1052" t="s">
        <v>3329</v>
      </c>
      <c r="AG1052" t="s">
        <v>787</v>
      </c>
    </row>
    <row r="1053" spans="1:33" ht="18.75" customHeight="1" x14ac:dyDescent="0.3">
      <c r="A1053" s="1">
        <v>2005134703281</v>
      </c>
      <c r="B1053" t="s">
        <v>57</v>
      </c>
      <c r="C1053" t="s">
        <v>3359</v>
      </c>
      <c r="D1053" t="s">
        <v>2290</v>
      </c>
      <c r="E1053" t="s">
        <v>1354</v>
      </c>
      <c r="M1053" t="s">
        <v>3219</v>
      </c>
      <c r="O1053" t="s">
        <v>3314</v>
      </c>
      <c r="AG1053" t="s">
        <v>787</v>
      </c>
    </row>
    <row r="1054" spans="1:33" ht="18.75" customHeight="1" x14ac:dyDescent="0.3">
      <c r="A1054" s="1">
        <v>2009138307205</v>
      </c>
      <c r="B1054" t="s">
        <v>57</v>
      </c>
      <c r="C1054" t="s">
        <v>3360</v>
      </c>
      <c r="D1054" t="s">
        <v>2290</v>
      </c>
      <c r="E1054" t="s">
        <v>1354</v>
      </c>
      <c r="M1054" t="s">
        <v>3219</v>
      </c>
      <c r="O1054" t="s">
        <v>3312</v>
      </c>
      <c r="AG1054" t="s">
        <v>787</v>
      </c>
    </row>
    <row r="1055" spans="1:33" ht="18.75" customHeight="1" x14ac:dyDescent="0.3">
      <c r="A1055" s="1">
        <v>2005134703421</v>
      </c>
      <c r="B1055" t="s">
        <v>57</v>
      </c>
      <c r="C1055" t="s">
        <v>3361</v>
      </c>
      <c r="D1055" t="s">
        <v>2290</v>
      </c>
      <c r="E1055" t="s">
        <v>1354</v>
      </c>
      <c r="M1055" t="s">
        <v>3219</v>
      </c>
      <c r="O1055" t="s">
        <v>3329</v>
      </c>
      <c r="AG1055" t="s">
        <v>787</v>
      </c>
    </row>
    <row r="1056" spans="1:33" ht="18.75" customHeight="1" x14ac:dyDescent="0.3">
      <c r="A1056" s="1">
        <v>2008134704499</v>
      </c>
      <c r="B1056" t="s">
        <v>57</v>
      </c>
      <c r="C1056" t="s">
        <v>3362</v>
      </c>
      <c r="D1056" t="s">
        <v>2290</v>
      </c>
      <c r="E1056" t="s">
        <v>1354</v>
      </c>
      <c r="M1056" t="s">
        <v>3219</v>
      </c>
      <c r="O1056" t="s">
        <v>3343</v>
      </c>
      <c r="AG1056" t="s">
        <v>787</v>
      </c>
    </row>
    <row r="1057" spans="1:33" ht="18.75" customHeight="1" x14ac:dyDescent="0.3">
      <c r="A1057" s="1">
        <v>2008134701437</v>
      </c>
      <c r="B1057" t="s">
        <v>57</v>
      </c>
      <c r="C1057" t="s">
        <v>3363</v>
      </c>
      <c r="D1057" t="s">
        <v>2290</v>
      </c>
      <c r="E1057" t="s">
        <v>1354</v>
      </c>
      <c r="M1057" t="s">
        <v>3219</v>
      </c>
      <c r="O1057" t="s">
        <v>3327</v>
      </c>
      <c r="AG1057" t="s">
        <v>787</v>
      </c>
    </row>
    <row r="1058" spans="1:33" ht="18.75" customHeight="1" x14ac:dyDescent="0.3">
      <c r="A1058" s="1">
        <v>2007131800028</v>
      </c>
      <c r="B1058" t="s">
        <v>57</v>
      </c>
      <c r="C1058" t="s">
        <v>3364</v>
      </c>
      <c r="D1058" t="s">
        <v>2290</v>
      </c>
      <c r="E1058" t="s">
        <v>1354</v>
      </c>
      <c r="M1058" t="s">
        <v>3219</v>
      </c>
      <c r="O1058" t="s">
        <v>3365</v>
      </c>
      <c r="AG1058" t="s">
        <v>787</v>
      </c>
    </row>
    <row r="1059" spans="1:33" ht="18.75" customHeight="1" x14ac:dyDescent="0.3">
      <c r="A1059" s="1">
        <v>2008134704613</v>
      </c>
      <c r="B1059" t="s">
        <v>57</v>
      </c>
      <c r="C1059" t="s">
        <v>3366</v>
      </c>
      <c r="D1059" t="s">
        <v>2290</v>
      </c>
      <c r="E1059" t="s">
        <v>1354</v>
      </c>
      <c r="M1059" t="s">
        <v>3219</v>
      </c>
      <c r="O1059" t="s">
        <v>3329</v>
      </c>
      <c r="AG1059" t="s">
        <v>787</v>
      </c>
    </row>
    <row r="1060" spans="1:33" ht="18.75" customHeight="1" x14ac:dyDescent="0.3">
      <c r="A1060" s="1">
        <v>2008134704126</v>
      </c>
      <c r="B1060" t="s">
        <v>57</v>
      </c>
      <c r="C1060" t="s">
        <v>3367</v>
      </c>
      <c r="D1060" t="s">
        <v>2290</v>
      </c>
      <c r="E1060" t="s">
        <v>1354</v>
      </c>
      <c r="M1060" t="s">
        <v>3219</v>
      </c>
      <c r="O1060" t="s">
        <v>3343</v>
      </c>
      <c r="AG1060" t="s">
        <v>787</v>
      </c>
    </row>
    <row r="1061" spans="1:33" ht="18.75" customHeight="1" x14ac:dyDescent="0.3">
      <c r="A1061" s="1">
        <v>2008134704556</v>
      </c>
      <c r="B1061" t="s">
        <v>57</v>
      </c>
      <c r="C1061" t="s">
        <v>3368</v>
      </c>
      <c r="D1061" t="s">
        <v>2290</v>
      </c>
      <c r="E1061" t="s">
        <v>1354</v>
      </c>
      <c r="M1061" t="s">
        <v>3219</v>
      </c>
      <c r="O1061" t="s">
        <v>3329</v>
      </c>
      <c r="AG1061" t="s">
        <v>787</v>
      </c>
    </row>
    <row r="1062" spans="1:33" ht="18.75" customHeight="1" x14ac:dyDescent="0.3">
      <c r="A1062" s="1">
        <v>2001134702330</v>
      </c>
      <c r="B1062" t="s">
        <v>210</v>
      </c>
      <c r="C1062" t="s">
        <v>3369</v>
      </c>
      <c r="D1062" t="s">
        <v>2290</v>
      </c>
      <c r="E1062" t="s">
        <v>1354</v>
      </c>
      <c r="M1062" t="s">
        <v>3219</v>
      </c>
      <c r="O1062" t="s">
        <v>3343</v>
      </c>
      <c r="AG1062" t="s">
        <v>787</v>
      </c>
    </row>
    <row r="1063" spans="1:33" ht="18.75" customHeight="1" x14ac:dyDescent="0.3">
      <c r="A1063" s="1">
        <v>2001134700897</v>
      </c>
      <c r="B1063" t="s">
        <v>210</v>
      </c>
      <c r="C1063" t="s">
        <v>3370</v>
      </c>
      <c r="D1063" t="s">
        <v>2290</v>
      </c>
      <c r="E1063" t="s">
        <v>1354</v>
      </c>
      <c r="M1063" t="s">
        <v>3219</v>
      </c>
      <c r="O1063" t="s">
        <v>3371</v>
      </c>
      <c r="AG1063" t="s">
        <v>787</v>
      </c>
    </row>
    <row r="1064" spans="1:33" ht="18.75" customHeight="1" x14ac:dyDescent="0.3">
      <c r="A1064" s="1">
        <v>2012134791463</v>
      </c>
      <c r="B1064" t="s">
        <v>66</v>
      </c>
      <c r="C1064" t="s">
        <v>3372</v>
      </c>
      <c r="D1064" t="s">
        <v>2290</v>
      </c>
      <c r="E1064" t="s">
        <v>1354</v>
      </c>
      <c r="M1064" t="s">
        <v>3219</v>
      </c>
      <c r="O1064" t="s">
        <v>3329</v>
      </c>
      <c r="AG1064" t="s">
        <v>787</v>
      </c>
    </row>
    <row r="1065" spans="1:33" ht="18.75" customHeight="1" x14ac:dyDescent="0.3">
      <c r="A1065" s="1">
        <v>2014134791724</v>
      </c>
      <c r="B1065" t="s">
        <v>66</v>
      </c>
      <c r="C1065" t="s">
        <v>3373</v>
      </c>
      <c r="D1065" t="s">
        <v>2290</v>
      </c>
      <c r="E1065" t="s">
        <v>1354</v>
      </c>
      <c r="M1065" t="s">
        <v>3219</v>
      </c>
      <c r="O1065" t="s">
        <v>3329</v>
      </c>
      <c r="AG1065" t="s">
        <v>787</v>
      </c>
    </row>
    <row r="1066" spans="1:33" ht="18.75" customHeight="1" x14ac:dyDescent="0.3">
      <c r="A1066" s="1">
        <v>2014134791419</v>
      </c>
      <c r="B1066" t="s">
        <v>66</v>
      </c>
      <c r="C1066" t="s">
        <v>3374</v>
      </c>
      <c r="D1066" t="s">
        <v>2290</v>
      </c>
      <c r="E1066" t="s">
        <v>1354</v>
      </c>
      <c r="M1066" t="s">
        <v>3219</v>
      </c>
      <c r="O1066" t="s">
        <v>3329</v>
      </c>
      <c r="AG1066" t="s">
        <v>787</v>
      </c>
    </row>
    <row r="1067" spans="1:33" ht="18.75" customHeight="1" x14ac:dyDescent="0.3">
      <c r="A1067" s="1">
        <v>2014134792300</v>
      </c>
      <c r="B1067" t="s">
        <v>66</v>
      </c>
      <c r="C1067" t="s">
        <v>3375</v>
      </c>
      <c r="D1067" t="s">
        <v>2290</v>
      </c>
      <c r="E1067" t="s">
        <v>1354</v>
      </c>
      <c r="M1067" t="s">
        <v>3219</v>
      </c>
      <c r="O1067" t="s">
        <v>3329</v>
      </c>
      <c r="AG1067" t="s">
        <v>787</v>
      </c>
    </row>
    <row r="1068" spans="1:33" ht="18.75" customHeight="1" x14ac:dyDescent="0.3">
      <c r="A1068" s="1">
        <v>2014134791162</v>
      </c>
      <c r="B1068" t="s">
        <v>66</v>
      </c>
      <c r="C1068" t="s">
        <v>3376</v>
      </c>
      <c r="D1068" t="s">
        <v>2290</v>
      </c>
      <c r="E1068" t="s">
        <v>1354</v>
      </c>
      <c r="M1068" t="s">
        <v>3219</v>
      </c>
      <c r="O1068" t="s">
        <v>3329</v>
      </c>
      <c r="AG1068" t="s">
        <v>787</v>
      </c>
    </row>
    <row r="1069" spans="1:33" ht="18.75" customHeight="1" x14ac:dyDescent="0.3">
      <c r="A1069" s="1">
        <v>2012134790788</v>
      </c>
      <c r="B1069" t="s">
        <v>66</v>
      </c>
      <c r="C1069" t="s">
        <v>3377</v>
      </c>
      <c r="D1069" t="s">
        <v>2290</v>
      </c>
      <c r="E1069" t="s">
        <v>1354</v>
      </c>
      <c r="M1069" t="s">
        <v>3219</v>
      </c>
      <c r="O1069" t="s">
        <v>3329</v>
      </c>
      <c r="AG1069" t="s">
        <v>787</v>
      </c>
    </row>
    <row r="1070" spans="1:33" ht="18.75" customHeight="1" x14ac:dyDescent="0.3">
      <c r="A1070" s="1">
        <v>2007134790771</v>
      </c>
      <c r="B1070" t="s">
        <v>40</v>
      </c>
      <c r="C1070" t="s">
        <v>3378</v>
      </c>
      <c r="D1070" t="s">
        <v>2290</v>
      </c>
      <c r="E1070" t="s">
        <v>1354</v>
      </c>
      <c r="M1070" t="s">
        <v>3219</v>
      </c>
      <c r="O1070" t="s">
        <v>3336</v>
      </c>
      <c r="AG1070" t="s">
        <v>787</v>
      </c>
    </row>
    <row r="1071" spans="1:33" ht="18.75" customHeight="1" x14ac:dyDescent="0.3">
      <c r="A1071" s="1">
        <v>2008134790852</v>
      </c>
      <c r="B1071" t="s">
        <v>40</v>
      </c>
      <c r="C1071" t="s">
        <v>3379</v>
      </c>
      <c r="D1071" t="s">
        <v>2290</v>
      </c>
      <c r="E1071" t="s">
        <v>1354</v>
      </c>
      <c r="M1071" t="s">
        <v>3219</v>
      </c>
      <c r="O1071" t="s">
        <v>3380</v>
      </c>
      <c r="AG1071" t="s">
        <v>787</v>
      </c>
    </row>
    <row r="1072" spans="1:33" ht="18.75" customHeight="1" x14ac:dyDescent="0.3">
      <c r="A1072" s="1">
        <v>2008134790844</v>
      </c>
      <c r="B1072" t="s">
        <v>40</v>
      </c>
      <c r="C1072" t="s">
        <v>3381</v>
      </c>
      <c r="D1072" t="s">
        <v>2290</v>
      </c>
      <c r="E1072" t="s">
        <v>1354</v>
      </c>
      <c r="M1072" t="s">
        <v>3219</v>
      </c>
      <c r="O1072" t="s">
        <v>3380</v>
      </c>
      <c r="AG1072" t="s">
        <v>787</v>
      </c>
    </row>
    <row r="1073" spans="1:40" ht="18.75" customHeight="1" x14ac:dyDescent="0.3">
      <c r="A1073" s="1">
        <v>2002134790151</v>
      </c>
      <c r="B1073" t="s">
        <v>495</v>
      </c>
      <c r="C1073" t="s">
        <v>3382</v>
      </c>
      <c r="D1073" t="s">
        <v>2290</v>
      </c>
      <c r="E1073" t="s">
        <v>1354</v>
      </c>
      <c r="M1073" t="s">
        <v>3219</v>
      </c>
      <c r="O1073" t="s">
        <v>3336</v>
      </c>
      <c r="AG1073" t="s">
        <v>787</v>
      </c>
    </row>
    <row r="1074" spans="1:40" ht="18.75" customHeight="1" x14ac:dyDescent="0.3">
      <c r="A1074" s="1">
        <v>2015138306692</v>
      </c>
      <c r="B1074" t="s">
        <v>106</v>
      </c>
      <c r="C1074" t="s">
        <v>3383</v>
      </c>
      <c r="D1074" t="s">
        <v>3384</v>
      </c>
      <c r="E1074" t="s">
        <v>1354</v>
      </c>
      <c r="M1074" t="s">
        <v>1355</v>
      </c>
      <c r="O1074" t="s">
        <v>1730</v>
      </c>
      <c r="AG1074" t="s">
        <v>787</v>
      </c>
    </row>
    <row r="1075" spans="1:40" ht="18.75" customHeight="1" x14ac:dyDescent="0.3">
      <c r="A1075" s="1">
        <v>2007138300097</v>
      </c>
      <c r="B1075" t="s">
        <v>57</v>
      </c>
      <c r="C1075" t="s">
        <v>3385</v>
      </c>
      <c r="D1075" t="s">
        <v>3386</v>
      </c>
      <c r="E1075" t="s">
        <v>1354</v>
      </c>
      <c r="M1075" t="s">
        <v>3387</v>
      </c>
      <c r="O1075" t="s">
        <v>3388</v>
      </c>
      <c r="AG1075" t="s">
        <v>787</v>
      </c>
    </row>
    <row r="1076" spans="1:40" ht="18.75" customHeight="1" x14ac:dyDescent="0.3">
      <c r="A1076" s="1">
        <v>2007138311474</v>
      </c>
      <c r="B1076" t="s">
        <v>57</v>
      </c>
      <c r="C1076" t="s">
        <v>3389</v>
      </c>
      <c r="D1076" t="s">
        <v>3390</v>
      </c>
      <c r="E1076" t="s">
        <v>1354</v>
      </c>
      <c r="F1076">
        <v>138</v>
      </c>
      <c r="G1076">
        <v>39284</v>
      </c>
      <c r="H1076">
        <v>39759</v>
      </c>
      <c r="I1076">
        <v>43466</v>
      </c>
      <c r="L1076" t="s">
        <v>135</v>
      </c>
      <c r="M1076" t="s">
        <v>1332</v>
      </c>
      <c r="N1076" t="s">
        <v>127</v>
      </c>
      <c r="O1076" t="s">
        <v>3391</v>
      </c>
      <c r="P1076" t="s">
        <v>49</v>
      </c>
      <c r="R1076">
        <v>1</v>
      </c>
      <c r="S1076">
        <v>0</v>
      </c>
      <c r="T1076">
        <v>0</v>
      </c>
      <c r="U1076" t="s">
        <v>3392</v>
      </c>
      <c r="V1076" t="s">
        <v>3393</v>
      </c>
      <c r="W1076">
        <v>29302050106611</v>
      </c>
      <c r="X1076">
        <v>34019</v>
      </c>
      <c r="Y1076" t="s">
        <v>406</v>
      </c>
      <c r="Z1076">
        <v>3</v>
      </c>
      <c r="AA1076">
        <v>1</v>
      </c>
      <c r="AB1076">
        <v>2</v>
      </c>
      <c r="AD1076" t="s">
        <v>155</v>
      </c>
      <c r="AE1076" t="s">
        <v>118</v>
      </c>
      <c r="AF1076">
        <v>77</v>
      </c>
      <c r="AG1076">
        <v>174</v>
      </c>
      <c r="AH1076" t="str">
        <f>IF([2]!Table1[[#This Row],[الوزن]]&lt;&gt;"",[2]!Table1[[#This Row],[الوزن]]-([2]!Table1[[#This Row],[الطول]]-100),"")</f>
        <v/>
      </c>
      <c r="AJ1076" t="s">
        <v>3394</v>
      </c>
      <c r="AN1076" t="s">
        <v>145</v>
      </c>
    </row>
    <row r="1077" spans="1:40" ht="18.75" customHeight="1" x14ac:dyDescent="0.3">
      <c r="A1077" s="1">
        <v>2014138319928</v>
      </c>
      <c r="B1077" t="s">
        <v>75</v>
      </c>
      <c r="C1077" t="s">
        <v>3395</v>
      </c>
      <c r="D1077" t="s">
        <v>3396</v>
      </c>
      <c r="E1077" t="s">
        <v>1354</v>
      </c>
      <c r="M1077" t="s">
        <v>3397</v>
      </c>
      <c r="O1077" t="s">
        <v>3398</v>
      </c>
      <c r="AH1077" t="s">
        <v>787</v>
      </c>
      <c r="AN1077" t="s">
        <v>145</v>
      </c>
    </row>
    <row r="1078" spans="1:40" ht="18.75" customHeight="1" x14ac:dyDescent="0.3">
      <c r="A1078" s="1">
        <v>2021134707015</v>
      </c>
      <c r="B1078" t="s">
        <v>125</v>
      </c>
      <c r="C1078" t="s">
        <v>3399</v>
      </c>
      <c r="D1078" t="s">
        <v>1864</v>
      </c>
      <c r="E1078" t="s">
        <v>1354</v>
      </c>
      <c r="F1078">
        <v>160</v>
      </c>
      <c r="G1078">
        <v>44205</v>
      </c>
      <c r="H1078">
        <v>45197</v>
      </c>
      <c r="I1078">
        <v>45197</v>
      </c>
      <c r="L1078" t="s">
        <v>135</v>
      </c>
      <c r="M1078" t="s">
        <v>2546</v>
      </c>
      <c r="N1078" t="s">
        <v>47</v>
      </c>
      <c r="O1078" t="s">
        <v>3400</v>
      </c>
      <c r="Q1078" t="s">
        <v>787</v>
      </c>
      <c r="R1078">
        <v>0</v>
      </c>
      <c r="S1078">
        <v>0</v>
      </c>
      <c r="T1078">
        <v>0</v>
      </c>
      <c r="U1078" t="s">
        <v>3401</v>
      </c>
      <c r="W1078" t="s">
        <v>3402</v>
      </c>
      <c r="X1078">
        <v>36258</v>
      </c>
      <c r="Y1078" t="s">
        <v>51</v>
      </c>
      <c r="Z1078">
        <v>0</v>
      </c>
      <c r="AA1078">
        <v>0</v>
      </c>
      <c r="AB1078">
        <v>0</v>
      </c>
      <c r="AD1078" t="s">
        <v>271</v>
      </c>
      <c r="AE1078" t="s">
        <v>73</v>
      </c>
      <c r="AF1078">
        <v>70</v>
      </c>
      <c r="AG1078">
        <v>173</v>
      </c>
      <c r="AH1078">
        <v>-3</v>
      </c>
      <c r="AJ1078" t="s">
        <v>298</v>
      </c>
      <c r="AN1078" t="s">
        <v>56</v>
      </c>
    </row>
    <row r="1079" spans="1:40" ht="18.75" customHeight="1" x14ac:dyDescent="0.3">
      <c r="A1079" s="1">
        <v>2021134706984</v>
      </c>
      <c r="B1079" t="s">
        <v>125</v>
      </c>
      <c r="C1079" t="s">
        <v>3403</v>
      </c>
      <c r="D1079" t="s">
        <v>1864</v>
      </c>
      <c r="E1079" t="s">
        <v>1354</v>
      </c>
      <c r="F1079">
        <v>160</v>
      </c>
      <c r="G1079">
        <v>44205</v>
      </c>
      <c r="H1079">
        <v>45197</v>
      </c>
      <c r="I1079">
        <v>45197</v>
      </c>
      <c r="L1079" t="s">
        <v>135</v>
      </c>
      <c r="M1079" t="s">
        <v>2546</v>
      </c>
      <c r="N1079" t="s">
        <v>47</v>
      </c>
      <c r="O1079" t="s">
        <v>3404</v>
      </c>
      <c r="Q1079" t="s">
        <v>787</v>
      </c>
      <c r="R1079">
        <v>0</v>
      </c>
      <c r="S1079">
        <v>0</v>
      </c>
      <c r="T1079">
        <v>0</v>
      </c>
      <c r="U1079" t="s">
        <v>3405</v>
      </c>
      <c r="V1079" t="s">
        <v>3406</v>
      </c>
      <c r="W1079">
        <v>29908031601119</v>
      </c>
      <c r="X1079">
        <v>36375</v>
      </c>
      <c r="Y1079" t="s">
        <v>51</v>
      </c>
      <c r="Z1079">
        <v>0</v>
      </c>
      <c r="AA1079">
        <v>0</v>
      </c>
      <c r="AB1079">
        <v>0</v>
      </c>
      <c r="AD1079" t="s">
        <v>217</v>
      </c>
      <c r="AE1079" t="s">
        <v>73</v>
      </c>
      <c r="AF1079">
        <v>73</v>
      </c>
      <c r="AG1079">
        <v>175</v>
      </c>
      <c r="AH1079">
        <v>-2</v>
      </c>
      <c r="AJ1079" t="s">
        <v>298</v>
      </c>
      <c r="AN1079" t="s">
        <v>56</v>
      </c>
    </row>
    <row r="1080" spans="1:40" ht="18.75" customHeight="1" x14ac:dyDescent="0.3">
      <c r="A1080" s="1">
        <v>2021134706851</v>
      </c>
      <c r="B1080" t="s">
        <v>125</v>
      </c>
      <c r="C1080" t="s">
        <v>3407</v>
      </c>
      <c r="D1080" t="s">
        <v>1864</v>
      </c>
      <c r="E1080" t="s">
        <v>1354</v>
      </c>
      <c r="F1080">
        <v>160</v>
      </c>
      <c r="G1080">
        <v>44205</v>
      </c>
      <c r="H1080">
        <v>45197</v>
      </c>
      <c r="I1080">
        <v>45197</v>
      </c>
      <c r="L1080" t="s">
        <v>135</v>
      </c>
      <c r="M1080" t="s">
        <v>2546</v>
      </c>
      <c r="N1080" t="s">
        <v>47</v>
      </c>
      <c r="O1080" t="s">
        <v>3408</v>
      </c>
      <c r="Q1080" t="s">
        <v>787</v>
      </c>
      <c r="R1080">
        <v>0</v>
      </c>
      <c r="S1080">
        <v>0</v>
      </c>
      <c r="T1080">
        <v>0</v>
      </c>
      <c r="U1080" t="s">
        <v>3409</v>
      </c>
      <c r="V1080" t="s">
        <v>3410</v>
      </c>
      <c r="W1080">
        <v>30109251702652</v>
      </c>
      <c r="X1080">
        <v>37159</v>
      </c>
      <c r="Y1080" t="s">
        <v>153</v>
      </c>
      <c r="Z1080">
        <v>0</v>
      </c>
      <c r="AA1080">
        <v>0</v>
      </c>
      <c r="AB1080">
        <v>0</v>
      </c>
      <c r="AD1080" t="s">
        <v>1111</v>
      </c>
      <c r="AE1080" t="s">
        <v>2208</v>
      </c>
      <c r="AF1080">
        <v>73</v>
      </c>
      <c r="AG1080">
        <v>176</v>
      </c>
      <c r="AH1080">
        <v>-3</v>
      </c>
      <c r="AJ1080" t="s">
        <v>298</v>
      </c>
      <c r="AN1080" t="s">
        <v>56</v>
      </c>
    </row>
    <row r="1081" spans="1:40" ht="18.75" customHeight="1" x14ac:dyDescent="0.3">
      <c r="A1081" s="1">
        <v>2019138302775</v>
      </c>
      <c r="B1081" t="s">
        <v>125</v>
      </c>
      <c r="C1081" t="s">
        <v>3411</v>
      </c>
      <c r="D1081" t="s">
        <v>1864</v>
      </c>
      <c r="E1081" t="s">
        <v>1354</v>
      </c>
      <c r="F1081">
        <v>159</v>
      </c>
      <c r="G1081">
        <v>43692</v>
      </c>
      <c r="H1081">
        <v>44438</v>
      </c>
      <c r="I1081">
        <v>44117</v>
      </c>
      <c r="L1081" t="s">
        <v>135</v>
      </c>
      <c r="M1081" t="s">
        <v>2546</v>
      </c>
      <c r="N1081" t="s">
        <v>127</v>
      </c>
      <c r="O1081" t="s">
        <v>3412</v>
      </c>
      <c r="Q1081" t="s">
        <v>787</v>
      </c>
      <c r="R1081">
        <v>0</v>
      </c>
      <c r="S1081">
        <v>0</v>
      </c>
      <c r="T1081">
        <v>0</v>
      </c>
      <c r="U1081" t="s">
        <v>3413</v>
      </c>
      <c r="W1081">
        <v>30207172300578</v>
      </c>
      <c r="X1081">
        <v>37454</v>
      </c>
      <c r="Y1081" t="s">
        <v>153</v>
      </c>
      <c r="Z1081">
        <v>0</v>
      </c>
      <c r="AA1081">
        <v>0</v>
      </c>
      <c r="AB1081">
        <v>0</v>
      </c>
      <c r="AD1081" t="s">
        <v>1139</v>
      </c>
      <c r="AE1081" t="s">
        <v>1138</v>
      </c>
      <c r="AF1081">
        <v>75</v>
      </c>
      <c r="AG1081">
        <v>178</v>
      </c>
      <c r="AH1081">
        <v>-3</v>
      </c>
      <c r="AJ1081" t="s">
        <v>298</v>
      </c>
      <c r="AN1081" t="s">
        <v>56</v>
      </c>
    </row>
    <row r="1082" spans="1:40" ht="18.75" customHeight="1" x14ac:dyDescent="0.3">
      <c r="A1082" s="1">
        <v>2021131814540</v>
      </c>
      <c r="B1082" t="s">
        <v>125</v>
      </c>
      <c r="C1082" t="s">
        <v>3414</v>
      </c>
      <c r="D1082" t="s">
        <v>341</v>
      </c>
      <c r="E1082" t="s">
        <v>43</v>
      </c>
      <c r="G1082">
        <v>44546</v>
      </c>
      <c r="H1082">
        <v>45581</v>
      </c>
      <c r="I1082">
        <v>45581</v>
      </c>
      <c r="L1082" t="s">
        <v>135</v>
      </c>
      <c r="M1082" t="s">
        <v>342</v>
      </c>
      <c r="N1082" t="s">
        <v>727</v>
      </c>
      <c r="O1082" t="s">
        <v>608</v>
      </c>
      <c r="R1082">
        <v>0</v>
      </c>
      <c r="S1082">
        <v>0</v>
      </c>
      <c r="T1082">
        <v>0</v>
      </c>
      <c r="U1082" t="s">
        <v>3415</v>
      </c>
      <c r="W1082">
        <v>30404062700473</v>
      </c>
      <c r="X1082">
        <v>38083</v>
      </c>
      <c r="Y1082" t="s">
        <v>153</v>
      </c>
      <c r="Z1082">
        <v>0</v>
      </c>
      <c r="AC1082" t="s">
        <v>234</v>
      </c>
      <c r="AD1082" t="s">
        <v>3416</v>
      </c>
      <c r="AH1082">
        <f>IF([2]!Table1[[#This Row],[الوزن]]&lt;&gt;"",[2]!Table1[[#This Row],[الوزن]]-([2]!Table1[[#This Row],[الطول]]-100),"")</f>
        <v>2</v>
      </c>
    </row>
    <row r="1083" spans="1:40" ht="18.75" customHeight="1" x14ac:dyDescent="0.3">
      <c r="A1083" s="1">
        <v>2018134704802</v>
      </c>
      <c r="B1083" t="s">
        <v>75</v>
      </c>
      <c r="C1083" t="s">
        <v>3417</v>
      </c>
      <c r="D1083" t="s">
        <v>1864</v>
      </c>
      <c r="E1083" t="s">
        <v>1354</v>
      </c>
      <c r="F1083">
        <v>158</v>
      </c>
      <c r="G1083">
        <v>43279</v>
      </c>
      <c r="H1083">
        <v>44117</v>
      </c>
      <c r="I1083">
        <v>46023</v>
      </c>
      <c r="L1083" t="s">
        <v>2550</v>
      </c>
      <c r="M1083" t="s">
        <v>2546</v>
      </c>
      <c r="N1083" t="s">
        <v>47</v>
      </c>
      <c r="O1083" t="s">
        <v>3408</v>
      </c>
      <c r="Q1083" t="s">
        <v>787</v>
      </c>
      <c r="R1083">
        <v>0</v>
      </c>
      <c r="S1083">
        <v>0</v>
      </c>
      <c r="T1083">
        <v>0</v>
      </c>
      <c r="U1083" t="s">
        <v>3418</v>
      </c>
      <c r="V1083" t="s">
        <v>3419</v>
      </c>
      <c r="W1083">
        <v>29703271700938</v>
      </c>
      <c r="X1083">
        <v>35516</v>
      </c>
      <c r="Y1083" t="s">
        <v>103</v>
      </c>
      <c r="Z1083">
        <v>1</v>
      </c>
      <c r="AA1083">
        <v>1</v>
      </c>
      <c r="AB1083">
        <v>0</v>
      </c>
      <c r="AD1083" t="s">
        <v>443</v>
      </c>
      <c r="AE1083" t="s">
        <v>167</v>
      </c>
      <c r="AF1083">
        <v>80</v>
      </c>
      <c r="AG1083">
        <v>178</v>
      </c>
      <c r="AH1083">
        <v>2</v>
      </c>
      <c r="AJ1083" t="s">
        <v>3420</v>
      </c>
      <c r="AN1083" t="s">
        <v>145</v>
      </c>
    </row>
    <row r="1084" spans="1:40" ht="18.75" customHeight="1" x14ac:dyDescent="0.3">
      <c r="A1084" s="1">
        <v>2017134701818</v>
      </c>
      <c r="B1084" t="s">
        <v>75</v>
      </c>
      <c r="C1084" t="s">
        <v>3421</v>
      </c>
      <c r="D1084" t="s">
        <v>1864</v>
      </c>
      <c r="E1084" t="s">
        <v>1354</v>
      </c>
      <c r="F1084">
        <v>157</v>
      </c>
      <c r="G1084">
        <v>42915</v>
      </c>
      <c r="H1084">
        <v>43662</v>
      </c>
      <c r="I1084">
        <v>45658</v>
      </c>
      <c r="L1084" t="s">
        <v>2550</v>
      </c>
      <c r="M1084" t="s">
        <v>2546</v>
      </c>
      <c r="N1084" t="s">
        <v>47</v>
      </c>
      <c r="O1084" t="s">
        <v>3422</v>
      </c>
      <c r="Q1084" t="s">
        <v>787</v>
      </c>
      <c r="R1084">
        <v>1</v>
      </c>
      <c r="S1084">
        <v>0</v>
      </c>
      <c r="T1084">
        <v>0</v>
      </c>
      <c r="U1084" t="s">
        <v>3423</v>
      </c>
      <c r="W1084">
        <v>29307011607036</v>
      </c>
      <c r="X1084">
        <v>34151</v>
      </c>
      <c r="Y1084" t="s">
        <v>103</v>
      </c>
      <c r="Z1084">
        <v>3</v>
      </c>
      <c r="AA1084">
        <v>1</v>
      </c>
      <c r="AB1084">
        <v>2</v>
      </c>
      <c r="AD1084" t="s">
        <v>1441</v>
      </c>
      <c r="AE1084" t="s">
        <v>73</v>
      </c>
      <c r="AF1084">
        <v>75</v>
      </c>
      <c r="AG1084">
        <v>178</v>
      </c>
      <c r="AH1084">
        <v>-3</v>
      </c>
      <c r="AJ1084" t="s">
        <v>3424</v>
      </c>
      <c r="AK1084" t="s">
        <v>2415</v>
      </c>
      <c r="AN1084" t="s">
        <v>145</v>
      </c>
    </row>
    <row r="1085" spans="1:40" ht="18.75" customHeight="1" x14ac:dyDescent="0.3">
      <c r="A1085" s="1">
        <v>2018134704315</v>
      </c>
      <c r="B1085" t="s">
        <v>75</v>
      </c>
      <c r="C1085" t="s">
        <v>3425</v>
      </c>
      <c r="D1085" t="s">
        <v>1864</v>
      </c>
      <c r="E1085" t="s">
        <v>1354</v>
      </c>
      <c r="F1085">
        <v>158</v>
      </c>
      <c r="G1085">
        <v>43279</v>
      </c>
      <c r="H1085">
        <v>44117</v>
      </c>
      <c r="I1085">
        <v>46023</v>
      </c>
      <c r="L1085" t="s">
        <v>2550</v>
      </c>
      <c r="M1085" t="s">
        <v>2546</v>
      </c>
      <c r="N1085" t="s">
        <v>47</v>
      </c>
      <c r="O1085" t="s">
        <v>3408</v>
      </c>
      <c r="Q1085" t="s">
        <v>787</v>
      </c>
      <c r="R1085">
        <v>0</v>
      </c>
      <c r="S1085">
        <v>0</v>
      </c>
      <c r="T1085">
        <v>0</v>
      </c>
      <c r="U1085" t="s">
        <v>3418</v>
      </c>
      <c r="V1085" t="s">
        <v>3426</v>
      </c>
      <c r="W1085">
        <v>29910181702198</v>
      </c>
      <c r="X1085">
        <v>36451</v>
      </c>
      <c r="Y1085" t="s">
        <v>103</v>
      </c>
      <c r="Z1085">
        <v>2</v>
      </c>
      <c r="AA1085">
        <v>1</v>
      </c>
      <c r="AB1085">
        <v>1</v>
      </c>
      <c r="AD1085" t="s">
        <v>1111</v>
      </c>
      <c r="AE1085" t="s">
        <v>167</v>
      </c>
      <c r="AF1085">
        <v>80</v>
      </c>
      <c r="AG1085">
        <v>178</v>
      </c>
      <c r="AH1085">
        <v>2</v>
      </c>
      <c r="AJ1085" t="s">
        <v>3420</v>
      </c>
      <c r="AN1085" t="s">
        <v>145</v>
      </c>
    </row>
    <row r="1086" spans="1:40" ht="18.75" customHeight="1" x14ac:dyDescent="0.3">
      <c r="A1086" s="1">
        <v>2011134701662</v>
      </c>
      <c r="B1086" t="s">
        <v>210</v>
      </c>
      <c r="C1086" t="s">
        <v>3427</v>
      </c>
      <c r="D1086" t="s">
        <v>1864</v>
      </c>
      <c r="E1086" t="s">
        <v>1354</v>
      </c>
      <c r="F1086">
        <v>145</v>
      </c>
      <c r="G1086">
        <v>40558</v>
      </c>
      <c r="H1086">
        <v>40755</v>
      </c>
      <c r="I1086">
        <v>46023</v>
      </c>
      <c r="L1086" t="s">
        <v>2550</v>
      </c>
      <c r="M1086" t="s">
        <v>2546</v>
      </c>
      <c r="N1086" t="s">
        <v>47</v>
      </c>
      <c r="O1086" t="s">
        <v>3428</v>
      </c>
      <c r="Q1086" t="s">
        <v>787</v>
      </c>
      <c r="R1086">
        <v>2</v>
      </c>
      <c r="S1086">
        <v>0</v>
      </c>
      <c r="T1086">
        <v>0</v>
      </c>
      <c r="U1086" t="s">
        <v>3429</v>
      </c>
      <c r="V1086" t="s">
        <v>3430</v>
      </c>
      <c r="W1086">
        <v>28701271601097</v>
      </c>
      <c r="X1086">
        <v>31804</v>
      </c>
      <c r="Y1086" t="s">
        <v>103</v>
      </c>
      <c r="Z1086">
        <v>3</v>
      </c>
      <c r="AA1086">
        <v>1</v>
      </c>
      <c r="AB1086">
        <v>2</v>
      </c>
      <c r="AD1086" t="s">
        <v>271</v>
      </c>
      <c r="AE1086" t="s">
        <v>73</v>
      </c>
      <c r="AF1086">
        <v>84</v>
      </c>
      <c r="AG1086">
        <v>178</v>
      </c>
      <c r="AH1086">
        <v>6</v>
      </c>
      <c r="AJ1086" t="s">
        <v>3431</v>
      </c>
      <c r="AN1086" t="s">
        <v>145</v>
      </c>
    </row>
    <row r="1087" spans="1:40" ht="18.75" customHeight="1" x14ac:dyDescent="0.3">
      <c r="A1087" s="1">
        <v>2008134703863</v>
      </c>
      <c r="B1087" t="s">
        <v>210</v>
      </c>
      <c r="C1087" t="s">
        <v>3432</v>
      </c>
      <c r="D1087" t="s">
        <v>1864</v>
      </c>
      <c r="E1087" t="s">
        <v>1354</v>
      </c>
      <c r="F1087">
        <v>138</v>
      </c>
      <c r="G1087">
        <v>39655</v>
      </c>
      <c r="H1087">
        <v>39854</v>
      </c>
      <c r="I1087">
        <v>43647</v>
      </c>
      <c r="L1087" t="s">
        <v>2550</v>
      </c>
      <c r="M1087" t="s">
        <v>2546</v>
      </c>
      <c r="N1087" t="s">
        <v>47</v>
      </c>
      <c r="O1087" t="s">
        <v>3433</v>
      </c>
      <c r="Q1087" t="s">
        <v>787</v>
      </c>
      <c r="R1087">
        <v>4</v>
      </c>
      <c r="S1087">
        <v>0</v>
      </c>
      <c r="T1087">
        <v>0</v>
      </c>
      <c r="U1087" t="s">
        <v>3434</v>
      </c>
      <c r="W1087">
        <v>28807052801156</v>
      </c>
      <c r="X1087">
        <v>32329</v>
      </c>
      <c r="Y1087" t="s">
        <v>103</v>
      </c>
      <c r="Z1087">
        <v>2</v>
      </c>
      <c r="AA1087">
        <v>1</v>
      </c>
      <c r="AB1087">
        <v>1</v>
      </c>
      <c r="AD1087" t="s">
        <v>3435</v>
      </c>
      <c r="AE1087" t="s">
        <v>314</v>
      </c>
      <c r="AF1087">
        <v>90</v>
      </c>
      <c r="AG1087">
        <v>183</v>
      </c>
      <c r="AH1087">
        <v>7</v>
      </c>
      <c r="AJ1087" t="s">
        <v>3436</v>
      </c>
      <c r="AN1087" t="s">
        <v>145</v>
      </c>
    </row>
    <row r="1088" spans="1:40" ht="18.75" customHeight="1" x14ac:dyDescent="0.3">
      <c r="A1088" s="1">
        <v>2011134705424</v>
      </c>
      <c r="B1088" t="s">
        <v>75</v>
      </c>
      <c r="C1088" t="s">
        <v>3437</v>
      </c>
      <c r="D1088" t="s">
        <v>1864</v>
      </c>
      <c r="E1088" t="s">
        <v>1354</v>
      </c>
      <c r="F1088">
        <v>145</v>
      </c>
      <c r="G1088">
        <v>40748</v>
      </c>
      <c r="H1088">
        <v>40748</v>
      </c>
      <c r="I1088">
        <v>44927</v>
      </c>
      <c r="L1088" t="s">
        <v>135</v>
      </c>
      <c r="M1088" t="s">
        <v>2546</v>
      </c>
      <c r="N1088" t="s">
        <v>47</v>
      </c>
      <c r="O1088" t="s">
        <v>2239</v>
      </c>
      <c r="P1088" t="s">
        <v>49</v>
      </c>
      <c r="R1088">
        <v>0</v>
      </c>
      <c r="S1088">
        <v>0</v>
      </c>
      <c r="T1088">
        <v>0</v>
      </c>
      <c r="U1088" t="s">
        <v>3438</v>
      </c>
      <c r="W1088">
        <v>29006231303976</v>
      </c>
      <c r="X1088">
        <v>33047</v>
      </c>
      <c r="Y1088" t="s">
        <v>103</v>
      </c>
      <c r="Z1088">
        <v>2</v>
      </c>
      <c r="AA1088">
        <v>2</v>
      </c>
      <c r="AB1088">
        <v>0</v>
      </c>
      <c r="AD1088" t="s">
        <v>3439</v>
      </c>
      <c r="AE1088" t="s">
        <v>64</v>
      </c>
      <c r="AF1088">
        <v>70</v>
      </c>
      <c r="AG1088">
        <v>175</v>
      </c>
      <c r="AH1088">
        <v>-5</v>
      </c>
      <c r="AJ1088" t="s">
        <v>3440</v>
      </c>
      <c r="AN1088" t="s">
        <v>145</v>
      </c>
    </row>
    <row r="1089" spans="1:40" ht="18.75" customHeight="1" x14ac:dyDescent="0.3">
      <c r="A1089" s="1">
        <v>2015134713411</v>
      </c>
      <c r="B1089" t="s">
        <v>75</v>
      </c>
      <c r="C1089" t="s">
        <v>3441</v>
      </c>
      <c r="D1089" t="s">
        <v>1864</v>
      </c>
      <c r="E1089" t="s">
        <v>1354</v>
      </c>
      <c r="F1089">
        <v>155</v>
      </c>
      <c r="G1089">
        <v>42369</v>
      </c>
      <c r="H1089">
        <v>42932</v>
      </c>
      <c r="I1089">
        <v>44927</v>
      </c>
      <c r="L1089" t="s">
        <v>2550</v>
      </c>
      <c r="M1089" t="s">
        <v>2546</v>
      </c>
      <c r="N1089" t="s">
        <v>47</v>
      </c>
      <c r="O1089" t="s">
        <v>3422</v>
      </c>
      <c r="P1089" t="s">
        <v>49</v>
      </c>
      <c r="R1089">
        <v>1</v>
      </c>
      <c r="S1089">
        <v>0</v>
      </c>
      <c r="T1089">
        <v>0</v>
      </c>
      <c r="U1089" t="s">
        <v>3442</v>
      </c>
      <c r="W1089">
        <v>29511211301779</v>
      </c>
      <c r="X1089">
        <v>35024</v>
      </c>
      <c r="Y1089" t="s">
        <v>103</v>
      </c>
      <c r="Z1089">
        <v>1</v>
      </c>
      <c r="AA1089">
        <v>0</v>
      </c>
      <c r="AB1089">
        <v>1</v>
      </c>
      <c r="AD1089" t="s">
        <v>3443</v>
      </c>
      <c r="AE1089" t="s">
        <v>64</v>
      </c>
      <c r="AF1089">
        <v>75</v>
      </c>
      <c r="AG1089">
        <v>174</v>
      </c>
      <c r="AH1089">
        <v>1</v>
      </c>
      <c r="AJ1089" t="s">
        <v>3444</v>
      </c>
      <c r="AN1089" t="s">
        <v>145</v>
      </c>
    </row>
    <row r="1090" spans="1:40" ht="18.75" customHeight="1" x14ac:dyDescent="0.3">
      <c r="A1090" s="1">
        <v>2017134705597</v>
      </c>
      <c r="B1090" t="s">
        <v>75</v>
      </c>
      <c r="C1090" t="s">
        <v>3445</v>
      </c>
      <c r="D1090" t="s">
        <v>1864</v>
      </c>
      <c r="E1090" t="s">
        <v>1354</v>
      </c>
      <c r="F1090">
        <v>157</v>
      </c>
      <c r="G1090">
        <v>42915</v>
      </c>
      <c r="H1090">
        <v>43662</v>
      </c>
      <c r="I1090">
        <v>45658</v>
      </c>
      <c r="L1090" t="s">
        <v>2550</v>
      </c>
      <c r="M1090" t="s">
        <v>2546</v>
      </c>
      <c r="N1090" t="s">
        <v>47</v>
      </c>
      <c r="O1090" t="s">
        <v>3400</v>
      </c>
      <c r="R1090">
        <v>0</v>
      </c>
      <c r="S1090">
        <v>0</v>
      </c>
      <c r="T1090">
        <v>0</v>
      </c>
      <c r="U1090" t="s">
        <v>3446</v>
      </c>
      <c r="W1090">
        <v>29506182702099</v>
      </c>
      <c r="X1090">
        <v>34868</v>
      </c>
      <c r="Y1090" t="s">
        <v>153</v>
      </c>
      <c r="Z1090">
        <v>0</v>
      </c>
      <c r="AA1090">
        <v>0</v>
      </c>
      <c r="AB1090">
        <v>0</v>
      </c>
      <c r="AD1090" t="s">
        <v>3447</v>
      </c>
      <c r="AE1090" t="s">
        <v>234</v>
      </c>
      <c r="AF1090">
        <v>75</v>
      </c>
      <c r="AG1090">
        <v>173</v>
      </c>
      <c r="AH1090">
        <v>2</v>
      </c>
      <c r="AJ1090" t="s">
        <v>3420</v>
      </c>
      <c r="AN1090" t="s">
        <v>145</v>
      </c>
    </row>
    <row r="1091" spans="1:40" ht="18.75" customHeight="1" x14ac:dyDescent="0.3">
      <c r="A1091" s="1">
        <v>2019134703034</v>
      </c>
      <c r="B1091" t="s">
        <v>125</v>
      </c>
      <c r="C1091" t="s">
        <v>3448</v>
      </c>
      <c r="D1091" t="s">
        <v>1864</v>
      </c>
      <c r="E1091" t="s">
        <v>1354</v>
      </c>
      <c r="F1091">
        <v>159</v>
      </c>
      <c r="G1091">
        <v>43692</v>
      </c>
      <c r="H1091">
        <v>44482</v>
      </c>
      <c r="I1091">
        <v>44482</v>
      </c>
      <c r="L1091" t="s">
        <v>135</v>
      </c>
      <c r="M1091" t="s">
        <v>2546</v>
      </c>
      <c r="N1091" t="s">
        <v>47</v>
      </c>
      <c r="O1091" t="s">
        <v>2239</v>
      </c>
      <c r="R1091">
        <v>0</v>
      </c>
      <c r="S1091">
        <v>0</v>
      </c>
      <c r="T1091">
        <v>0</v>
      </c>
      <c r="U1091" t="s">
        <v>3449</v>
      </c>
      <c r="V1091" t="s">
        <v>3450</v>
      </c>
      <c r="W1091">
        <v>29801212501036</v>
      </c>
      <c r="X1091">
        <v>35816</v>
      </c>
      <c r="Y1091" t="s">
        <v>153</v>
      </c>
      <c r="Z1091">
        <v>0</v>
      </c>
      <c r="AA1091">
        <v>0</v>
      </c>
      <c r="AB1091">
        <v>0</v>
      </c>
      <c r="AD1091" t="s">
        <v>605</v>
      </c>
      <c r="AE1091" t="s">
        <v>43</v>
      </c>
      <c r="AF1091">
        <v>70</v>
      </c>
      <c r="AG1091">
        <v>170</v>
      </c>
      <c r="AH1091">
        <v>0</v>
      </c>
      <c r="AJ1091" t="s">
        <v>3451</v>
      </c>
      <c r="AN1091" t="s">
        <v>145</v>
      </c>
    </row>
    <row r="1092" spans="1:40" ht="18.75" customHeight="1" x14ac:dyDescent="0.3">
      <c r="A1092" s="1">
        <v>2013138312106</v>
      </c>
      <c r="B1092" t="s">
        <v>75</v>
      </c>
      <c r="C1092" t="s">
        <v>3452</v>
      </c>
      <c r="D1092" t="s">
        <v>1864</v>
      </c>
      <c r="E1092" t="s">
        <v>1354</v>
      </c>
      <c r="F1092">
        <v>152</v>
      </c>
      <c r="G1092">
        <v>41510</v>
      </c>
      <c r="H1092">
        <v>41510</v>
      </c>
      <c r="I1092">
        <v>45658</v>
      </c>
      <c r="L1092" t="s">
        <v>135</v>
      </c>
      <c r="M1092" t="s">
        <v>2546</v>
      </c>
      <c r="N1092" t="s">
        <v>127</v>
      </c>
      <c r="O1092" t="s">
        <v>3412</v>
      </c>
      <c r="R1092">
        <v>9</v>
      </c>
      <c r="S1092">
        <v>0</v>
      </c>
      <c r="T1092">
        <v>0</v>
      </c>
      <c r="U1092" t="s">
        <v>3453</v>
      </c>
      <c r="W1092">
        <v>29610011334654</v>
      </c>
      <c r="X1092">
        <v>35339</v>
      </c>
      <c r="Y1092" t="s">
        <v>103</v>
      </c>
      <c r="Z1092">
        <v>2</v>
      </c>
      <c r="AA1092">
        <v>2</v>
      </c>
      <c r="AB1092">
        <v>0</v>
      </c>
      <c r="AD1092" t="s">
        <v>746</v>
      </c>
      <c r="AE1092" t="s">
        <v>64</v>
      </c>
      <c r="AF1092">
        <v>73</v>
      </c>
      <c r="AG1092">
        <v>173</v>
      </c>
      <c r="AH1092">
        <v>0</v>
      </c>
      <c r="AJ1092" t="s">
        <v>3454</v>
      </c>
      <c r="AN1092" t="s">
        <v>145</v>
      </c>
    </row>
    <row r="1093" spans="1:40" ht="18.75" customHeight="1" x14ac:dyDescent="0.3">
      <c r="A1093" s="1">
        <v>2001138304942</v>
      </c>
      <c r="B1093" t="s">
        <v>210</v>
      </c>
      <c r="C1093" t="s">
        <v>3455</v>
      </c>
      <c r="D1093" t="s">
        <v>3456</v>
      </c>
      <c r="E1093" t="s">
        <v>335</v>
      </c>
      <c r="AG1093" t="s">
        <v>787</v>
      </c>
    </row>
    <row r="1094" spans="1:40" ht="18.75" customHeight="1" x14ac:dyDescent="0.3">
      <c r="A1094" s="1">
        <v>2002138304180</v>
      </c>
      <c r="B1094" t="s">
        <v>210</v>
      </c>
      <c r="C1094" t="s">
        <v>3457</v>
      </c>
      <c r="D1094" t="s">
        <v>3456</v>
      </c>
      <c r="E1094" t="s">
        <v>335</v>
      </c>
      <c r="AG1094" t="s">
        <v>787</v>
      </c>
    </row>
    <row r="1095" spans="1:40" ht="18.75" customHeight="1" x14ac:dyDescent="0.3">
      <c r="A1095" s="1">
        <v>2014138306389</v>
      </c>
      <c r="B1095" t="s">
        <v>75</v>
      </c>
      <c r="C1095" t="s">
        <v>3458</v>
      </c>
      <c r="D1095" t="s">
        <v>3456</v>
      </c>
      <c r="E1095" t="s">
        <v>335</v>
      </c>
      <c r="AG1095" t="s">
        <v>787</v>
      </c>
    </row>
    <row r="1096" spans="1:40" ht="18.75" customHeight="1" x14ac:dyDescent="0.3">
      <c r="A1096" s="1">
        <v>2015135200912</v>
      </c>
      <c r="B1096" t="s">
        <v>106</v>
      </c>
      <c r="C1096" t="s">
        <v>3459</v>
      </c>
      <c r="D1096" t="s">
        <v>3456</v>
      </c>
      <c r="E1096" t="s">
        <v>335</v>
      </c>
      <c r="AG1096" t="s">
        <v>787</v>
      </c>
    </row>
    <row r="1097" spans="1:40" ht="18.75" customHeight="1" x14ac:dyDescent="0.3">
      <c r="A1097" s="1">
        <v>2017135201536</v>
      </c>
      <c r="B1097" t="s">
        <v>106</v>
      </c>
      <c r="C1097" t="s">
        <v>3460</v>
      </c>
      <c r="D1097" t="s">
        <v>3456</v>
      </c>
      <c r="E1097" t="s">
        <v>335</v>
      </c>
      <c r="AG1097" t="s">
        <v>787</v>
      </c>
    </row>
    <row r="1098" spans="1:40" ht="18.75" customHeight="1" x14ac:dyDescent="0.3">
      <c r="A1098" s="1">
        <v>2018135201930</v>
      </c>
      <c r="B1098" t="s">
        <v>106</v>
      </c>
      <c r="C1098" t="s">
        <v>3461</v>
      </c>
      <c r="D1098" t="s">
        <v>3456</v>
      </c>
      <c r="E1098" t="s">
        <v>335</v>
      </c>
      <c r="AG1098" t="s">
        <v>787</v>
      </c>
    </row>
    <row r="1099" spans="1:40" ht="18.75" customHeight="1" x14ac:dyDescent="0.3">
      <c r="A1099" s="1">
        <v>2019131807699</v>
      </c>
      <c r="B1099" t="s">
        <v>125</v>
      </c>
      <c r="C1099" t="s">
        <v>3462</v>
      </c>
      <c r="D1099" t="s">
        <v>3456</v>
      </c>
      <c r="E1099" t="s">
        <v>335</v>
      </c>
      <c r="AG1099" t="s">
        <v>787</v>
      </c>
    </row>
    <row r="1100" spans="1:40" ht="18.75" customHeight="1" x14ac:dyDescent="0.3">
      <c r="A1100" s="1">
        <v>2019135200154</v>
      </c>
      <c r="B1100" t="s">
        <v>125</v>
      </c>
      <c r="C1100" t="s">
        <v>3463</v>
      </c>
      <c r="D1100" t="s">
        <v>3456</v>
      </c>
      <c r="E1100" t="s">
        <v>335</v>
      </c>
      <c r="AG1100" t="s">
        <v>787</v>
      </c>
    </row>
    <row r="1101" spans="1:40" ht="18.75" customHeight="1" x14ac:dyDescent="0.3">
      <c r="A1101" s="1">
        <v>2001135200367</v>
      </c>
      <c r="B1101" t="s">
        <v>210</v>
      </c>
      <c r="C1101" t="s">
        <v>3464</v>
      </c>
      <c r="D1101" t="s">
        <v>3465</v>
      </c>
      <c r="E1101" t="s">
        <v>335</v>
      </c>
      <c r="F1101">
        <v>126</v>
      </c>
      <c r="G1101">
        <v>37226</v>
      </c>
      <c r="H1101">
        <v>37226</v>
      </c>
      <c r="J1101">
        <v>44870</v>
      </c>
      <c r="L1101" t="s">
        <v>3466</v>
      </c>
      <c r="M1101" t="s">
        <v>335</v>
      </c>
      <c r="O1101" t="s">
        <v>3467</v>
      </c>
      <c r="P1101" t="s">
        <v>49</v>
      </c>
      <c r="R1101">
        <v>8</v>
      </c>
      <c r="W1101">
        <v>28112011806072</v>
      </c>
      <c r="X1101">
        <v>29921</v>
      </c>
      <c r="Y1101" t="s">
        <v>338</v>
      </c>
      <c r="AB1101">
        <v>3</v>
      </c>
      <c r="AD1101">
        <v>75</v>
      </c>
      <c r="AF1101">
        <v>175</v>
      </c>
      <c r="AG1101">
        <v>0</v>
      </c>
    </row>
    <row r="1102" spans="1:40" ht="18.75" customHeight="1" x14ac:dyDescent="0.3">
      <c r="A1102" s="1">
        <v>2003135200347</v>
      </c>
      <c r="B1102" t="s">
        <v>210</v>
      </c>
      <c r="C1102" t="s">
        <v>3468</v>
      </c>
      <c r="D1102" t="s">
        <v>3465</v>
      </c>
      <c r="E1102" t="s">
        <v>335</v>
      </c>
      <c r="F1102">
        <v>130</v>
      </c>
      <c r="G1102">
        <v>37821</v>
      </c>
      <c r="H1102">
        <v>38295</v>
      </c>
      <c r="J1102">
        <v>45974</v>
      </c>
      <c r="L1102" t="s">
        <v>3466</v>
      </c>
      <c r="M1102" t="s">
        <v>335</v>
      </c>
      <c r="O1102" t="s">
        <v>3467</v>
      </c>
      <c r="P1102" t="s">
        <v>49</v>
      </c>
      <c r="R1102">
        <v>1</v>
      </c>
      <c r="W1102">
        <v>28304012802179</v>
      </c>
      <c r="X1102">
        <v>30318</v>
      </c>
      <c r="Y1102" t="s">
        <v>338</v>
      </c>
      <c r="AB1102">
        <v>4</v>
      </c>
      <c r="AD1102">
        <v>83</v>
      </c>
      <c r="AF1102">
        <v>173</v>
      </c>
      <c r="AG1102">
        <v>10</v>
      </c>
    </row>
    <row r="1103" spans="1:40" ht="18.75" customHeight="1" x14ac:dyDescent="0.3">
      <c r="A1103" s="1">
        <v>2003135200412</v>
      </c>
      <c r="B1103" t="s">
        <v>210</v>
      </c>
      <c r="C1103" t="s">
        <v>3469</v>
      </c>
      <c r="D1103" t="s">
        <v>3465</v>
      </c>
      <c r="E1103" t="s">
        <v>335</v>
      </c>
      <c r="F1103">
        <v>130</v>
      </c>
      <c r="G1103">
        <v>37821</v>
      </c>
      <c r="H1103">
        <v>38295</v>
      </c>
      <c r="I1103">
        <v>45658</v>
      </c>
      <c r="J1103" t="s">
        <v>3470</v>
      </c>
      <c r="L1103" t="s">
        <v>3466</v>
      </c>
      <c r="M1103" t="s">
        <v>3471</v>
      </c>
      <c r="O1103" t="s">
        <v>3467</v>
      </c>
      <c r="P1103" t="s">
        <v>49</v>
      </c>
      <c r="R1103">
        <v>2</v>
      </c>
      <c r="S1103">
        <v>1</v>
      </c>
      <c r="W1103">
        <v>28401221304039</v>
      </c>
      <c r="X1103">
        <v>30703</v>
      </c>
      <c r="Y1103" t="s">
        <v>338</v>
      </c>
      <c r="AB1103">
        <v>4</v>
      </c>
      <c r="AD1103">
        <v>75</v>
      </c>
      <c r="AF1103">
        <v>177</v>
      </c>
      <c r="AG1103">
        <v>-2</v>
      </c>
    </row>
    <row r="1104" spans="1:40" ht="18.75" customHeight="1" x14ac:dyDescent="0.3">
      <c r="A1104" s="1">
        <v>2014135200948</v>
      </c>
      <c r="B1104" t="s">
        <v>75</v>
      </c>
      <c r="C1104" t="s">
        <v>3472</v>
      </c>
      <c r="D1104" t="s">
        <v>3465</v>
      </c>
      <c r="E1104" t="s">
        <v>335</v>
      </c>
      <c r="F1104">
        <v>151</v>
      </c>
      <c r="G1104">
        <v>41665</v>
      </c>
      <c r="H1104">
        <v>42134</v>
      </c>
      <c r="I1104">
        <v>45839</v>
      </c>
      <c r="J1104">
        <v>45324</v>
      </c>
      <c r="L1104" t="s">
        <v>3466</v>
      </c>
      <c r="M1104" t="s">
        <v>3471</v>
      </c>
      <c r="O1104" t="s">
        <v>3473</v>
      </c>
      <c r="P1104" t="s">
        <v>49</v>
      </c>
      <c r="U1104" t="s">
        <v>3474</v>
      </c>
      <c r="W1104">
        <v>29511121200515</v>
      </c>
      <c r="X1104">
        <v>35015</v>
      </c>
      <c r="Y1104" t="s">
        <v>338</v>
      </c>
      <c r="AB1104">
        <v>2</v>
      </c>
      <c r="AD1104">
        <v>70</v>
      </c>
      <c r="AF1104">
        <v>177</v>
      </c>
      <c r="AG1104">
        <v>-7</v>
      </c>
    </row>
    <row r="1105" spans="1:36" ht="18.75" customHeight="1" x14ac:dyDescent="0.3">
      <c r="A1105" s="1">
        <v>2015135201613</v>
      </c>
      <c r="B1105" t="s">
        <v>106</v>
      </c>
      <c r="C1105" t="s">
        <v>3475</v>
      </c>
      <c r="D1105" t="s">
        <v>3465</v>
      </c>
      <c r="E1105" t="s">
        <v>335</v>
      </c>
      <c r="F1105">
        <v>154</v>
      </c>
      <c r="G1105" t="s">
        <v>3476</v>
      </c>
      <c r="H1105">
        <v>42790</v>
      </c>
      <c r="I1105">
        <v>43582</v>
      </c>
      <c r="J1105">
        <v>44859</v>
      </c>
      <c r="L1105" t="s">
        <v>3466</v>
      </c>
      <c r="M1105" t="s">
        <v>3471</v>
      </c>
      <c r="O1105" t="s">
        <v>3477</v>
      </c>
      <c r="P1105" t="s">
        <v>49</v>
      </c>
      <c r="R1105">
        <v>4</v>
      </c>
      <c r="U1105" t="s">
        <v>3478</v>
      </c>
      <c r="W1105">
        <v>29909201603053</v>
      </c>
      <c r="X1105">
        <v>36423</v>
      </c>
      <c r="Y1105" t="s">
        <v>767</v>
      </c>
      <c r="AB1105">
        <v>4</v>
      </c>
      <c r="AD1105">
        <v>62</v>
      </c>
      <c r="AF1105">
        <v>176</v>
      </c>
      <c r="AG1105">
        <v>-14</v>
      </c>
    </row>
    <row r="1106" spans="1:36" ht="18.75" customHeight="1" x14ac:dyDescent="0.3">
      <c r="A1106" s="1">
        <v>2013135200528</v>
      </c>
      <c r="B1106" t="s">
        <v>75</v>
      </c>
      <c r="C1106" t="s">
        <v>3479</v>
      </c>
      <c r="D1106" t="s">
        <v>334</v>
      </c>
      <c r="E1106" t="s">
        <v>335</v>
      </c>
      <c r="F1106">
        <v>152</v>
      </c>
      <c r="G1106">
        <v>41853</v>
      </c>
      <c r="H1106">
        <v>42326</v>
      </c>
      <c r="I1106">
        <v>46023</v>
      </c>
      <c r="L1106" t="s">
        <v>771</v>
      </c>
      <c r="M1106" t="s">
        <v>335</v>
      </c>
      <c r="N1106" t="s">
        <v>127</v>
      </c>
      <c r="O1106" t="s">
        <v>336</v>
      </c>
      <c r="P1106" t="s">
        <v>49</v>
      </c>
      <c r="U1106" t="s">
        <v>3480</v>
      </c>
      <c r="W1106">
        <v>29509011607534</v>
      </c>
      <c r="X1106">
        <v>34943</v>
      </c>
      <c r="Y1106" t="s">
        <v>338</v>
      </c>
      <c r="AF1106">
        <v>74</v>
      </c>
      <c r="AG1106">
        <v>175</v>
      </c>
      <c r="AH1106">
        <v>-1</v>
      </c>
      <c r="AJ1106" t="s">
        <v>3481</v>
      </c>
    </row>
    <row r="1107" spans="1:36" ht="18.75" customHeight="1" x14ac:dyDescent="0.3">
      <c r="A1107" s="1">
        <v>2015135203833</v>
      </c>
      <c r="B1107" t="s">
        <v>106</v>
      </c>
      <c r="C1107" t="s">
        <v>3482</v>
      </c>
      <c r="D1107" t="s">
        <v>3465</v>
      </c>
      <c r="E1107" t="s">
        <v>335</v>
      </c>
      <c r="F1107">
        <v>154</v>
      </c>
      <c r="G1107">
        <v>42369</v>
      </c>
      <c r="H1107">
        <v>44927</v>
      </c>
      <c r="I1107">
        <v>44927</v>
      </c>
      <c r="J1107">
        <v>46006</v>
      </c>
      <c r="L1107" t="s">
        <v>3466</v>
      </c>
      <c r="M1107" t="s">
        <v>3471</v>
      </c>
      <c r="O1107" t="s">
        <v>3467</v>
      </c>
      <c r="P1107" t="s">
        <v>49</v>
      </c>
      <c r="R1107">
        <v>2</v>
      </c>
      <c r="W1107">
        <v>29903111700418</v>
      </c>
      <c r="X1107">
        <v>36230</v>
      </c>
      <c r="Y1107" t="s">
        <v>338</v>
      </c>
      <c r="AB1107">
        <v>1</v>
      </c>
      <c r="AD1107">
        <v>67</v>
      </c>
      <c r="AF1107">
        <v>170</v>
      </c>
      <c r="AG1107">
        <v>-3</v>
      </c>
    </row>
    <row r="1108" spans="1:36" ht="18.75" customHeight="1" x14ac:dyDescent="0.3">
      <c r="A1108" s="1">
        <v>2015135204047</v>
      </c>
      <c r="B1108" t="s">
        <v>106</v>
      </c>
      <c r="C1108" t="s">
        <v>3483</v>
      </c>
      <c r="D1108" t="s">
        <v>3465</v>
      </c>
      <c r="E1108" t="s">
        <v>335</v>
      </c>
      <c r="F1108">
        <v>155</v>
      </c>
      <c r="G1108">
        <v>42369</v>
      </c>
      <c r="I1108">
        <v>42369</v>
      </c>
      <c r="J1108">
        <v>44861</v>
      </c>
      <c r="L1108" t="s">
        <v>1420</v>
      </c>
      <c r="M1108" t="s">
        <v>3471</v>
      </c>
      <c r="O1108" t="s">
        <v>3467</v>
      </c>
      <c r="P1108" t="s">
        <v>49</v>
      </c>
      <c r="R1108">
        <v>4</v>
      </c>
      <c r="U1108" t="s">
        <v>3484</v>
      </c>
      <c r="W1108">
        <v>29907101500696</v>
      </c>
      <c r="X1108">
        <v>36351</v>
      </c>
      <c r="Y1108" t="s">
        <v>338</v>
      </c>
      <c r="AB1108">
        <v>1</v>
      </c>
      <c r="AD1108">
        <v>63</v>
      </c>
      <c r="AF1108">
        <v>175</v>
      </c>
      <c r="AG1108">
        <v>-12</v>
      </c>
    </row>
    <row r="1109" spans="1:36" ht="18.75" customHeight="1" x14ac:dyDescent="0.3">
      <c r="A1109" s="1">
        <v>2016135201398</v>
      </c>
      <c r="B1109" t="s">
        <v>106</v>
      </c>
      <c r="C1109" t="s">
        <v>3485</v>
      </c>
      <c r="D1109" t="s">
        <v>3465</v>
      </c>
      <c r="E1109" t="s">
        <v>335</v>
      </c>
      <c r="F1109">
        <v>156</v>
      </c>
      <c r="G1109">
        <v>42575</v>
      </c>
      <c r="H1109">
        <v>43321</v>
      </c>
      <c r="I1109">
        <v>45292</v>
      </c>
      <c r="J1109">
        <v>45225</v>
      </c>
      <c r="L1109" t="s">
        <v>3466</v>
      </c>
      <c r="M1109" t="s">
        <v>3471</v>
      </c>
      <c r="O1109" t="s">
        <v>3467</v>
      </c>
      <c r="P1109" t="s">
        <v>49</v>
      </c>
      <c r="R1109">
        <v>1</v>
      </c>
      <c r="W1109">
        <v>30007011816877</v>
      </c>
      <c r="X1109">
        <v>36708</v>
      </c>
      <c r="Y1109" t="s">
        <v>1392</v>
      </c>
      <c r="AD1109">
        <v>61</v>
      </c>
      <c r="AF1109">
        <v>171</v>
      </c>
      <c r="AG1109">
        <v>-10</v>
      </c>
    </row>
    <row r="1110" spans="1:36" ht="18.75" customHeight="1" x14ac:dyDescent="0.3">
      <c r="A1110" s="1">
        <v>2016135201992</v>
      </c>
      <c r="B1110" t="s">
        <v>106</v>
      </c>
      <c r="C1110" t="s">
        <v>3486</v>
      </c>
      <c r="D1110" t="s">
        <v>3465</v>
      </c>
      <c r="E1110" t="s">
        <v>335</v>
      </c>
      <c r="F1110">
        <v>156</v>
      </c>
      <c r="G1110">
        <v>42575</v>
      </c>
      <c r="H1110">
        <v>43321</v>
      </c>
      <c r="I1110">
        <v>43321</v>
      </c>
      <c r="J1110">
        <v>46006</v>
      </c>
      <c r="L1110" t="s">
        <v>3466</v>
      </c>
      <c r="M1110" t="s">
        <v>3471</v>
      </c>
      <c r="O1110" t="s">
        <v>3467</v>
      </c>
      <c r="P1110" t="s">
        <v>49</v>
      </c>
      <c r="R1110">
        <v>3</v>
      </c>
      <c r="U1110" t="s">
        <v>3487</v>
      </c>
      <c r="W1110">
        <v>29903141601015</v>
      </c>
      <c r="X1110">
        <v>36233</v>
      </c>
      <c r="Y1110" t="s">
        <v>338</v>
      </c>
      <c r="AB1110">
        <v>1</v>
      </c>
      <c r="AD1110">
        <v>69</v>
      </c>
      <c r="AF1110">
        <v>175</v>
      </c>
      <c r="AG1110">
        <v>1</v>
      </c>
    </row>
    <row r="1111" spans="1:36" ht="18.75" customHeight="1" x14ac:dyDescent="0.3">
      <c r="A1111" s="1">
        <v>2017135200166</v>
      </c>
      <c r="B1111" t="s">
        <v>106</v>
      </c>
      <c r="C1111" t="s">
        <v>3488</v>
      </c>
      <c r="D1111" t="s">
        <v>3465</v>
      </c>
      <c r="E1111" t="s">
        <v>335</v>
      </c>
      <c r="F1111">
        <v>157</v>
      </c>
      <c r="G1111">
        <v>42915</v>
      </c>
      <c r="H1111">
        <v>44562</v>
      </c>
      <c r="I1111">
        <v>44562</v>
      </c>
      <c r="J1111">
        <v>44430</v>
      </c>
      <c r="L1111" t="s">
        <v>3466</v>
      </c>
      <c r="M1111" t="s">
        <v>3471</v>
      </c>
      <c r="O1111" t="s">
        <v>3489</v>
      </c>
      <c r="P1111" t="s">
        <v>49</v>
      </c>
      <c r="R1111">
        <v>10</v>
      </c>
      <c r="W1111">
        <v>29910041400035</v>
      </c>
      <c r="X1111">
        <v>36437</v>
      </c>
      <c r="Y1111" t="s">
        <v>338</v>
      </c>
      <c r="AB1111">
        <v>1</v>
      </c>
      <c r="AD1111">
        <v>64</v>
      </c>
      <c r="AF1111">
        <v>172</v>
      </c>
      <c r="AG1111">
        <v>-8</v>
      </c>
    </row>
    <row r="1112" spans="1:36" ht="18.75" customHeight="1" x14ac:dyDescent="0.3">
      <c r="A1112" s="1">
        <v>2017135200330</v>
      </c>
      <c r="B1112" t="s">
        <v>106</v>
      </c>
      <c r="C1112" t="s">
        <v>3490</v>
      </c>
      <c r="D1112" t="s">
        <v>3465</v>
      </c>
      <c r="E1112" t="s">
        <v>335</v>
      </c>
      <c r="F1112">
        <v>175</v>
      </c>
      <c r="G1112">
        <v>42915</v>
      </c>
      <c r="H1112">
        <v>43663</v>
      </c>
      <c r="I1112">
        <v>45658</v>
      </c>
      <c r="J1112">
        <v>42915</v>
      </c>
      <c r="L1112" t="s">
        <v>3466</v>
      </c>
      <c r="M1112" t="s">
        <v>3471</v>
      </c>
      <c r="O1112" t="s">
        <v>3467</v>
      </c>
      <c r="P1112" t="s">
        <v>49</v>
      </c>
      <c r="R1112">
        <v>6</v>
      </c>
      <c r="W1112">
        <v>29806211401234</v>
      </c>
      <c r="X1112">
        <v>35967</v>
      </c>
      <c r="Y1112" t="s">
        <v>767</v>
      </c>
      <c r="AD1112">
        <v>77</v>
      </c>
      <c r="AF1112">
        <v>170</v>
      </c>
      <c r="AG1112">
        <v>7</v>
      </c>
    </row>
    <row r="1113" spans="1:36" ht="18.75" customHeight="1" x14ac:dyDescent="0.3">
      <c r="A1113" s="1">
        <v>2017135200679</v>
      </c>
      <c r="B1113" t="s">
        <v>106</v>
      </c>
      <c r="C1113" t="s">
        <v>3491</v>
      </c>
      <c r="D1113" t="s">
        <v>3465</v>
      </c>
      <c r="E1113" t="s">
        <v>335</v>
      </c>
      <c r="F1113">
        <v>157</v>
      </c>
      <c r="G1113">
        <v>42915</v>
      </c>
      <c r="H1113">
        <v>44562</v>
      </c>
      <c r="I1113">
        <v>44562</v>
      </c>
      <c r="J1113">
        <v>45979</v>
      </c>
      <c r="L1113" t="s">
        <v>3466</v>
      </c>
      <c r="M1113" t="s">
        <v>3471</v>
      </c>
      <c r="O1113" t="s">
        <v>3467</v>
      </c>
      <c r="P1113" t="s">
        <v>49</v>
      </c>
      <c r="R1113">
        <v>1</v>
      </c>
      <c r="W1113">
        <v>30001011382976</v>
      </c>
      <c r="X1113">
        <v>36526</v>
      </c>
      <c r="Y1113" t="s">
        <v>338</v>
      </c>
      <c r="AB1113">
        <v>1</v>
      </c>
      <c r="AD1113">
        <v>68</v>
      </c>
      <c r="AF1113">
        <v>172</v>
      </c>
      <c r="AG1113">
        <v>-4</v>
      </c>
    </row>
    <row r="1114" spans="1:36" ht="18.75" customHeight="1" x14ac:dyDescent="0.3">
      <c r="A1114" s="1">
        <v>2017135201106</v>
      </c>
      <c r="B1114" t="s">
        <v>106</v>
      </c>
      <c r="C1114" t="s">
        <v>3492</v>
      </c>
      <c r="D1114" t="s">
        <v>3465</v>
      </c>
      <c r="E1114" t="s">
        <v>335</v>
      </c>
      <c r="F1114">
        <v>157</v>
      </c>
      <c r="G1114">
        <v>42914</v>
      </c>
      <c r="H1114">
        <v>43663</v>
      </c>
      <c r="I1114">
        <v>45658</v>
      </c>
      <c r="J1114">
        <v>45589</v>
      </c>
      <c r="L1114" t="s">
        <v>3466</v>
      </c>
      <c r="M1114" t="s">
        <v>3471</v>
      </c>
      <c r="O1114" t="s">
        <v>3467</v>
      </c>
      <c r="P1114" t="s">
        <v>49</v>
      </c>
      <c r="W1114">
        <v>29609211602418</v>
      </c>
      <c r="X1114">
        <v>35329</v>
      </c>
      <c r="Y1114" t="s">
        <v>338</v>
      </c>
      <c r="AB1114">
        <v>1</v>
      </c>
      <c r="AD1114">
        <v>65</v>
      </c>
      <c r="AF1114">
        <v>171</v>
      </c>
      <c r="AG1114">
        <v>-6</v>
      </c>
    </row>
    <row r="1115" spans="1:36" ht="18.75" customHeight="1" x14ac:dyDescent="0.3">
      <c r="A1115" s="1">
        <v>2017135202245</v>
      </c>
      <c r="B1115" t="s">
        <v>106</v>
      </c>
      <c r="C1115" t="s">
        <v>3493</v>
      </c>
      <c r="D1115" t="s">
        <v>3465</v>
      </c>
      <c r="E1115" t="s">
        <v>335</v>
      </c>
      <c r="F1115">
        <v>157</v>
      </c>
      <c r="G1115">
        <v>42905</v>
      </c>
      <c r="H1115">
        <v>46023</v>
      </c>
      <c r="I1115">
        <v>46023</v>
      </c>
      <c r="J1115">
        <v>44502</v>
      </c>
      <c r="L1115" t="s">
        <v>3466</v>
      </c>
      <c r="M1115" t="s">
        <v>3471</v>
      </c>
      <c r="O1115" t="s">
        <v>3467</v>
      </c>
      <c r="P1115" t="s">
        <v>49</v>
      </c>
      <c r="R1115">
        <v>1</v>
      </c>
      <c r="W1115">
        <v>29708081302211</v>
      </c>
      <c r="X1115">
        <v>35650</v>
      </c>
      <c r="Y1115" t="s">
        <v>338</v>
      </c>
      <c r="AB1115">
        <v>1</v>
      </c>
      <c r="AD1115">
        <v>70</v>
      </c>
      <c r="AF1115">
        <v>179</v>
      </c>
      <c r="AG1115">
        <v>-9</v>
      </c>
    </row>
    <row r="1116" spans="1:36" ht="18.75" customHeight="1" x14ac:dyDescent="0.3">
      <c r="A1116" s="1">
        <v>2017135202526</v>
      </c>
      <c r="B1116" t="s">
        <v>106</v>
      </c>
      <c r="C1116" t="s">
        <v>3494</v>
      </c>
      <c r="D1116" t="s">
        <v>3465</v>
      </c>
      <c r="E1116" t="s">
        <v>335</v>
      </c>
      <c r="F1116">
        <v>157</v>
      </c>
      <c r="G1116">
        <v>42915</v>
      </c>
      <c r="H1116">
        <v>43663</v>
      </c>
      <c r="I1116">
        <v>45658</v>
      </c>
      <c r="J1116">
        <v>44913</v>
      </c>
      <c r="L1116" t="s">
        <v>3466</v>
      </c>
      <c r="M1116" t="s">
        <v>3471</v>
      </c>
      <c r="O1116" t="s">
        <v>3467</v>
      </c>
      <c r="P1116" t="s">
        <v>49</v>
      </c>
      <c r="R1116">
        <v>2</v>
      </c>
      <c r="S1116">
        <v>2</v>
      </c>
      <c r="W1116">
        <v>29705132700357</v>
      </c>
      <c r="X1116">
        <v>35563</v>
      </c>
      <c r="Y1116" t="s">
        <v>767</v>
      </c>
      <c r="AD1116">
        <v>73</v>
      </c>
      <c r="AF1116">
        <v>185</v>
      </c>
      <c r="AG1116">
        <v>-12</v>
      </c>
    </row>
    <row r="1117" spans="1:36" ht="18.75" customHeight="1" x14ac:dyDescent="0.3">
      <c r="A1117" s="1">
        <v>2017135202617</v>
      </c>
      <c r="B1117" t="s">
        <v>106</v>
      </c>
      <c r="C1117" t="s">
        <v>3495</v>
      </c>
      <c r="D1117" t="s">
        <v>3465</v>
      </c>
      <c r="E1117" t="s">
        <v>335</v>
      </c>
      <c r="F1117">
        <v>157</v>
      </c>
      <c r="G1117">
        <v>42915</v>
      </c>
      <c r="H1117">
        <v>44562</v>
      </c>
      <c r="I1117">
        <v>44562</v>
      </c>
      <c r="J1117">
        <v>45587</v>
      </c>
      <c r="L1117" t="s">
        <v>3466</v>
      </c>
      <c r="M1117" t="s">
        <v>3471</v>
      </c>
      <c r="O1117" t="s">
        <v>3467</v>
      </c>
      <c r="P1117" t="s">
        <v>49</v>
      </c>
      <c r="R1117">
        <v>1</v>
      </c>
      <c r="W1117">
        <v>29610092200517</v>
      </c>
      <c r="X1117">
        <v>35073</v>
      </c>
      <c r="Y1117" t="s">
        <v>338</v>
      </c>
      <c r="AB1117">
        <v>1</v>
      </c>
      <c r="AD1117">
        <v>77</v>
      </c>
      <c r="AF1117">
        <v>177</v>
      </c>
      <c r="AG1117">
        <v>0</v>
      </c>
    </row>
    <row r="1118" spans="1:36" ht="18.75" customHeight="1" x14ac:dyDescent="0.3">
      <c r="A1118" s="1">
        <v>2018135200289</v>
      </c>
      <c r="B1118" t="s">
        <v>125</v>
      </c>
      <c r="C1118" t="s">
        <v>3496</v>
      </c>
      <c r="D1118" t="s">
        <v>3465</v>
      </c>
      <c r="E1118" t="s">
        <v>335</v>
      </c>
      <c r="F1118">
        <v>158</v>
      </c>
      <c r="G1118">
        <v>43341</v>
      </c>
      <c r="H1118">
        <v>44117</v>
      </c>
      <c r="I1118">
        <v>44117</v>
      </c>
      <c r="J1118">
        <v>44359</v>
      </c>
      <c r="L1118" t="s">
        <v>3466</v>
      </c>
      <c r="M1118" t="s">
        <v>3471</v>
      </c>
      <c r="O1118" t="s">
        <v>3467</v>
      </c>
      <c r="P1118" t="s">
        <v>49</v>
      </c>
      <c r="S1118">
        <v>1</v>
      </c>
      <c r="W1118">
        <v>29712252200915</v>
      </c>
      <c r="X1118">
        <v>35789</v>
      </c>
      <c r="Y1118" t="s">
        <v>550</v>
      </c>
      <c r="AD1118">
        <v>69</v>
      </c>
      <c r="AF1118">
        <v>178</v>
      </c>
      <c r="AG1118">
        <v>-9</v>
      </c>
    </row>
    <row r="1119" spans="1:36" ht="18.75" customHeight="1" x14ac:dyDescent="0.3">
      <c r="A1119" s="1">
        <v>2018135200940</v>
      </c>
      <c r="B1119" t="s">
        <v>106</v>
      </c>
      <c r="C1119" t="s">
        <v>3497</v>
      </c>
      <c r="D1119" t="s">
        <v>3465</v>
      </c>
      <c r="E1119" t="s">
        <v>335</v>
      </c>
      <c r="F1119">
        <v>158</v>
      </c>
      <c r="G1119">
        <v>43279</v>
      </c>
      <c r="H1119">
        <v>44117</v>
      </c>
      <c r="I1119">
        <v>46023</v>
      </c>
      <c r="J1119">
        <v>45968</v>
      </c>
      <c r="L1119" t="s">
        <v>3466</v>
      </c>
      <c r="M1119" t="s">
        <v>3471</v>
      </c>
      <c r="O1119" t="s">
        <v>3467</v>
      </c>
      <c r="P1119" t="s">
        <v>49</v>
      </c>
      <c r="S1119">
        <v>1</v>
      </c>
      <c r="W1119">
        <v>29807041301651</v>
      </c>
      <c r="X1119">
        <v>35980</v>
      </c>
      <c r="Y1119" t="s">
        <v>1392</v>
      </c>
      <c r="AB1119">
        <v>2</v>
      </c>
      <c r="AD1119">
        <v>87</v>
      </c>
      <c r="AF1119">
        <v>185</v>
      </c>
      <c r="AG1119">
        <v>2</v>
      </c>
    </row>
    <row r="1120" spans="1:36" ht="18.75" customHeight="1" x14ac:dyDescent="0.3">
      <c r="A1120" s="1">
        <v>2019135200120</v>
      </c>
      <c r="B1120" t="s">
        <v>125</v>
      </c>
      <c r="C1120" t="s">
        <v>3498</v>
      </c>
      <c r="D1120" t="s">
        <v>3465</v>
      </c>
      <c r="E1120" t="s">
        <v>335</v>
      </c>
      <c r="F1120">
        <v>159</v>
      </c>
      <c r="G1120">
        <v>43692</v>
      </c>
      <c r="H1120">
        <v>44482</v>
      </c>
      <c r="I1120">
        <v>44482</v>
      </c>
      <c r="J1120">
        <v>44502</v>
      </c>
      <c r="L1120" t="s">
        <v>3466</v>
      </c>
      <c r="M1120" t="s">
        <v>3471</v>
      </c>
      <c r="O1120" t="s">
        <v>3467</v>
      </c>
      <c r="P1120" t="s">
        <v>49</v>
      </c>
      <c r="R1120">
        <v>1</v>
      </c>
      <c r="W1120">
        <v>29904141301433</v>
      </c>
      <c r="X1120">
        <v>36264</v>
      </c>
      <c r="Y1120" t="s">
        <v>767</v>
      </c>
      <c r="AD1120">
        <v>71</v>
      </c>
      <c r="AF1120">
        <v>170</v>
      </c>
      <c r="AG1120">
        <v>1</v>
      </c>
    </row>
    <row r="1121" spans="1:40" ht="18.75" customHeight="1" x14ac:dyDescent="0.3">
      <c r="A1121" s="1">
        <v>2001135200440</v>
      </c>
      <c r="B1121" t="s">
        <v>210</v>
      </c>
      <c r="C1121" t="s">
        <v>3499</v>
      </c>
      <c r="D1121" t="s">
        <v>3500</v>
      </c>
      <c r="E1121" t="s">
        <v>335</v>
      </c>
      <c r="F1121">
        <v>126</v>
      </c>
      <c r="G1121">
        <v>37226</v>
      </c>
      <c r="H1121">
        <v>37696</v>
      </c>
      <c r="I1121">
        <v>43647</v>
      </c>
      <c r="L1121" t="s">
        <v>135</v>
      </c>
      <c r="M1121" t="s">
        <v>335</v>
      </c>
      <c r="N1121" t="s">
        <v>127</v>
      </c>
      <c r="P1121" t="s">
        <v>49</v>
      </c>
      <c r="R1121" t="s">
        <v>3501</v>
      </c>
      <c r="S1121" t="s">
        <v>3501</v>
      </c>
      <c r="U1121">
        <v>1278609898</v>
      </c>
      <c r="V1121">
        <v>1282283515</v>
      </c>
      <c r="W1121">
        <v>2822091912171</v>
      </c>
      <c r="X1121">
        <v>30213</v>
      </c>
      <c r="Y1121" t="s">
        <v>103</v>
      </c>
      <c r="AE1121">
        <v>72</v>
      </c>
      <c r="AF1121">
        <v>170</v>
      </c>
      <c r="AG1121">
        <v>2</v>
      </c>
      <c r="AJ1121" t="s">
        <v>3502</v>
      </c>
    </row>
    <row r="1122" spans="1:40" ht="18.75" customHeight="1" x14ac:dyDescent="0.3">
      <c r="A1122" s="1">
        <v>2005135200228</v>
      </c>
      <c r="B1122" t="s">
        <v>57</v>
      </c>
      <c r="C1122" t="s">
        <v>3503</v>
      </c>
      <c r="D1122" t="s">
        <v>3500</v>
      </c>
      <c r="E1122" t="s">
        <v>335</v>
      </c>
      <c r="F1122">
        <v>133</v>
      </c>
      <c r="G1122">
        <v>38367</v>
      </c>
      <c r="H1122">
        <v>38846</v>
      </c>
      <c r="I1122">
        <v>44743</v>
      </c>
      <c r="L1122" t="s">
        <v>135</v>
      </c>
      <c r="M1122" t="s">
        <v>335</v>
      </c>
      <c r="N1122" t="s">
        <v>127</v>
      </c>
      <c r="R1122">
        <v>15</v>
      </c>
      <c r="S1122" t="s">
        <v>3501</v>
      </c>
      <c r="U1122">
        <v>1060976394</v>
      </c>
      <c r="V1122">
        <v>1282758721</v>
      </c>
      <c r="W1122" t="s">
        <v>3504</v>
      </c>
      <c r="X1122">
        <v>31420</v>
      </c>
      <c r="Y1122" t="s">
        <v>103</v>
      </c>
      <c r="AE1122">
        <v>72</v>
      </c>
      <c r="AF1122">
        <v>176</v>
      </c>
      <c r="AG1122">
        <v>-4</v>
      </c>
      <c r="AJ1122" t="s">
        <v>3505</v>
      </c>
    </row>
    <row r="1123" spans="1:40" ht="18.75" customHeight="1" x14ac:dyDescent="0.3">
      <c r="A1123" s="1">
        <v>2006135200218</v>
      </c>
      <c r="B1123" t="s">
        <v>57</v>
      </c>
      <c r="C1123" t="s">
        <v>3506</v>
      </c>
      <c r="D1123" t="s">
        <v>3500</v>
      </c>
      <c r="E1123" t="s">
        <v>335</v>
      </c>
      <c r="F1123">
        <v>135</v>
      </c>
      <c r="G1123">
        <v>38738</v>
      </c>
      <c r="H1123">
        <v>39208</v>
      </c>
      <c r="I1123">
        <v>44743</v>
      </c>
      <c r="L1123" t="s">
        <v>135</v>
      </c>
      <c r="M1123" t="s">
        <v>335</v>
      </c>
      <c r="N1123" t="s">
        <v>127</v>
      </c>
      <c r="P1123" t="s">
        <v>49</v>
      </c>
      <c r="R1123">
        <v>5</v>
      </c>
      <c r="S1123" t="s">
        <v>3501</v>
      </c>
      <c r="U1123">
        <v>1007829461</v>
      </c>
      <c r="V1123">
        <v>1007829461</v>
      </c>
      <c r="W1123">
        <v>28805151201699</v>
      </c>
      <c r="X1123">
        <v>32278</v>
      </c>
      <c r="Y1123" t="s">
        <v>103</v>
      </c>
      <c r="AE1123">
        <v>85</v>
      </c>
      <c r="AF1123">
        <v>176</v>
      </c>
      <c r="AG1123">
        <v>9</v>
      </c>
      <c r="AJ1123" t="s">
        <v>3507</v>
      </c>
    </row>
    <row r="1124" spans="1:40" ht="18.75" customHeight="1" x14ac:dyDescent="0.3">
      <c r="A1124" s="1">
        <v>2006135200242</v>
      </c>
      <c r="B1124" t="s">
        <v>57</v>
      </c>
      <c r="C1124" t="s">
        <v>3508</v>
      </c>
      <c r="D1124" t="s">
        <v>3500</v>
      </c>
      <c r="E1124" t="s">
        <v>335</v>
      </c>
      <c r="F1124">
        <v>135</v>
      </c>
      <c r="G1124">
        <v>38738</v>
      </c>
      <c r="H1124">
        <v>39208</v>
      </c>
      <c r="I1124">
        <v>39208</v>
      </c>
      <c r="L1124" t="s">
        <v>135</v>
      </c>
      <c r="M1124" t="s">
        <v>335</v>
      </c>
      <c r="N1124" t="s">
        <v>127</v>
      </c>
      <c r="P1124" t="s">
        <v>49</v>
      </c>
      <c r="R1124">
        <v>12</v>
      </c>
      <c r="S1124" t="s">
        <v>3501</v>
      </c>
      <c r="U1124">
        <v>1117918093</v>
      </c>
      <c r="V1124">
        <v>1117918093</v>
      </c>
      <c r="W1124">
        <v>28310051201919</v>
      </c>
      <c r="X1124">
        <v>30594</v>
      </c>
      <c r="Y1124" t="s">
        <v>103</v>
      </c>
      <c r="AE1124">
        <v>72</v>
      </c>
      <c r="AF1124">
        <v>176</v>
      </c>
      <c r="AG1124">
        <v>-4</v>
      </c>
      <c r="AJ1124" t="s">
        <v>3509</v>
      </c>
    </row>
    <row r="1125" spans="1:40" ht="18.75" customHeight="1" x14ac:dyDescent="0.3">
      <c r="A1125" s="1">
        <v>2008135200470</v>
      </c>
      <c r="B1125" t="s">
        <v>57</v>
      </c>
      <c r="C1125" t="s">
        <v>3510</v>
      </c>
      <c r="D1125" t="s">
        <v>3500</v>
      </c>
      <c r="E1125" t="s">
        <v>335</v>
      </c>
      <c r="F1125">
        <v>140</v>
      </c>
      <c r="G1125">
        <v>39655</v>
      </c>
      <c r="H1125">
        <v>40129</v>
      </c>
      <c r="I1125">
        <v>43831</v>
      </c>
      <c r="L1125" t="s">
        <v>135</v>
      </c>
      <c r="M1125" t="s">
        <v>335</v>
      </c>
      <c r="N1125" t="s">
        <v>127</v>
      </c>
      <c r="P1125" t="s">
        <v>49</v>
      </c>
      <c r="R1125">
        <v>8</v>
      </c>
      <c r="S1125" t="s">
        <v>3501</v>
      </c>
      <c r="U1125">
        <v>1024945294</v>
      </c>
      <c r="V1125">
        <v>1024945294</v>
      </c>
      <c r="W1125" t="s">
        <v>3511</v>
      </c>
      <c r="X1125">
        <v>32492</v>
      </c>
      <c r="Y1125" t="s">
        <v>103</v>
      </c>
      <c r="AE1125">
        <v>74</v>
      </c>
      <c r="AF1125">
        <v>174</v>
      </c>
      <c r="AG1125">
        <v>0</v>
      </c>
      <c r="AJ1125" t="s">
        <v>3512</v>
      </c>
    </row>
    <row r="1126" spans="1:40" ht="18.75" customHeight="1" x14ac:dyDescent="0.3">
      <c r="A1126" s="1">
        <v>2008135200511</v>
      </c>
      <c r="B1126" t="s">
        <v>57</v>
      </c>
      <c r="C1126" t="s">
        <v>3513</v>
      </c>
      <c r="D1126" t="s">
        <v>3500</v>
      </c>
      <c r="E1126" t="s">
        <v>335</v>
      </c>
      <c r="F1126">
        <v>140</v>
      </c>
      <c r="G1126">
        <v>39655</v>
      </c>
      <c r="H1126">
        <v>40129</v>
      </c>
      <c r="I1126">
        <v>42726</v>
      </c>
      <c r="L1126" t="s">
        <v>135</v>
      </c>
      <c r="M1126" t="s">
        <v>335</v>
      </c>
      <c r="N1126" t="s">
        <v>127</v>
      </c>
      <c r="P1126" t="s">
        <v>49</v>
      </c>
      <c r="R1126">
        <v>4</v>
      </c>
      <c r="S1126" t="s">
        <v>3501</v>
      </c>
      <c r="U1126">
        <v>1554498272</v>
      </c>
      <c r="V1126">
        <v>1554498272</v>
      </c>
      <c r="W1126" t="s">
        <v>3514</v>
      </c>
      <c r="X1126">
        <v>36075</v>
      </c>
      <c r="Y1126" t="s">
        <v>103</v>
      </c>
      <c r="AE1126">
        <v>70</v>
      </c>
      <c r="AF1126">
        <v>174</v>
      </c>
      <c r="AG1126">
        <v>-4</v>
      </c>
      <c r="AJ1126" t="s">
        <v>3515</v>
      </c>
    </row>
    <row r="1127" spans="1:40" ht="18.75" customHeight="1" x14ac:dyDescent="0.3">
      <c r="A1127" s="1">
        <v>2010135200699</v>
      </c>
      <c r="B1127" t="s">
        <v>75</v>
      </c>
      <c r="C1127" t="s">
        <v>3516</v>
      </c>
      <c r="D1127" t="s">
        <v>3500</v>
      </c>
      <c r="E1127" t="s">
        <v>335</v>
      </c>
      <c r="F1127">
        <v>143</v>
      </c>
      <c r="G1127">
        <v>40376</v>
      </c>
      <c r="H1127">
        <v>40849</v>
      </c>
      <c r="I1127">
        <v>44562</v>
      </c>
      <c r="L1127" t="s">
        <v>135</v>
      </c>
      <c r="M1127" t="s">
        <v>335</v>
      </c>
      <c r="N1127" t="s">
        <v>127</v>
      </c>
      <c r="P1127" t="s">
        <v>3517</v>
      </c>
      <c r="Q1127" t="s">
        <v>49</v>
      </c>
      <c r="R1127" t="s">
        <v>3501</v>
      </c>
      <c r="S1127" t="s">
        <v>3501</v>
      </c>
      <c r="U1127">
        <v>1022668528</v>
      </c>
      <c r="V1127">
        <v>112621778</v>
      </c>
      <c r="W1127" t="s">
        <v>3518</v>
      </c>
      <c r="X1127">
        <v>33628</v>
      </c>
      <c r="Y1127" t="s">
        <v>103</v>
      </c>
      <c r="AE1127">
        <v>85</v>
      </c>
      <c r="AF1127">
        <v>182</v>
      </c>
      <c r="AG1127">
        <v>3</v>
      </c>
      <c r="AJ1127" t="s">
        <v>3519</v>
      </c>
    </row>
    <row r="1128" spans="1:40" ht="18.75" customHeight="1" x14ac:dyDescent="0.3">
      <c r="A1128" s="1">
        <v>2018131805398</v>
      </c>
      <c r="B1128" t="s">
        <v>106</v>
      </c>
      <c r="C1128" t="s">
        <v>3520</v>
      </c>
      <c r="D1128" t="s">
        <v>725</v>
      </c>
      <c r="E1128" t="s">
        <v>43</v>
      </c>
      <c r="F1128">
        <v>158</v>
      </c>
      <c r="G1128">
        <v>43279</v>
      </c>
      <c r="H1128">
        <v>44025</v>
      </c>
      <c r="I1128">
        <v>44025</v>
      </c>
      <c r="J1128">
        <v>45622</v>
      </c>
      <c r="L1128" t="s">
        <v>135</v>
      </c>
      <c r="M1128" t="s">
        <v>726</v>
      </c>
      <c r="N1128" t="s">
        <v>727</v>
      </c>
      <c r="O1128" t="s">
        <v>608</v>
      </c>
      <c r="P1128" t="s">
        <v>49</v>
      </c>
      <c r="R1128">
        <v>1</v>
      </c>
      <c r="S1128">
        <v>0</v>
      </c>
      <c r="T1128">
        <v>0</v>
      </c>
      <c r="U1128" t="s">
        <v>3521</v>
      </c>
      <c r="V1128" t="s">
        <v>3522</v>
      </c>
      <c r="W1128">
        <v>30001241701957</v>
      </c>
      <c r="X1128">
        <v>36549</v>
      </c>
      <c r="Y1128" t="s">
        <v>103</v>
      </c>
      <c r="Z1128">
        <v>1</v>
      </c>
      <c r="AC1128" t="s">
        <v>3523</v>
      </c>
      <c r="AF1128">
        <v>63</v>
      </c>
      <c r="AG1128">
        <v>174</v>
      </c>
      <c r="AH1128">
        <f>IF([2]!Table1[[#This Row],[الوزن]]&lt;&gt;"",[2]!Table1[[#This Row],[الوزن]]-([2]!Table1[[#This Row],[الطول]]-100),"")</f>
        <v>282</v>
      </c>
      <c r="AI1128" t="s">
        <v>3524</v>
      </c>
      <c r="AN1128" t="s">
        <v>733</v>
      </c>
    </row>
    <row r="1129" spans="1:40" ht="18.75" customHeight="1" x14ac:dyDescent="0.3">
      <c r="A1129" s="1">
        <v>2012135201396</v>
      </c>
      <c r="B1129" t="s">
        <v>75</v>
      </c>
      <c r="C1129" t="s">
        <v>3525</v>
      </c>
      <c r="D1129" t="s">
        <v>3500</v>
      </c>
      <c r="E1129" t="s">
        <v>335</v>
      </c>
      <c r="F1129">
        <v>148</v>
      </c>
      <c r="G1129">
        <v>41111</v>
      </c>
      <c r="H1129">
        <v>41584</v>
      </c>
      <c r="I1129">
        <v>45292</v>
      </c>
      <c r="L1129" t="s">
        <v>135</v>
      </c>
      <c r="M1129" t="s">
        <v>335</v>
      </c>
      <c r="N1129" t="s">
        <v>127</v>
      </c>
      <c r="P1129" t="s">
        <v>49</v>
      </c>
      <c r="R1129">
        <v>7</v>
      </c>
      <c r="U1129">
        <v>1017027208</v>
      </c>
      <c r="V1129">
        <v>1117150887</v>
      </c>
      <c r="W1129" t="s">
        <v>3526</v>
      </c>
      <c r="X1129">
        <v>34511</v>
      </c>
      <c r="Y1129" t="s">
        <v>103</v>
      </c>
      <c r="AE1129">
        <v>82</v>
      </c>
      <c r="AF1129">
        <v>182</v>
      </c>
      <c r="AG1129">
        <v>0</v>
      </c>
      <c r="AJ1129" t="s">
        <v>3527</v>
      </c>
    </row>
    <row r="1130" spans="1:40" ht="18.75" customHeight="1" x14ac:dyDescent="0.3">
      <c r="A1130" s="1">
        <v>2013135200031</v>
      </c>
      <c r="B1130" t="s">
        <v>75</v>
      </c>
      <c r="C1130" t="s">
        <v>3528</v>
      </c>
      <c r="D1130" t="s">
        <v>3500</v>
      </c>
      <c r="E1130" t="s">
        <v>335</v>
      </c>
      <c r="F1130">
        <v>149</v>
      </c>
      <c r="G1130">
        <v>41307</v>
      </c>
      <c r="H1130">
        <v>41776</v>
      </c>
      <c r="I1130">
        <v>43647</v>
      </c>
      <c r="L1130" t="s">
        <v>135</v>
      </c>
      <c r="M1130" t="s">
        <v>335</v>
      </c>
      <c r="N1130" t="s">
        <v>127</v>
      </c>
      <c r="P1130" t="s">
        <v>49</v>
      </c>
      <c r="R1130">
        <v>4</v>
      </c>
      <c r="S1130" t="s">
        <v>3501</v>
      </c>
      <c r="U1130">
        <v>1149552498</v>
      </c>
      <c r="V1130">
        <v>1040519874</v>
      </c>
      <c r="W1130" t="s">
        <v>3529</v>
      </c>
      <c r="X1130">
        <v>34356</v>
      </c>
      <c r="Y1130" t="s">
        <v>103</v>
      </c>
      <c r="AE1130">
        <v>80</v>
      </c>
      <c r="AF1130">
        <v>178</v>
      </c>
      <c r="AG1130">
        <v>2</v>
      </c>
      <c r="AJ1130" t="s">
        <v>3530</v>
      </c>
    </row>
    <row r="1131" spans="1:40" ht="18.75" customHeight="1" x14ac:dyDescent="0.3">
      <c r="A1131" s="1">
        <v>2013135201526</v>
      </c>
      <c r="B1131" t="s">
        <v>75</v>
      </c>
      <c r="C1131" t="s">
        <v>3531</v>
      </c>
      <c r="D1131" t="s">
        <v>3500</v>
      </c>
      <c r="E1131" t="s">
        <v>335</v>
      </c>
      <c r="F1131">
        <v>150</v>
      </c>
      <c r="G1131">
        <v>41510</v>
      </c>
      <c r="H1131">
        <v>41982</v>
      </c>
      <c r="I1131">
        <v>41982</v>
      </c>
      <c r="L1131" t="s">
        <v>135</v>
      </c>
      <c r="M1131" t="s">
        <v>335</v>
      </c>
      <c r="N1131" t="s">
        <v>127</v>
      </c>
      <c r="P1131" t="s">
        <v>49</v>
      </c>
      <c r="R1131">
        <v>7</v>
      </c>
      <c r="S1131" t="s">
        <v>3501</v>
      </c>
      <c r="U1131">
        <v>1093153030</v>
      </c>
      <c r="V1131">
        <v>1008274806</v>
      </c>
      <c r="W1131" t="s">
        <v>3532</v>
      </c>
      <c r="X1131">
        <v>28608</v>
      </c>
      <c r="Y1131" t="s">
        <v>103</v>
      </c>
      <c r="AE1131">
        <v>70</v>
      </c>
      <c r="AF1131">
        <v>179</v>
      </c>
      <c r="AG1131">
        <v>-9</v>
      </c>
      <c r="AJ1131" t="s">
        <v>3533</v>
      </c>
    </row>
    <row r="1132" spans="1:40" ht="18.75" customHeight="1" x14ac:dyDescent="0.3">
      <c r="A1132" s="1">
        <v>2013135201766</v>
      </c>
      <c r="B1132" t="s">
        <v>75</v>
      </c>
      <c r="C1132" t="s">
        <v>3534</v>
      </c>
      <c r="D1132" t="s">
        <v>3500</v>
      </c>
      <c r="E1132" t="s">
        <v>335</v>
      </c>
      <c r="F1132">
        <v>150</v>
      </c>
      <c r="G1132">
        <v>41510</v>
      </c>
      <c r="H1132">
        <v>41982</v>
      </c>
      <c r="I1132">
        <v>43831</v>
      </c>
      <c r="L1132" t="s">
        <v>135</v>
      </c>
      <c r="M1132" t="s">
        <v>335</v>
      </c>
      <c r="N1132" t="s">
        <v>127</v>
      </c>
      <c r="P1132" t="s">
        <v>49</v>
      </c>
      <c r="R1132" t="s">
        <v>3501</v>
      </c>
      <c r="S1132" t="s">
        <v>3501</v>
      </c>
      <c r="U1132">
        <v>1027324218</v>
      </c>
      <c r="V1132">
        <v>1027324218</v>
      </c>
      <c r="W1132" t="s">
        <v>3535</v>
      </c>
      <c r="X1132">
        <v>34047</v>
      </c>
      <c r="Y1132" t="s">
        <v>103</v>
      </c>
      <c r="AE1132">
        <v>80</v>
      </c>
      <c r="AF1132">
        <v>180</v>
      </c>
      <c r="AG1132">
        <v>0</v>
      </c>
      <c r="AJ1132" t="s">
        <v>3536</v>
      </c>
    </row>
    <row r="1133" spans="1:40" ht="18.75" customHeight="1" x14ac:dyDescent="0.3">
      <c r="A1133" s="1">
        <v>2013135201790</v>
      </c>
      <c r="B1133" t="s">
        <v>75</v>
      </c>
      <c r="C1133" t="s">
        <v>3537</v>
      </c>
      <c r="D1133" t="s">
        <v>3500</v>
      </c>
      <c r="E1133" t="s">
        <v>335</v>
      </c>
      <c r="F1133">
        <v>150</v>
      </c>
      <c r="G1133">
        <v>41510</v>
      </c>
      <c r="H1133">
        <v>41982</v>
      </c>
      <c r="I1133">
        <v>43831</v>
      </c>
      <c r="L1133" t="s">
        <v>135</v>
      </c>
      <c r="M1133" t="s">
        <v>335</v>
      </c>
      <c r="N1133" t="s">
        <v>127</v>
      </c>
      <c r="P1133" t="s">
        <v>49</v>
      </c>
      <c r="R1133">
        <v>4</v>
      </c>
      <c r="S1133" t="s">
        <v>3501</v>
      </c>
      <c r="U1133">
        <v>1027218480</v>
      </c>
      <c r="V1133">
        <v>1016517072</v>
      </c>
      <c r="W1133" t="s">
        <v>3538</v>
      </c>
      <c r="X1133">
        <v>34360</v>
      </c>
      <c r="Y1133" t="s">
        <v>103</v>
      </c>
      <c r="AE1133">
        <v>80</v>
      </c>
      <c r="AF1133">
        <v>185</v>
      </c>
      <c r="AG1133">
        <v>-5</v>
      </c>
      <c r="AJ1133" t="s">
        <v>3539</v>
      </c>
    </row>
    <row r="1134" spans="1:40" ht="18.75" customHeight="1" x14ac:dyDescent="0.3">
      <c r="A1134" s="1">
        <v>2013135202251</v>
      </c>
      <c r="B1134" t="s">
        <v>75</v>
      </c>
      <c r="C1134" t="s">
        <v>3540</v>
      </c>
      <c r="D1134" t="s">
        <v>3500</v>
      </c>
      <c r="E1134" t="s">
        <v>335</v>
      </c>
      <c r="F1134">
        <v>153</v>
      </c>
      <c r="G1134">
        <v>41510</v>
      </c>
      <c r="H1134">
        <v>45635</v>
      </c>
      <c r="I1134">
        <v>45635</v>
      </c>
      <c r="L1134" t="s">
        <v>135</v>
      </c>
      <c r="M1134" t="s">
        <v>335</v>
      </c>
      <c r="N1134" t="s">
        <v>127</v>
      </c>
      <c r="P1134" t="s">
        <v>49</v>
      </c>
      <c r="R1134">
        <v>3</v>
      </c>
      <c r="S1134" t="s">
        <v>3501</v>
      </c>
      <c r="U1134">
        <v>1110591301</v>
      </c>
      <c r="V1134">
        <v>1017233408</v>
      </c>
      <c r="W1134">
        <v>29202152703156</v>
      </c>
      <c r="X1134">
        <v>33649</v>
      </c>
      <c r="Y1134" t="s">
        <v>103</v>
      </c>
      <c r="AE1134">
        <v>92</v>
      </c>
      <c r="AF1134">
        <v>188</v>
      </c>
      <c r="AG1134">
        <v>4</v>
      </c>
      <c r="AJ1134" t="s">
        <v>3541</v>
      </c>
    </row>
    <row r="1135" spans="1:40" ht="18.75" customHeight="1" x14ac:dyDescent="0.3">
      <c r="A1135" s="1">
        <v>2014132401052</v>
      </c>
      <c r="B1135" t="s">
        <v>75</v>
      </c>
      <c r="C1135" t="s">
        <v>3542</v>
      </c>
      <c r="D1135" t="s">
        <v>3500</v>
      </c>
      <c r="E1135" t="s">
        <v>335</v>
      </c>
      <c r="F1135">
        <v>153</v>
      </c>
      <c r="G1135">
        <v>41853</v>
      </c>
      <c r="H1135">
        <v>42326</v>
      </c>
      <c r="I1135">
        <v>46023</v>
      </c>
      <c r="L1135" t="s">
        <v>135</v>
      </c>
      <c r="M1135" t="s">
        <v>1171</v>
      </c>
      <c r="N1135" t="s">
        <v>127</v>
      </c>
      <c r="P1135" t="s">
        <v>49</v>
      </c>
      <c r="R1135">
        <v>10</v>
      </c>
      <c r="S1135" t="s">
        <v>3501</v>
      </c>
      <c r="U1135">
        <v>100937567</v>
      </c>
      <c r="V1135">
        <v>1033389274</v>
      </c>
      <c r="W1135">
        <v>29406181800271</v>
      </c>
      <c r="X1135">
        <v>34503</v>
      </c>
      <c r="Y1135" t="s">
        <v>103</v>
      </c>
      <c r="AE1135">
        <v>74</v>
      </c>
      <c r="AF1135">
        <v>179</v>
      </c>
      <c r="AG1135">
        <v>-5</v>
      </c>
      <c r="AJ1135" t="s">
        <v>3543</v>
      </c>
    </row>
    <row r="1136" spans="1:40" ht="18.75" customHeight="1" x14ac:dyDescent="0.3">
      <c r="A1136" s="1">
        <v>2014135201243</v>
      </c>
      <c r="B1136" t="s">
        <v>75</v>
      </c>
      <c r="C1136" t="s">
        <v>3544</v>
      </c>
      <c r="D1136" t="s">
        <v>3500</v>
      </c>
      <c r="E1136" t="s">
        <v>335</v>
      </c>
      <c r="F1136">
        <v>152</v>
      </c>
      <c r="G1136">
        <v>41853</v>
      </c>
      <c r="H1136">
        <v>42135</v>
      </c>
      <c r="I1136">
        <v>46023</v>
      </c>
      <c r="L1136" t="s">
        <v>135</v>
      </c>
      <c r="M1136" t="s">
        <v>335</v>
      </c>
      <c r="N1136" t="s">
        <v>127</v>
      </c>
      <c r="P1136" t="s">
        <v>49</v>
      </c>
      <c r="R1136">
        <v>5</v>
      </c>
      <c r="S1136" t="s">
        <v>3501</v>
      </c>
      <c r="V1136">
        <v>1011689716</v>
      </c>
      <c r="W1136" t="s">
        <v>3545</v>
      </c>
      <c r="X1136">
        <v>35127</v>
      </c>
      <c r="Y1136" t="s">
        <v>103</v>
      </c>
      <c r="AE1136">
        <v>80</v>
      </c>
      <c r="AF1136">
        <v>180</v>
      </c>
      <c r="AG1136">
        <v>0</v>
      </c>
      <c r="AJ1136" t="s">
        <v>298</v>
      </c>
    </row>
    <row r="1137" spans="1:36" ht="18.75" customHeight="1" x14ac:dyDescent="0.3">
      <c r="A1137" s="1">
        <v>2014135201376</v>
      </c>
      <c r="B1137" t="s">
        <v>75</v>
      </c>
      <c r="C1137" t="s">
        <v>3546</v>
      </c>
      <c r="D1137" t="s">
        <v>3500</v>
      </c>
      <c r="E1137" t="s">
        <v>335</v>
      </c>
      <c r="F1137">
        <v>152</v>
      </c>
      <c r="G1137">
        <v>41853</v>
      </c>
      <c r="H1137">
        <v>42326</v>
      </c>
      <c r="I1137">
        <v>46023</v>
      </c>
      <c r="L1137" t="s">
        <v>135</v>
      </c>
      <c r="M1137" t="s">
        <v>335</v>
      </c>
      <c r="N1137" t="s">
        <v>127</v>
      </c>
      <c r="P1137" t="s">
        <v>49</v>
      </c>
      <c r="R1137">
        <v>4</v>
      </c>
      <c r="S1137" t="s">
        <v>3501</v>
      </c>
      <c r="U1137">
        <v>1067236350</v>
      </c>
      <c r="V1137">
        <v>1010576295</v>
      </c>
      <c r="W1137" t="s">
        <v>3547</v>
      </c>
      <c r="X1137">
        <v>34500</v>
      </c>
      <c r="Y1137" t="s">
        <v>153</v>
      </c>
      <c r="AE1137">
        <v>81</v>
      </c>
      <c r="AF1137">
        <v>180</v>
      </c>
      <c r="AG1137">
        <v>1</v>
      </c>
      <c r="AJ1137" t="s">
        <v>3548</v>
      </c>
    </row>
    <row r="1138" spans="1:36" ht="18.75" customHeight="1" x14ac:dyDescent="0.3">
      <c r="A1138" s="1">
        <v>2015135200219</v>
      </c>
      <c r="B1138" t="s">
        <v>106</v>
      </c>
      <c r="C1138" t="s">
        <v>3549</v>
      </c>
      <c r="D1138" t="s">
        <v>3500</v>
      </c>
      <c r="E1138" t="s">
        <v>335</v>
      </c>
      <c r="F1138">
        <v>153</v>
      </c>
      <c r="G1138">
        <v>42030</v>
      </c>
      <c r="H1138">
        <v>42501</v>
      </c>
      <c r="I1138">
        <v>44378</v>
      </c>
      <c r="L1138" t="s">
        <v>135</v>
      </c>
      <c r="M1138" t="s">
        <v>335</v>
      </c>
      <c r="N1138" t="s">
        <v>127</v>
      </c>
      <c r="P1138" t="s">
        <v>49</v>
      </c>
      <c r="R1138">
        <v>1</v>
      </c>
      <c r="S1138">
        <v>2</v>
      </c>
      <c r="U1138">
        <v>1150332780</v>
      </c>
      <c r="V1138">
        <v>1275969251</v>
      </c>
      <c r="W1138" t="s">
        <v>3550</v>
      </c>
      <c r="X1138">
        <v>35137</v>
      </c>
      <c r="Y1138" t="s">
        <v>103</v>
      </c>
      <c r="AE1138">
        <v>70</v>
      </c>
      <c r="AF1138">
        <v>180</v>
      </c>
      <c r="AG1138">
        <v>-10</v>
      </c>
      <c r="AJ1138" t="s">
        <v>3551</v>
      </c>
    </row>
    <row r="1139" spans="1:36" ht="18.75" customHeight="1" x14ac:dyDescent="0.3">
      <c r="A1139" s="1">
        <v>2015135200706</v>
      </c>
      <c r="B1139" t="s">
        <v>106</v>
      </c>
      <c r="C1139" t="s">
        <v>3552</v>
      </c>
      <c r="D1139" t="s">
        <v>3500</v>
      </c>
      <c r="E1139" t="s">
        <v>335</v>
      </c>
      <c r="F1139">
        <v>153</v>
      </c>
      <c r="G1139">
        <v>42030</v>
      </c>
      <c r="H1139">
        <v>42501</v>
      </c>
      <c r="I1139">
        <v>44378</v>
      </c>
      <c r="L1139" t="s">
        <v>135</v>
      </c>
      <c r="M1139" t="s">
        <v>335</v>
      </c>
      <c r="N1139" t="s">
        <v>127</v>
      </c>
      <c r="P1139" t="s">
        <v>49</v>
      </c>
      <c r="R1139">
        <v>3</v>
      </c>
      <c r="U1139">
        <v>1221657136</v>
      </c>
      <c r="V1139">
        <v>1002737420</v>
      </c>
      <c r="W1139" t="s">
        <v>3553</v>
      </c>
      <c r="X1139">
        <v>34690</v>
      </c>
      <c r="Y1139" t="s">
        <v>103</v>
      </c>
      <c r="AE1139">
        <v>75</v>
      </c>
      <c r="AF1139">
        <v>177</v>
      </c>
      <c r="AG1139">
        <v>-2</v>
      </c>
      <c r="AJ1139" t="s">
        <v>3554</v>
      </c>
    </row>
    <row r="1140" spans="1:36" ht="18.75" customHeight="1" x14ac:dyDescent="0.3">
      <c r="A1140" s="1">
        <v>2015135200897</v>
      </c>
      <c r="B1140" t="s">
        <v>106</v>
      </c>
      <c r="C1140" t="s">
        <v>3555</v>
      </c>
      <c r="D1140" t="s">
        <v>3500</v>
      </c>
      <c r="E1140" t="s">
        <v>335</v>
      </c>
      <c r="F1140">
        <v>153</v>
      </c>
      <c r="G1140">
        <v>42030</v>
      </c>
      <c r="H1140">
        <v>42501</v>
      </c>
      <c r="I1140">
        <v>44378</v>
      </c>
      <c r="L1140" t="s">
        <v>135</v>
      </c>
      <c r="M1140" t="s">
        <v>335</v>
      </c>
      <c r="N1140" t="s">
        <v>127</v>
      </c>
      <c r="P1140" t="s">
        <v>49</v>
      </c>
      <c r="R1140">
        <v>2</v>
      </c>
      <c r="S1140" t="s">
        <v>3501</v>
      </c>
      <c r="U1140">
        <v>1064838667</v>
      </c>
      <c r="V1140">
        <v>1014802750</v>
      </c>
      <c r="W1140" t="s">
        <v>3556</v>
      </c>
      <c r="X1140">
        <v>33220</v>
      </c>
      <c r="Y1140" t="s">
        <v>103</v>
      </c>
      <c r="AE1140">
        <v>80</v>
      </c>
      <c r="AF1140">
        <v>177</v>
      </c>
      <c r="AG1140">
        <v>3</v>
      </c>
      <c r="AJ1140" t="s">
        <v>3557</v>
      </c>
    </row>
    <row r="1141" spans="1:36" ht="18.75" customHeight="1" x14ac:dyDescent="0.3">
      <c r="A1141" s="1">
        <v>2015135201522</v>
      </c>
      <c r="B1141" t="s">
        <v>106</v>
      </c>
      <c r="C1141" t="s">
        <v>3558</v>
      </c>
      <c r="D1141" t="s">
        <v>3500</v>
      </c>
      <c r="E1141" t="s">
        <v>335</v>
      </c>
      <c r="F1141">
        <v>155</v>
      </c>
      <c r="G1141">
        <v>42224</v>
      </c>
      <c r="H1141">
        <v>42790</v>
      </c>
      <c r="I1141">
        <v>44743</v>
      </c>
      <c r="L1141" t="s">
        <v>135</v>
      </c>
      <c r="M1141" t="s">
        <v>335</v>
      </c>
      <c r="N1141" t="s">
        <v>127</v>
      </c>
      <c r="P1141" t="s">
        <v>49</v>
      </c>
      <c r="Q1141" t="s">
        <v>49</v>
      </c>
      <c r="R1141">
        <v>4</v>
      </c>
      <c r="S1141" t="s">
        <v>3501</v>
      </c>
      <c r="U1141">
        <v>1013479797</v>
      </c>
      <c r="V1141">
        <v>1125875558</v>
      </c>
      <c r="W1141" t="s">
        <v>3559</v>
      </c>
      <c r="X1141">
        <v>34912</v>
      </c>
      <c r="Y1141" t="s">
        <v>153</v>
      </c>
      <c r="AE1141">
        <v>71</v>
      </c>
      <c r="AF1141">
        <v>176</v>
      </c>
      <c r="AG1141">
        <v>-5</v>
      </c>
      <c r="AJ1141" t="s">
        <v>3560</v>
      </c>
    </row>
    <row r="1142" spans="1:36" ht="18.75" customHeight="1" x14ac:dyDescent="0.3">
      <c r="A1142" s="1">
        <v>2015135202083</v>
      </c>
      <c r="B1142" t="s">
        <v>106</v>
      </c>
      <c r="C1142" t="s">
        <v>3561</v>
      </c>
      <c r="D1142" t="s">
        <v>3500</v>
      </c>
      <c r="E1142" t="s">
        <v>335</v>
      </c>
      <c r="F1142">
        <v>155</v>
      </c>
      <c r="G1142">
        <v>42224</v>
      </c>
      <c r="H1142">
        <v>42790</v>
      </c>
      <c r="I1142">
        <v>44743</v>
      </c>
      <c r="L1142" t="s">
        <v>135</v>
      </c>
      <c r="M1142" t="s">
        <v>335</v>
      </c>
      <c r="N1142" t="s">
        <v>127</v>
      </c>
      <c r="O1142" t="s">
        <v>3562</v>
      </c>
      <c r="P1142" t="s">
        <v>49</v>
      </c>
      <c r="R1142">
        <v>1</v>
      </c>
      <c r="U1142">
        <v>1060333697</v>
      </c>
      <c r="V1142">
        <v>1060333697</v>
      </c>
      <c r="W1142" t="s">
        <v>3563</v>
      </c>
      <c r="X1142">
        <v>33415</v>
      </c>
      <c r="Y1142" t="s">
        <v>103</v>
      </c>
      <c r="AG1142" t="s">
        <v>787</v>
      </c>
      <c r="AJ1142" t="s">
        <v>3564</v>
      </c>
    </row>
    <row r="1143" spans="1:36" ht="18.75" customHeight="1" x14ac:dyDescent="0.3">
      <c r="A1143" s="1">
        <v>2015135202695</v>
      </c>
      <c r="B1143" t="s">
        <v>106</v>
      </c>
      <c r="C1143" t="s">
        <v>3565</v>
      </c>
      <c r="D1143" t="s">
        <v>3500</v>
      </c>
      <c r="E1143" t="s">
        <v>335</v>
      </c>
      <c r="F1143">
        <v>155</v>
      </c>
      <c r="G1143">
        <v>42224</v>
      </c>
      <c r="H1143">
        <v>42790</v>
      </c>
      <c r="I1143">
        <v>44743</v>
      </c>
      <c r="L1143" t="s">
        <v>135</v>
      </c>
      <c r="M1143" t="s">
        <v>335</v>
      </c>
      <c r="N1143" t="s">
        <v>127</v>
      </c>
      <c r="O1143" t="s">
        <v>3562</v>
      </c>
      <c r="P1143" t="s">
        <v>49</v>
      </c>
      <c r="R1143">
        <v>4</v>
      </c>
      <c r="U1143">
        <v>1001075747</v>
      </c>
      <c r="V1143">
        <v>1001075747</v>
      </c>
      <c r="W1143">
        <v>29807052800536</v>
      </c>
      <c r="X1143">
        <v>35981</v>
      </c>
      <c r="Y1143" t="s">
        <v>103</v>
      </c>
      <c r="AE1143">
        <v>70</v>
      </c>
      <c r="AF1143">
        <v>176</v>
      </c>
      <c r="AG1143">
        <v>-6</v>
      </c>
      <c r="AJ1143" t="s">
        <v>3566</v>
      </c>
    </row>
    <row r="1144" spans="1:36" ht="18.75" customHeight="1" x14ac:dyDescent="0.3">
      <c r="A1144" s="1">
        <v>2015135202702</v>
      </c>
      <c r="B1144" t="s">
        <v>106</v>
      </c>
      <c r="C1144" t="s">
        <v>3567</v>
      </c>
      <c r="D1144" t="s">
        <v>3500</v>
      </c>
      <c r="E1144" t="s">
        <v>335</v>
      </c>
      <c r="F1144">
        <v>155</v>
      </c>
      <c r="G1144">
        <v>42224</v>
      </c>
      <c r="H1144">
        <v>42790</v>
      </c>
      <c r="I1144">
        <v>44745</v>
      </c>
      <c r="L1144" t="s">
        <v>135</v>
      </c>
      <c r="M1144" t="s">
        <v>335</v>
      </c>
      <c r="N1144" t="s">
        <v>127</v>
      </c>
      <c r="O1144" t="s">
        <v>3562</v>
      </c>
      <c r="R1144">
        <v>1</v>
      </c>
      <c r="S1144">
        <v>2</v>
      </c>
      <c r="U1144">
        <v>1113058362</v>
      </c>
      <c r="V1144">
        <v>1113058362</v>
      </c>
      <c r="W1144" t="s">
        <v>3568</v>
      </c>
      <c r="X1144">
        <v>34984</v>
      </c>
      <c r="Y1144" t="s">
        <v>153</v>
      </c>
      <c r="AE1144">
        <v>60</v>
      </c>
      <c r="AF1144">
        <v>173</v>
      </c>
      <c r="AG1144">
        <v>-13</v>
      </c>
      <c r="AJ1144" t="s">
        <v>3569</v>
      </c>
    </row>
    <row r="1145" spans="1:36" ht="18.75" customHeight="1" x14ac:dyDescent="0.3">
      <c r="A1145" s="1">
        <v>2016135200176</v>
      </c>
      <c r="B1145" t="s">
        <v>106</v>
      </c>
      <c r="C1145" t="s">
        <v>3570</v>
      </c>
      <c r="D1145" t="s">
        <v>3500</v>
      </c>
      <c r="E1145" t="s">
        <v>335</v>
      </c>
      <c r="F1145">
        <v>156</v>
      </c>
      <c r="G1145">
        <v>42575</v>
      </c>
      <c r="H1145">
        <v>43321</v>
      </c>
      <c r="I1145">
        <v>43321</v>
      </c>
      <c r="L1145" t="s">
        <v>135</v>
      </c>
      <c r="M1145" t="s">
        <v>335</v>
      </c>
      <c r="N1145" t="s">
        <v>127</v>
      </c>
      <c r="P1145" t="s">
        <v>49</v>
      </c>
      <c r="R1145">
        <v>1</v>
      </c>
      <c r="S1145" t="s">
        <v>3501</v>
      </c>
      <c r="U1145">
        <v>1144689010</v>
      </c>
      <c r="V1145">
        <v>1151359819</v>
      </c>
      <c r="W1145">
        <v>29801052800619</v>
      </c>
      <c r="X1145">
        <v>35800</v>
      </c>
      <c r="Y1145" t="s">
        <v>153</v>
      </c>
      <c r="AE1145">
        <v>65</v>
      </c>
      <c r="AF1145">
        <v>173</v>
      </c>
      <c r="AG1145">
        <v>-8</v>
      </c>
      <c r="AJ1145" t="s">
        <v>3548</v>
      </c>
    </row>
    <row r="1146" spans="1:36" ht="18.75" customHeight="1" x14ac:dyDescent="0.3">
      <c r="A1146" s="1">
        <v>2016135200415</v>
      </c>
      <c r="B1146" t="s">
        <v>106</v>
      </c>
      <c r="C1146" t="s">
        <v>3571</v>
      </c>
      <c r="D1146" t="s">
        <v>3500</v>
      </c>
      <c r="E1146" t="s">
        <v>335</v>
      </c>
      <c r="F1146">
        <v>156</v>
      </c>
      <c r="G1146">
        <v>42575</v>
      </c>
      <c r="H1146">
        <v>43321</v>
      </c>
      <c r="I1146">
        <v>43321</v>
      </c>
      <c r="L1146" t="s">
        <v>135</v>
      </c>
      <c r="M1146" t="s">
        <v>335</v>
      </c>
      <c r="N1146" t="s">
        <v>127</v>
      </c>
      <c r="P1146" t="s">
        <v>49</v>
      </c>
      <c r="R1146">
        <v>1</v>
      </c>
      <c r="S1146" t="s">
        <v>3501</v>
      </c>
      <c r="U1146">
        <v>1061099242</v>
      </c>
      <c r="V1146">
        <v>1014707146</v>
      </c>
      <c r="W1146">
        <v>29806072800595</v>
      </c>
      <c r="X1146">
        <v>35953</v>
      </c>
      <c r="Y1146" t="s">
        <v>153</v>
      </c>
      <c r="AE1146">
        <v>74</v>
      </c>
      <c r="AF1146">
        <v>174</v>
      </c>
      <c r="AG1146">
        <v>0</v>
      </c>
      <c r="AJ1146" t="s">
        <v>3572</v>
      </c>
    </row>
    <row r="1147" spans="1:36" ht="18.75" customHeight="1" x14ac:dyDescent="0.3">
      <c r="A1147" s="1">
        <v>2016135200556</v>
      </c>
      <c r="B1147" t="s">
        <v>106</v>
      </c>
      <c r="C1147" t="s">
        <v>3573</v>
      </c>
      <c r="D1147" t="s">
        <v>3500</v>
      </c>
      <c r="E1147" t="s">
        <v>335</v>
      </c>
      <c r="F1147">
        <v>156</v>
      </c>
      <c r="G1147">
        <v>42575</v>
      </c>
      <c r="H1147">
        <v>43321</v>
      </c>
      <c r="I1147">
        <v>43321</v>
      </c>
      <c r="L1147" t="s">
        <v>135</v>
      </c>
      <c r="M1147" t="s">
        <v>335</v>
      </c>
      <c r="N1147" t="s">
        <v>127</v>
      </c>
      <c r="P1147" t="s">
        <v>49</v>
      </c>
      <c r="R1147">
        <v>8</v>
      </c>
      <c r="S1147" t="s">
        <v>3501</v>
      </c>
      <c r="U1147">
        <v>1060576351</v>
      </c>
      <c r="V1147">
        <v>1003264856</v>
      </c>
      <c r="W1147">
        <v>29902042800476</v>
      </c>
      <c r="X1147">
        <v>36195</v>
      </c>
      <c r="Y1147" t="s">
        <v>153</v>
      </c>
      <c r="AE1147">
        <v>65</v>
      </c>
      <c r="AF1147">
        <v>162</v>
      </c>
      <c r="AG1147">
        <v>3</v>
      </c>
      <c r="AJ1147" t="s">
        <v>3574</v>
      </c>
    </row>
    <row r="1148" spans="1:36" ht="18.75" customHeight="1" x14ac:dyDescent="0.3">
      <c r="A1148" s="1">
        <v>2016135200598</v>
      </c>
      <c r="B1148" t="s">
        <v>106</v>
      </c>
      <c r="C1148" t="s">
        <v>3575</v>
      </c>
      <c r="D1148" t="s">
        <v>3500</v>
      </c>
      <c r="E1148" t="s">
        <v>335</v>
      </c>
      <c r="F1148">
        <v>156</v>
      </c>
      <c r="G1148">
        <v>42575</v>
      </c>
      <c r="H1148">
        <v>43321</v>
      </c>
      <c r="I1148">
        <v>43321</v>
      </c>
      <c r="L1148" t="s">
        <v>135</v>
      </c>
      <c r="M1148" t="s">
        <v>335</v>
      </c>
      <c r="N1148" t="s">
        <v>127</v>
      </c>
      <c r="P1148" t="s">
        <v>49</v>
      </c>
      <c r="R1148" t="s">
        <v>3501</v>
      </c>
      <c r="S1148" t="s">
        <v>3501</v>
      </c>
      <c r="U1148">
        <v>1140744374</v>
      </c>
      <c r="V1148">
        <v>1092430931</v>
      </c>
      <c r="W1148">
        <v>29704212800879</v>
      </c>
      <c r="X1148">
        <v>35541</v>
      </c>
      <c r="Y1148" t="s">
        <v>153</v>
      </c>
      <c r="AE1148">
        <v>80</v>
      </c>
      <c r="AF1148">
        <v>185</v>
      </c>
      <c r="AG1148">
        <v>-5</v>
      </c>
      <c r="AJ1148" t="s">
        <v>3548</v>
      </c>
    </row>
    <row r="1149" spans="1:36" ht="18.75" customHeight="1" x14ac:dyDescent="0.3">
      <c r="A1149" s="1">
        <v>2016135200663</v>
      </c>
      <c r="B1149" t="s">
        <v>106</v>
      </c>
      <c r="C1149" t="s">
        <v>3576</v>
      </c>
      <c r="D1149" t="s">
        <v>3500</v>
      </c>
      <c r="E1149" t="s">
        <v>335</v>
      </c>
      <c r="F1149">
        <v>156</v>
      </c>
      <c r="G1149">
        <v>42575</v>
      </c>
      <c r="H1149">
        <v>43321</v>
      </c>
      <c r="I1149">
        <v>43321</v>
      </c>
      <c r="L1149" t="s">
        <v>135</v>
      </c>
      <c r="M1149" t="s">
        <v>335</v>
      </c>
      <c r="N1149" t="s">
        <v>127</v>
      </c>
      <c r="P1149" t="s">
        <v>49</v>
      </c>
      <c r="R1149">
        <v>5</v>
      </c>
      <c r="S1149" t="s">
        <v>3501</v>
      </c>
      <c r="U1149">
        <v>1142682977</v>
      </c>
      <c r="V1149">
        <v>1142682977</v>
      </c>
      <c r="W1149">
        <v>29703061802398</v>
      </c>
      <c r="X1149">
        <v>35495</v>
      </c>
      <c r="Y1149" t="s">
        <v>51</v>
      </c>
      <c r="AE1149">
        <v>70</v>
      </c>
      <c r="AF1149">
        <v>170</v>
      </c>
      <c r="AG1149">
        <v>0</v>
      </c>
      <c r="AJ1149" t="s">
        <v>3577</v>
      </c>
    </row>
    <row r="1150" spans="1:36" ht="18.75" customHeight="1" x14ac:dyDescent="0.3">
      <c r="A1150" s="1">
        <v>2016135200746</v>
      </c>
      <c r="B1150" t="s">
        <v>106</v>
      </c>
      <c r="C1150" t="s">
        <v>3578</v>
      </c>
      <c r="D1150" t="s">
        <v>3500</v>
      </c>
      <c r="E1150" t="s">
        <v>335</v>
      </c>
      <c r="F1150">
        <v>156</v>
      </c>
      <c r="G1150">
        <v>42575</v>
      </c>
      <c r="H1150">
        <v>43321</v>
      </c>
      <c r="I1150">
        <v>43321</v>
      </c>
      <c r="L1150" t="s">
        <v>135</v>
      </c>
      <c r="M1150" t="s">
        <v>335</v>
      </c>
      <c r="N1150" t="s">
        <v>127</v>
      </c>
      <c r="P1150" t="s">
        <v>49</v>
      </c>
      <c r="R1150" t="s">
        <v>3501</v>
      </c>
      <c r="S1150" t="s">
        <v>3501</v>
      </c>
      <c r="U1150">
        <v>1116954865</v>
      </c>
      <c r="V1150">
        <v>1007539740</v>
      </c>
      <c r="W1150">
        <v>29705172800494</v>
      </c>
      <c r="X1150">
        <v>35567</v>
      </c>
      <c r="Y1150" t="s">
        <v>153</v>
      </c>
      <c r="AE1150">
        <v>62</v>
      </c>
      <c r="AF1150">
        <v>174</v>
      </c>
      <c r="AG1150">
        <v>-12</v>
      </c>
      <c r="AJ1150" t="s">
        <v>1373</v>
      </c>
    </row>
    <row r="1151" spans="1:36" ht="18.75" customHeight="1" x14ac:dyDescent="0.3">
      <c r="A1151" s="1">
        <v>2016135200803</v>
      </c>
      <c r="B1151" t="s">
        <v>106</v>
      </c>
      <c r="C1151" t="s">
        <v>3579</v>
      </c>
      <c r="D1151" t="s">
        <v>3500</v>
      </c>
      <c r="E1151" t="s">
        <v>335</v>
      </c>
      <c r="F1151">
        <v>156</v>
      </c>
      <c r="G1151">
        <v>42575</v>
      </c>
      <c r="H1151">
        <v>43321</v>
      </c>
      <c r="I1151">
        <v>43321</v>
      </c>
      <c r="L1151" t="s">
        <v>135</v>
      </c>
      <c r="M1151" t="s">
        <v>335</v>
      </c>
      <c r="N1151" t="s">
        <v>127</v>
      </c>
      <c r="P1151" t="s">
        <v>49</v>
      </c>
      <c r="R1151">
        <v>15</v>
      </c>
      <c r="S1151" t="s">
        <v>3501</v>
      </c>
      <c r="U1151">
        <v>1122585470</v>
      </c>
      <c r="V1151">
        <v>11225825470</v>
      </c>
      <c r="W1151" t="s">
        <v>3580</v>
      </c>
      <c r="X1151">
        <v>35333</v>
      </c>
      <c r="Y1151" t="s">
        <v>153</v>
      </c>
      <c r="AE1151">
        <v>80</v>
      </c>
      <c r="AF1151">
        <v>180</v>
      </c>
      <c r="AG1151">
        <v>0</v>
      </c>
      <c r="AJ1151" t="s">
        <v>3581</v>
      </c>
    </row>
    <row r="1152" spans="1:36" ht="18.75" customHeight="1" x14ac:dyDescent="0.3">
      <c r="A1152" s="1">
        <v>2016135201067</v>
      </c>
      <c r="B1152" t="s">
        <v>106</v>
      </c>
      <c r="C1152" t="s">
        <v>3582</v>
      </c>
      <c r="D1152" t="s">
        <v>3500</v>
      </c>
      <c r="E1152" t="s">
        <v>335</v>
      </c>
      <c r="F1152">
        <v>156</v>
      </c>
      <c r="G1152">
        <v>42575</v>
      </c>
      <c r="H1152">
        <v>43321</v>
      </c>
      <c r="I1152">
        <v>43321</v>
      </c>
      <c r="L1152" t="s">
        <v>135</v>
      </c>
      <c r="M1152" t="s">
        <v>335</v>
      </c>
      <c r="N1152" t="s">
        <v>127</v>
      </c>
      <c r="P1152" t="s">
        <v>49</v>
      </c>
      <c r="R1152">
        <v>4</v>
      </c>
      <c r="S1152">
        <v>1</v>
      </c>
      <c r="U1152">
        <v>1210349371</v>
      </c>
      <c r="V1152">
        <v>1011689516</v>
      </c>
      <c r="W1152">
        <v>29609012801118</v>
      </c>
      <c r="X1152">
        <v>35309</v>
      </c>
      <c r="Y1152" t="s">
        <v>153</v>
      </c>
      <c r="AE1152">
        <v>59</v>
      </c>
      <c r="AF1152">
        <v>160</v>
      </c>
      <c r="AG1152">
        <v>-1</v>
      </c>
      <c r="AJ1152" t="s">
        <v>3574</v>
      </c>
    </row>
    <row r="1153" spans="1:40" ht="18.75" customHeight="1" x14ac:dyDescent="0.3">
      <c r="A1153" s="1">
        <v>2016135201249</v>
      </c>
      <c r="B1153" t="s">
        <v>106</v>
      </c>
      <c r="C1153" t="s">
        <v>3583</v>
      </c>
      <c r="D1153" t="s">
        <v>3500</v>
      </c>
      <c r="E1153" t="s">
        <v>335</v>
      </c>
      <c r="F1153">
        <v>156</v>
      </c>
      <c r="G1153">
        <v>42575</v>
      </c>
      <c r="H1153">
        <v>43321</v>
      </c>
      <c r="I1153">
        <v>43321</v>
      </c>
      <c r="L1153" t="s">
        <v>135</v>
      </c>
      <c r="M1153" t="s">
        <v>335</v>
      </c>
      <c r="N1153" t="s">
        <v>127</v>
      </c>
      <c r="P1153" t="s">
        <v>49</v>
      </c>
      <c r="R1153">
        <v>8</v>
      </c>
      <c r="S1153">
        <v>1</v>
      </c>
      <c r="U1153">
        <v>1100861059</v>
      </c>
      <c r="V1153">
        <v>1026954825</v>
      </c>
      <c r="W1153">
        <v>29309192800692</v>
      </c>
      <c r="X1153">
        <v>34231</v>
      </c>
      <c r="Y1153" t="s">
        <v>103</v>
      </c>
      <c r="AE1153">
        <v>65</v>
      </c>
      <c r="AF1153">
        <v>163</v>
      </c>
      <c r="AG1153">
        <v>2</v>
      </c>
      <c r="AJ1153" t="s">
        <v>3584</v>
      </c>
    </row>
    <row r="1154" spans="1:40" ht="18.75" customHeight="1" x14ac:dyDescent="0.3">
      <c r="A1154" s="1">
        <v>2016135202289</v>
      </c>
      <c r="B1154" t="s">
        <v>106</v>
      </c>
      <c r="C1154" t="s">
        <v>3585</v>
      </c>
      <c r="D1154" t="s">
        <v>3500</v>
      </c>
      <c r="E1154" t="s">
        <v>335</v>
      </c>
      <c r="F1154">
        <v>156</v>
      </c>
      <c r="G1154">
        <v>42575</v>
      </c>
      <c r="H1154">
        <v>43321</v>
      </c>
      <c r="I1154">
        <v>45292</v>
      </c>
      <c r="L1154" t="s">
        <v>135</v>
      </c>
      <c r="M1154" t="s">
        <v>335</v>
      </c>
      <c r="N1154" t="s">
        <v>127</v>
      </c>
      <c r="P1154" t="s">
        <v>49</v>
      </c>
      <c r="R1154">
        <v>5</v>
      </c>
      <c r="S1154" t="s">
        <v>3501</v>
      </c>
      <c r="U1154">
        <v>1029281943</v>
      </c>
      <c r="V1154">
        <v>1008269208</v>
      </c>
      <c r="W1154" t="s">
        <v>3586</v>
      </c>
      <c r="X1154">
        <v>32893</v>
      </c>
      <c r="Y1154" t="s">
        <v>51</v>
      </c>
      <c r="AE1154">
        <v>83</v>
      </c>
      <c r="AF1154">
        <v>185</v>
      </c>
      <c r="AG1154">
        <v>-2</v>
      </c>
      <c r="AJ1154" t="s">
        <v>3587</v>
      </c>
    </row>
    <row r="1155" spans="1:40" ht="18.75" customHeight="1" x14ac:dyDescent="0.3">
      <c r="A1155" s="1">
        <v>2017130403054</v>
      </c>
      <c r="B1155" t="s">
        <v>106</v>
      </c>
      <c r="C1155" t="s">
        <v>3588</v>
      </c>
      <c r="D1155" t="s">
        <v>3500</v>
      </c>
      <c r="E1155" t="s">
        <v>335</v>
      </c>
      <c r="F1155">
        <v>157</v>
      </c>
      <c r="G1155">
        <v>42915</v>
      </c>
      <c r="H1155">
        <v>43663</v>
      </c>
      <c r="I1155">
        <v>43663</v>
      </c>
      <c r="L1155" t="s">
        <v>135</v>
      </c>
      <c r="M1155" t="s">
        <v>335</v>
      </c>
      <c r="N1155" t="s">
        <v>78</v>
      </c>
      <c r="P1155" t="s">
        <v>49</v>
      </c>
      <c r="R1155" t="s">
        <v>3501</v>
      </c>
      <c r="S1155" t="s">
        <v>3501</v>
      </c>
      <c r="U1155">
        <v>1009340100</v>
      </c>
      <c r="V1155">
        <v>1201240989</v>
      </c>
      <c r="W1155">
        <v>29801162200293</v>
      </c>
      <c r="X1155">
        <v>35811</v>
      </c>
      <c r="Y1155" t="s">
        <v>153</v>
      </c>
      <c r="AE1155">
        <v>70</v>
      </c>
      <c r="AF1155">
        <v>168</v>
      </c>
      <c r="AG1155">
        <v>2</v>
      </c>
      <c r="AJ1155" t="s">
        <v>3589</v>
      </c>
    </row>
    <row r="1156" spans="1:40" ht="18.75" customHeight="1" x14ac:dyDescent="0.3">
      <c r="A1156" s="1">
        <v>2019131807574</v>
      </c>
      <c r="B1156" t="s">
        <v>125</v>
      </c>
      <c r="C1156" t="s">
        <v>3590</v>
      </c>
      <c r="D1156" t="s">
        <v>1331</v>
      </c>
      <c r="E1156" t="s">
        <v>43</v>
      </c>
      <c r="F1156">
        <v>159</v>
      </c>
      <c r="G1156">
        <v>43692</v>
      </c>
      <c r="H1156">
        <v>44482</v>
      </c>
      <c r="I1156">
        <v>44482</v>
      </c>
      <c r="L1156" t="s">
        <v>135</v>
      </c>
      <c r="M1156" t="s">
        <v>1332</v>
      </c>
      <c r="N1156" t="s">
        <v>727</v>
      </c>
      <c r="O1156" t="s">
        <v>608</v>
      </c>
      <c r="P1156" t="s">
        <v>49</v>
      </c>
      <c r="R1156">
        <v>2</v>
      </c>
      <c r="S1156">
        <v>0</v>
      </c>
      <c r="T1156">
        <v>0</v>
      </c>
      <c r="U1156" t="s">
        <v>3591</v>
      </c>
      <c r="V1156" t="s">
        <v>3592</v>
      </c>
      <c r="W1156">
        <v>30007241301418</v>
      </c>
      <c r="X1156">
        <v>36727</v>
      </c>
      <c r="Y1156" t="s">
        <v>550</v>
      </c>
      <c r="Z1156">
        <v>0</v>
      </c>
      <c r="AA1156">
        <v>0</v>
      </c>
      <c r="AB1156">
        <v>0</v>
      </c>
      <c r="AD1156" t="s">
        <v>746</v>
      </c>
      <c r="AE1156" t="s">
        <v>64</v>
      </c>
      <c r="AF1156">
        <v>68</v>
      </c>
      <c r="AG1156">
        <v>169</v>
      </c>
      <c r="AH1156">
        <f>IF([2]!Table1[[#This Row],[الوزن]]&lt;&gt;"",[2]!Table1[[#This Row],[الوزن]]-([2]!Table1[[#This Row],[الطول]]-100),"")</f>
        <v>-4</v>
      </c>
      <c r="AJ1156" t="s">
        <v>3593</v>
      </c>
      <c r="AN1156" t="s">
        <v>56</v>
      </c>
    </row>
    <row r="1157" spans="1:40" ht="18.75" customHeight="1" x14ac:dyDescent="0.3">
      <c r="A1157" s="1">
        <v>2016131800152</v>
      </c>
      <c r="B1157" t="s">
        <v>106</v>
      </c>
      <c r="C1157" t="s">
        <v>3594</v>
      </c>
      <c r="D1157" t="s">
        <v>1952</v>
      </c>
      <c r="E1157" t="s">
        <v>447</v>
      </c>
      <c r="F1157">
        <v>156</v>
      </c>
      <c r="G1157">
        <v>42575</v>
      </c>
      <c r="H1157">
        <v>43321</v>
      </c>
      <c r="I1157">
        <v>45292</v>
      </c>
      <c r="L1157" t="s">
        <v>135</v>
      </c>
      <c r="M1157" t="s">
        <v>46</v>
      </c>
      <c r="N1157" t="s">
        <v>727</v>
      </c>
      <c r="O1157" t="s">
        <v>608</v>
      </c>
      <c r="P1157" t="s">
        <v>49</v>
      </c>
      <c r="R1157">
        <v>10</v>
      </c>
      <c r="S1157">
        <v>0</v>
      </c>
      <c r="T1157">
        <v>0</v>
      </c>
      <c r="U1157" t="s">
        <v>3595</v>
      </c>
      <c r="W1157">
        <v>30007101401811</v>
      </c>
      <c r="X1157">
        <v>36717</v>
      </c>
      <c r="Y1157" t="s">
        <v>153</v>
      </c>
      <c r="Z1157">
        <v>0</v>
      </c>
      <c r="AF1157">
        <v>71</v>
      </c>
      <c r="AG1157">
        <v>175</v>
      </c>
      <c r="AH1157">
        <f>IF([2]!Table1[[#This Row],[الوزن]]&lt;&gt;"",[2]!Table1[[#This Row],[الوزن]]-([2]!Table1[[#This Row],[الطول]]-100),"")</f>
        <v>265</v>
      </c>
      <c r="AJ1157" t="s">
        <v>3596</v>
      </c>
      <c r="AN1157" t="s">
        <v>625</v>
      </c>
    </row>
    <row r="1158" spans="1:40" ht="18.75" customHeight="1" x14ac:dyDescent="0.3">
      <c r="A1158" s="1">
        <v>2017135200231</v>
      </c>
      <c r="B1158" t="s">
        <v>106</v>
      </c>
      <c r="C1158" t="s">
        <v>3597</v>
      </c>
      <c r="D1158" t="s">
        <v>3500</v>
      </c>
      <c r="E1158" t="s">
        <v>335</v>
      </c>
      <c r="F1158">
        <v>157</v>
      </c>
      <c r="G1158">
        <v>42915</v>
      </c>
      <c r="H1158">
        <v>43663</v>
      </c>
      <c r="I1158">
        <v>43663</v>
      </c>
      <c r="L1158" t="s">
        <v>135</v>
      </c>
      <c r="M1158" t="s">
        <v>335</v>
      </c>
      <c r="N1158" t="s">
        <v>127</v>
      </c>
      <c r="P1158" t="s">
        <v>49</v>
      </c>
      <c r="R1158" t="s">
        <v>3501</v>
      </c>
      <c r="S1158" t="s">
        <v>3501</v>
      </c>
      <c r="U1158">
        <v>1068678563</v>
      </c>
      <c r="V1158">
        <v>1026481842</v>
      </c>
      <c r="W1158">
        <v>29808071401576</v>
      </c>
      <c r="X1158">
        <v>36014</v>
      </c>
      <c r="Y1158" t="s">
        <v>103</v>
      </c>
      <c r="AE1158">
        <v>75</v>
      </c>
      <c r="AF1158">
        <v>170</v>
      </c>
      <c r="AG1158">
        <v>5</v>
      </c>
      <c r="AJ1158" t="s">
        <v>3598</v>
      </c>
    </row>
    <row r="1159" spans="1:40" ht="18.75" customHeight="1" x14ac:dyDescent="0.3">
      <c r="A1159" s="1">
        <v>2017135200562</v>
      </c>
      <c r="B1159" t="s">
        <v>106</v>
      </c>
      <c r="C1159" t="s">
        <v>3599</v>
      </c>
      <c r="D1159" t="s">
        <v>3500</v>
      </c>
      <c r="E1159" t="s">
        <v>335</v>
      </c>
      <c r="F1159">
        <v>157</v>
      </c>
      <c r="G1159">
        <v>42915</v>
      </c>
      <c r="H1159">
        <v>43663</v>
      </c>
      <c r="I1159">
        <v>43663</v>
      </c>
      <c r="L1159" t="s">
        <v>135</v>
      </c>
      <c r="M1159" t="s">
        <v>335</v>
      </c>
      <c r="N1159" t="s">
        <v>127</v>
      </c>
      <c r="P1159" t="s">
        <v>49</v>
      </c>
      <c r="R1159">
        <v>2</v>
      </c>
      <c r="S1159" t="s">
        <v>3501</v>
      </c>
      <c r="U1159">
        <v>1010194566</v>
      </c>
      <c r="V1159">
        <v>1153591950</v>
      </c>
      <c r="W1159">
        <v>29602271801679</v>
      </c>
      <c r="X1159">
        <v>35122</v>
      </c>
      <c r="Y1159" t="s">
        <v>103</v>
      </c>
      <c r="AE1159">
        <v>80</v>
      </c>
      <c r="AF1159">
        <v>185</v>
      </c>
      <c r="AG1159">
        <v>-5</v>
      </c>
      <c r="AJ1159" t="s">
        <v>3600</v>
      </c>
    </row>
    <row r="1160" spans="1:40" ht="18.75" customHeight="1" x14ac:dyDescent="0.3">
      <c r="A1160" s="1">
        <v>2017135201651</v>
      </c>
      <c r="B1160" t="s">
        <v>106</v>
      </c>
      <c r="C1160" t="s">
        <v>3601</v>
      </c>
      <c r="D1160" t="s">
        <v>3500</v>
      </c>
      <c r="E1160" t="s">
        <v>335</v>
      </c>
      <c r="F1160">
        <v>157</v>
      </c>
      <c r="G1160">
        <v>42915</v>
      </c>
      <c r="H1160">
        <v>43663</v>
      </c>
      <c r="I1160">
        <v>43663</v>
      </c>
      <c r="L1160" t="s">
        <v>135</v>
      </c>
      <c r="M1160" t="s">
        <v>335</v>
      </c>
      <c r="N1160" t="s">
        <v>127</v>
      </c>
      <c r="P1160" t="s">
        <v>49</v>
      </c>
      <c r="Q1160" t="s">
        <v>3517</v>
      </c>
      <c r="R1160">
        <v>3</v>
      </c>
      <c r="S1160" t="s">
        <v>3501</v>
      </c>
      <c r="U1160">
        <v>1126217780</v>
      </c>
      <c r="V1160">
        <v>1024625120</v>
      </c>
      <c r="W1160" t="s">
        <v>3602</v>
      </c>
      <c r="X1160">
        <v>37006</v>
      </c>
      <c r="Y1160" t="s">
        <v>153</v>
      </c>
      <c r="AE1160">
        <v>90</v>
      </c>
      <c r="AF1160">
        <v>187</v>
      </c>
      <c r="AG1160">
        <v>3</v>
      </c>
      <c r="AJ1160" t="s">
        <v>3600</v>
      </c>
    </row>
    <row r="1161" spans="1:40" ht="18.75" customHeight="1" x14ac:dyDescent="0.3">
      <c r="A1161" s="1">
        <v>2017135201809</v>
      </c>
      <c r="B1161" t="s">
        <v>106</v>
      </c>
      <c r="C1161" t="s">
        <v>3603</v>
      </c>
      <c r="D1161" t="s">
        <v>3500</v>
      </c>
      <c r="E1161" t="s">
        <v>335</v>
      </c>
      <c r="F1161">
        <v>157</v>
      </c>
      <c r="G1161">
        <v>42915</v>
      </c>
      <c r="H1161">
        <v>43663</v>
      </c>
      <c r="I1161">
        <v>43663</v>
      </c>
      <c r="L1161" t="s">
        <v>135</v>
      </c>
      <c r="M1161" t="s">
        <v>335</v>
      </c>
      <c r="N1161" t="s">
        <v>127</v>
      </c>
      <c r="P1161" t="s">
        <v>49</v>
      </c>
      <c r="Q1161" t="s">
        <v>3517</v>
      </c>
      <c r="R1161">
        <v>3</v>
      </c>
      <c r="S1161" t="s">
        <v>3501</v>
      </c>
      <c r="U1161">
        <v>1142711643</v>
      </c>
      <c r="V1161">
        <v>1039456855</v>
      </c>
      <c r="W1161" t="s">
        <v>3604</v>
      </c>
      <c r="X1161">
        <v>36998</v>
      </c>
      <c r="Y1161" t="s">
        <v>103</v>
      </c>
      <c r="AE1161">
        <v>78</v>
      </c>
      <c r="AF1161">
        <v>178</v>
      </c>
      <c r="AG1161">
        <v>0</v>
      </c>
      <c r="AJ1161" t="s">
        <v>3605</v>
      </c>
    </row>
    <row r="1162" spans="1:40" ht="18.75" customHeight="1" x14ac:dyDescent="0.3">
      <c r="A1162" s="1">
        <v>2017135202443</v>
      </c>
      <c r="B1162" t="s">
        <v>106</v>
      </c>
      <c r="C1162" t="s">
        <v>3606</v>
      </c>
      <c r="D1162" t="s">
        <v>3500</v>
      </c>
      <c r="E1162" t="s">
        <v>335</v>
      </c>
      <c r="F1162">
        <v>157</v>
      </c>
      <c r="G1162">
        <v>42915</v>
      </c>
      <c r="H1162">
        <v>43663</v>
      </c>
      <c r="I1162">
        <v>43663</v>
      </c>
      <c r="L1162" t="s">
        <v>135</v>
      </c>
      <c r="M1162" t="s">
        <v>335</v>
      </c>
      <c r="N1162" t="s">
        <v>127</v>
      </c>
      <c r="P1162" t="s">
        <v>49</v>
      </c>
      <c r="R1162">
        <v>1</v>
      </c>
      <c r="S1162" t="s">
        <v>3501</v>
      </c>
      <c r="U1162">
        <v>1275752860</v>
      </c>
      <c r="V1162">
        <v>1092223584</v>
      </c>
      <c r="W1162">
        <v>29801281700431</v>
      </c>
      <c r="X1162">
        <v>35823</v>
      </c>
      <c r="Y1162" t="s">
        <v>153</v>
      </c>
      <c r="AE1162">
        <v>78</v>
      </c>
      <c r="AF1162">
        <v>178</v>
      </c>
      <c r="AG1162">
        <v>0</v>
      </c>
      <c r="AJ1162" t="s">
        <v>3607</v>
      </c>
    </row>
    <row r="1163" spans="1:40" ht="18.75" customHeight="1" x14ac:dyDescent="0.3">
      <c r="A1163" s="1">
        <v>2017135203178</v>
      </c>
      <c r="B1163" t="s">
        <v>106</v>
      </c>
      <c r="C1163" t="s">
        <v>3608</v>
      </c>
      <c r="D1163" t="s">
        <v>3500</v>
      </c>
      <c r="E1163" t="s">
        <v>335</v>
      </c>
      <c r="F1163">
        <v>157</v>
      </c>
      <c r="G1163">
        <v>42915</v>
      </c>
      <c r="H1163">
        <v>43663</v>
      </c>
      <c r="I1163">
        <v>42933</v>
      </c>
      <c r="L1163" t="s">
        <v>135</v>
      </c>
      <c r="M1163" t="s">
        <v>335</v>
      </c>
      <c r="N1163" t="s">
        <v>127</v>
      </c>
      <c r="P1163" t="s">
        <v>49</v>
      </c>
      <c r="R1163">
        <v>1</v>
      </c>
      <c r="S1163" t="s">
        <v>3501</v>
      </c>
      <c r="U1163">
        <v>1065007646</v>
      </c>
      <c r="V1163">
        <v>1065007646</v>
      </c>
      <c r="W1163" t="s">
        <v>3609</v>
      </c>
      <c r="X1163">
        <v>36162</v>
      </c>
      <c r="Y1163" t="s">
        <v>153</v>
      </c>
      <c r="AE1163">
        <v>60</v>
      </c>
      <c r="AF1163">
        <v>169</v>
      </c>
      <c r="AG1163">
        <v>-9</v>
      </c>
      <c r="AJ1163" t="s">
        <v>3610</v>
      </c>
    </row>
    <row r="1164" spans="1:40" ht="18.75" customHeight="1" x14ac:dyDescent="0.3">
      <c r="A1164" s="1">
        <v>2017135203334</v>
      </c>
      <c r="B1164" t="s">
        <v>106</v>
      </c>
      <c r="C1164" t="s">
        <v>3611</v>
      </c>
      <c r="D1164" t="s">
        <v>3500</v>
      </c>
      <c r="E1164" t="s">
        <v>335</v>
      </c>
      <c r="F1164">
        <v>157</v>
      </c>
      <c r="G1164">
        <v>42905</v>
      </c>
      <c r="H1164">
        <v>43663</v>
      </c>
      <c r="I1164">
        <v>45658</v>
      </c>
      <c r="L1164" t="s">
        <v>135</v>
      </c>
      <c r="M1164" t="s">
        <v>335</v>
      </c>
      <c r="N1164" t="s">
        <v>127</v>
      </c>
      <c r="P1164" t="s">
        <v>49</v>
      </c>
      <c r="R1164">
        <v>7</v>
      </c>
      <c r="S1164" t="s">
        <v>3501</v>
      </c>
      <c r="U1164">
        <v>1228163806</v>
      </c>
      <c r="V1164">
        <v>1228163806</v>
      </c>
      <c r="W1164">
        <v>30003111900535</v>
      </c>
      <c r="X1164">
        <v>36596</v>
      </c>
      <c r="Y1164" t="s">
        <v>153</v>
      </c>
      <c r="AE1164">
        <v>58</v>
      </c>
      <c r="AF1164">
        <v>170</v>
      </c>
      <c r="AG1164">
        <v>-12</v>
      </c>
      <c r="AJ1164" t="s">
        <v>1565</v>
      </c>
    </row>
    <row r="1165" spans="1:40" ht="18.75" customHeight="1" x14ac:dyDescent="0.3">
      <c r="A1165" s="1">
        <v>2017135203524</v>
      </c>
      <c r="B1165" t="s">
        <v>106</v>
      </c>
      <c r="C1165" t="s">
        <v>3612</v>
      </c>
      <c r="D1165" t="s">
        <v>3500</v>
      </c>
      <c r="E1165" t="s">
        <v>335</v>
      </c>
      <c r="F1165">
        <v>157</v>
      </c>
      <c r="G1165">
        <v>42915</v>
      </c>
      <c r="H1165">
        <v>43663</v>
      </c>
      <c r="I1165">
        <v>43663</v>
      </c>
      <c r="L1165" t="s">
        <v>135</v>
      </c>
      <c r="M1165" t="s">
        <v>335</v>
      </c>
      <c r="N1165" t="s">
        <v>127</v>
      </c>
      <c r="P1165" t="s">
        <v>49</v>
      </c>
      <c r="R1165">
        <v>7</v>
      </c>
      <c r="S1165" t="s">
        <v>3501</v>
      </c>
      <c r="U1165">
        <v>1009566371</v>
      </c>
      <c r="V1165">
        <v>1115787612</v>
      </c>
      <c r="W1165">
        <v>29609292800952</v>
      </c>
      <c r="X1165">
        <v>35337</v>
      </c>
      <c r="Y1165" t="s">
        <v>153</v>
      </c>
      <c r="AE1165">
        <v>75</v>
      </c>
      <c r="AF1165">
        <v>174</v>
      </c>
      <c r="AG1165">
        <v>1</v>
      </c>
      <c r="AJ1165" t="s">
        <v>3613</v>
      </c>
    </row>
    <row r="1166" spans="1:40" ht="18.75" customHeight="1" x14ac:dyDescent="0.3">
      <c r="A1166" s="1">
        <v>2018131807899</v>
      </c>
      <c r="B1166" t="s">
        <v>106</v>
      </c>
      <c r="C1166" t="s">
        <v>3614</v>
      </c>
      <c r="D1166" t="s">
        <v>1987</v>
      </c>
      <c r="E1166" t="s">
        <v>447</v>
      </c>
      <c r="F1166">
        <v>158</v>
      </c>
      <c r="G1166">
        <v>43279</v>
      </c>
      <c r="H1166">
        <v>44025</v>
      </c>
      <c r="I1166">
        <v>44025</v>
      </c>
      <c r="K1166">
        <v>45972</v>
      </c>
      <c r="L1166" t="s">
        <v>135</v>
      </c>
      <c r="M1166" t="s">
        <v>1171</v>
      </c>
      <c r="N1166" t="s">
        <v>727</v>
      </c>
      <c r="O1166" t="s">
        <v>608</v>
      </c>
      <c r="R1166">
        <v>3</v>
      </c>
      <c r="S1166">
        <v>0</v>
      </c>
      <c r="T1166">
        <v>0</v>
      </c>
      <c r="U1166" t="s">
        <v>3615</v>
      </c>
      <c r="V1166" t="s">
        <v>2017</v>
      </c>
      <c r="W1166">
        <v>29902010106691</v>
      </c>
      <c r="X1166">
        <v>36192</v>
      </c>
      <c r="Y1166" t="s">
        <v>103</v>
      </c>
      <c r="Z1166">
        <v>1</v>
      </c>
      <c r="AC1166" t="s">
        <v>3616</v>
      </c>
      <c r="AF1166">
        <v>85</v>
      </c>
      <c r="AG1166">
        <v>183</v>
      </c>
      <c r="AH1166">
        <f>IF([2]!Table1[[#This Row],[الوزن]]&lt;&gt;"",[2]!Table1[[#This Row],[الوزن]]-([2]!Table1[[#This Row],[الطول]]-100),"")</f>
        <v>290</v>
      </c>
      <c r="AJ1166" t="s">
        <v>3617</v>
      </c>
      <c r="AN1166" t="s">
        <v>733</v>
      </c>
    </row>
    <row r="1167" spans="1:40" ht="18.75" customHeight="1" x14ac:dyDescent="0.3">
      <c r="A1167" s="1">
        <v>2018135200479</v>
      </c>
      <c r="B1167" t="s">
        <v>106</v>
      </c>
      <c r="C1167" t="s">
        <v>3618</v>
      </c>
      <c r="D1167" t="s">
        <v>3500</v>
      </c>
      <c r="E1167" t="s">
        <v>335</v>
      </c>
      <c r="F1167">
        <v>158</v>
      </c>
      <c r="G1167">
        <v>43279</v>
      </c>
      <c r="H1167">
        <v>44117</v>
      </c>
      <c r="I1167">
        <v>44117</v>
      </c>
      <c r="L1167" t="s">
        <v>135</v>
      </c>
      <c r="M1167" t="s">
        <v>335</v>
      </c>
      <c r="N1167" t="s">
        <v>127</v>
      </c>
      <c r="P1167" t="s">
        <v>49</v>
      </c>
      <c r="R1167">
        <v>1</v>
      </c>
      <c r="S1167" t="s">
        <v>3501</v>
      </c>
      <c r="U1167">
        <v>1114322931</v>
      </c>
      <c r="V1167">
        <v>1113188645</v>
      </c>
      <c r="W1167" t="s">
        <v>3619</v>
      </c>
      <c r="X1167" t="s">
        <v>3620</v>
      </c>
      <c r="Y1167" t="s">
        <v>153</v>
      </c>
      <c r="AE1167">
        <v>70</v>
      </c>
      <c r="AF1167">
        <v>180</v>
      </c>
      <c r="AG1167">
        <v>-10</v>
      </c>
      <c r="AJ1167" t="s">
        <v>3621</v>
      </c>
    </row>
    <row r="1168" spans="1:40" ht="18.75" customHeight="1" x14ac:dyDescent="0.3">
      <c r="A1168" s="1">
        <v>2018135200510</v>
      </c>
      <c r="B1168" t="s">
        <v>106</v>
      </c>
      <c r="C1168" t="s">
        <v>3622</v>
      </c>
      <c r="D1168" t="s">
        <v>3500</v>
      </c>
      <c r="E1168" t="s">
        <v>335</v>
      </c>
      <c r="F1168">
        <v>158</v>
      </c>
      <c r="G1168">
        <v>43279</v>
      </c>
      <c r="H1168">
        <v>44117</v>
      </c>
      <c r="I1168">
        <v>44117</v>
      </c>
      <c r="L1168" t="s">
        <v>135</v>
      </c>
      <c r="M1168" t="s">
        <v>335</v>
      </c>
      <c r="N1168" t="s">
        <v>127</v>
      </c>
      <c r="P1168" t="s">
        <v>49</v>
      </c>
      <c r="R1168">
        <v>7</v>
      </c>
      <c r="S1168" t="s">
        <v>3501</v>
      </c>
      <c r="U1168">
        <v>1030042949</v>
      </c>
      <c r="V1168">
        <v>1030784601</v>
      </c>
      <c r="W1168" t="s">
        <v>3623</v>
      </c>
      <c r="X1168">
        <v>36770</v>
      </c>
      <c r="Y1168" t="s">
        <v>153</v>
      </c>
      <c r="AE1168">
        <v>75</v>
      </c>
      <c r="AF1168">
        <v>180</v>
      </c>
      <c r="AG1168">
        <v>-5</v>
      </c>
      <c r="AJ1168" t="s">
        <v>298</v>
      </c>
    </row>
    <row r="1169" spans="1:40" ht="18.75" customHeight="1" x14ac:dyDescent="0.3">
      <c r="A1169" s="1">
        <v>2018135200974</v>
      </c>
      <c r="B1169" t="s">
        <v>106</v>
      </c>
      <c r="C1169" t="s">
        <v>3624</v>
      </c>
      <c r="D1169" t="s">
        <v>3500</v>
      </c>
      <c r="E1169" t="s">
        <v>335</v>
      </c>
      <c r="F1169">
        <v>158</v>
      </c>
      <c r="G1169">
        <v>43279</v>
      </c>
      <c r="H1169">
        <v>44117</v>
      </c>
      <c r="I1169">
        <v>44117</v>
      </c>
      <c r="L1169" t="s">
        <v>135</v>
      </c>
      <c r="M1169" t="s">
        <v>335</v>
      </c>
      <c r="N1169" t="s">
        <v>127</v>
      </c>
      <c r="P1169" t="s">
        <v>49</v>
      </c>
      <c r="R1169">
        <v>2</v>
      </c>
      <c r="S1169" t="s">
        <v>3501</v>
      </c>
      <c r="U1169">
        <v>1009353350</v>
      </c>
      <c r="V1169">
        <v>1010152505</v>
      </c>
      <c r="W1169" t="s">
        <v>3625</v>
      </c>
      <c r="X1169">
        <v>36015</v>
      </c>
      <c r="Y1169" t="s">
        <v>153</v>
      </c>
      <c r="AE1169">
        <v>81</v>
      </c>
      <c r="AF1169">
        <v>184</v>
      </c>
      <c r="AG1169">
        <v>-3</v>
      </c>
      <c r="AJ1169" t="s">
        <v>298</v>
      </c>
    </row>
    <row r="1170" spans="1:40" ht="18.75" customHeight="1" x14ac:dyDescent="0.3">
      <c r="A1170" s="1">
        <v>2018135201518</v>
      </c>
      <c r="B1170" t="s">
        <v>106</v>
      </c>
      <c r="C1170" t="s">
        <v>3626</v>
      </c>
      <c r="D1170" t="s">
        <v>3500</v>
      </c>
      <c r="E1170" t="s">
        <v>335</v>
      </c>
      <c r="F1170">
        <v>158</v>
      </c>
      <c r="G1170">
        <v>43279</v>
      </c>
      <c r="H1170">
        <v>44117</v>
      </c>
      <c r="I1170">
        <v>44117</v>
      </c>
      <c r="L1170" t="s">
        <v>135</v>
      </c>
      <c r="M1170" t="s">
        <v>335</v>
      </c>
      <c r="N1170" t="s">
        <v>127</v>
      </c>
      <c r="P1170" t="s">
        <v>49</v>
      </c>
      <c r="R1170">
        <v>3</v>
      </c>
      <c r="S1170" t="s">
        <v>3501</v>
      </c>
      <c r="U1170">
        <v>1280137749</v>
      </c>
      <c r="V1170">
        <v>1122326476</v>
      </c>
      <c r="W1170" t="s">
        <v>3627</v>
      </c>
      <c r="X1170">
        <v>36733</v>
      </c>
      <c r="Y1170" t="s">
        <v>153</v>
      </c>
      <c r="AE1170">
        <v>81</v>
      </c>
      <c r="AF1170">
        <v>182</v>
      </c>
      <c r="AG1170">
        <v>-1</v>
      </c>
      <c r="AJ1170" t="s">
        <v>298</v>
      </c>
    </row>
    <row r="1171" spans="1:40" ht="18.75" customHeight="1" x14ac:dyDescent="0.3">
      <c r="A1171" s="1">
        <v>2018135201956</v>
      </c>
      <c r="B1171" t="s">
        <v>106</v>
      </c>
      <c r="C1171" t="s">
        <v>3628</v>
      </c>
      <c r="D1171" t="s">
        <v>3500</v>
      </c>
      <c r="E1171" t="s">
        <v>335</v>
      </c>
      <c r="F1171">
        <v>158</v>
      </c>
      <c r="G1171">
        <v>43259</v>
      </c>
      <c r="H1171">
        <v>44482</v>
      </c>
      <c r="I1171">
        <v>44482</v>
      </c>
      <c r="L1171" t="s">
        <v>135</v>
      </c>
      <c r="M1171" t="s">
        <v>335</v>
      </c>
      <c r="N1171" t="s">
        <v>127</v>
      </c>
      <c r="P1171" t="s">
        <v>49</v>
      </c>
      <c r="R1171">
        <v>4</v>
      </c>
      <c r="S1171" t="s">
        <v>3501</v>
      </c>
      <c r="U1171">
        <v>1000631599</v>
      </c>
      <c r="V1171">
        <v>1000631599</v>
      </c>
      <c r="W1171">
        <v>29511071202139</v>
      </c>
      <c r="X1171">
        <v>35010</v>
      </c>
      <c r="Y1171" t="s">
        <v>103</v>
      </c>
      <c r="AE1171">
        <v>75</v>
      </c>
      <c r="AF1171">
        <v>180</v>
      </c>
      <c r="AG1171">
        <v>-5</v>
      </c>
      <c r="AJ1171" t="s">
        <v>3629</v>
      </c>
    </row>
    <row r="1172" spans="1:40" ht="18.75" customHeight="1" x14ac:dyDescent="0.3">
      <c r="A1172" s="1">
        <v>2018135202433</v>
      </c>
      <c r="B1172" t="s">
        <v>106</v>
      </c>
      <c r="C1172" t="s">
        <v>3630</v>
      </c>
      <c r="D1172" t="s">
        <v>3500</v>
      </c>
      <c r="E1172" t="s">
        <v>335</v>
      </c>
      <c r="F1172">
        <v>158</v>
      </c>
      <c r="G1172">
        <v>43279</v>
      </c>
      <c r="H1172">
        <v>44117</v>
      </c>
      <c r="I1172">
        <v>44117</v>
      </c>
      <c r="L1172" t="s">
        <v>135</v>
      </c>
      <c r="M1172" t="s">
        <v>335</v>
      </c>
      <c r="N1172" t="s">
        <v>127</v>
      </c>
      <c r="P1172" t="s">
        <v>49</v>
      </c>
      <c r="R1172">
        <v>1</v>
      </c>
      <c r="S1172" t="s">
        <v>3501</v>
      </c>
      <c r="U1172">
        <v>1158402141</v>
      </c>
      <c r="V1172">
        <v>1149506400</v>
      </c>
      <c r="W1172">
        <v>29812142702251</v>
      </c>
      <c r="X1172">
        <v>36143</v>
      </c>
      <c r="Y1172" t="s">
        <v>153</v>
      </c>
      <c r="AE1172">
        <v>80</v>
      </c>
      <c r="AF1172">
        <v>176</v>
      </c>
      <c r="AG1172">
        <v>4</v>
      </c>
      <c r="AJ1172" t="s">
        <v>3548</v>
      </c>
    </row>
    <row r="1173" spans="1:40" ht="18.75" customHeight="1" x14ac:dyDescent="0.3">
      <c r="A1173" s="1">
        <v>2018135202665</v>
      </c>
      <c r="B1173" t="s">
        <v>106</v>
      </c>
      <c r="C1173" t="s">
        <v>3631</v>
      </c>
      <c r="D1173" t="s">
        <v>3500</v>
      </c>
      <c r="E1173" t="s">
        <v>335</v>
      </c>
      <c r="F1173">
        <v>158</v>
      </c>
      <c r="G1173">
        <v>43279</v>
      </c>
      <c r="H1173">
        <v>44117</v>
      </c>
      <c r="I1173">
        <v>44117</v>
      </c>
      <c r="L1173" t="s">
        <v>135</v>
      </c>
      <c r="M1173" t="s">
        <v>335</v>
      </c>
      <c r="N1173" t="s">
        <v>127</v>
      </c>
      <c r="P1173" t="s">
        <v>49</v>
      </c>
      <c r="R1173">
        <v>7</v>
      </c>
      <c r="U1173">
        <v>1121084554</v>
      </c>
      <c r="V1173">
        <v>1030895087</v>
      </c>
      <c r="W1173" t="s">
        <v>3632</v>
      </c>
      <c r="X1173">
        <v>36268</v>
      </c>
      <c r="Y1173" t="s">
        <v>153</v>
      </c>
      <c r="AE1173">
        <v>73</v>
      </c>
      <c r="AF1173">
        <v>173</v>
      </c>
      <c r="AG1173">
        <v>0</v>
      </c>
      <c r="AJ1173" t="s">
        <v>3613</v>
      </c>
    </row>
    <row r="1174" spans="1:40" ht="18.75" customHeight="1" x14ac:dyDescent="0.3">
      <c r="A1174" s="1">
        <v>2019130402268</v>
      </c>
      <c r="B1174" t="s">
        <v>125</v>
      </c>
      <c r="C1174" t="s">
        <v>3633</v>
      </c>
      <c r="D1174" t="s">
        <v>3500</v>
      </c>
      <c r="E1174" t="s">
        <v>335</v>
      </c>
      <c r="F1174">
        <v>159</v>
      </c>
      <c r="G1174">
        <v>43692</v>
      </c>
      <c r="H1174">
        <v>44481</v>
      </c>
      <c r="I1174">
        <v>44481</v>
      </c>
      <c r="L1174" t="s">
        <v>135</v>
      </c>
      <c r="M1174" t="s">
        <v>335</v>
      </c>
      <c r="N1174" t="s">
        <v>78</v>
      </c>
      <c r="P1174" t="s">
        <v>49</v>
      </c>
      <c r="R1174">
        <v>1</v>
      </c>
      <c r="S1174" t="s">
        <v>3501</v>
      </c>
      <c r="U1174">
        <v>1122536691</v>
      </c>
      <c r="V1174">
        <v>1158610875</v>
      </c>
      <c r="W1174" t="s">
        <v>3634</v>
      </c>
      <c r="X1174">
        <v>36375</v>
      </c>
      <c r="Y1174" t="s">
        <v>103</v>
      </c>
      <c r="AE1174">
        <v>70</v>
      </c>
      <c r="AF1174">
        <v>168</v>
      </c>
      <c r="AG1174">
        <v>2</v>
      </c>
      <c r="AJ1174" t="s">
        <v>298</v>
      </c>
    </row>
    <row r="1175" spans="1:40" ht="18.75" customHeight="1" x14ac:dyDescent="0.3">
      <c r="A1175" s="1">
        <v>2018131812442</v>
      </c>
      <c r="B1175" t="s">
        <v>106</v>
      </c>
      <c r="C1175" t="s">
        <v>3635</v>
      </c>
      <c r="D1175" t="s">
        <v>2558</v>
      </c>
      <c r="E1175" t="s">
        <v>750</v>
      </c>
      <c r="F1175">
        <v>158</v>
      </c>
      <c r="G1175">
        <v>44010</v>
      </c>
      <c r="H1175">
        <v>44117</v>
      </c>
      <c r="I1175">
        <v>44117</v>
      </c>
      <c r="J1175">
        <v>44152</v>
      </c>
      <c r="L1175" t="s">
        <v>135</v>
      </c>
      <c r="M1175" t="s">
        <v>554</v>
      </c>
      <c r="N1175" t="s">
        <v>727</v>
      </c>
      <c r="O1175" t="s">
        <v>608</v>
      </c>
      <c r="R1175">
        <v>1</v>
      </c>
      <c r="S1175">
        <v>0</v>
      </c>
      <c r="T1175">
        <v>0</v>
      </c>
      <c r="U1175" t="s">
        <v>3636</v>
      </c>
      <c r="W1175">
        <v>29807142200996</v>
      </c>
      <c r="X1175">
        <v>35990</v>
      </c>
      <c r="Y1175" t="s">
        <v>103</v>
      </c>
      <c r="Z1175">
        <v>2</v>
      </c>
      <c r="AF1175">
        <v>75</v>
      </c>
      <c r="AG1175">
        <v>176</v>
      </c>
      <c r="AH1175">
        <v>-1</v>
      </c>
      <c r="AJ1175" t="s">
        <v>280</v>
      </c>
      <c r="AN1175" t="s">
        <v>733</v>
      </c>
    </row>
    <row r="1176" spans="1:40" ht="18.75" customHeight="1" x14ac:dyDescent="0.3">
      <c r="A1176" s="1">
        <v>2019135200039</v>
      </c>
      <c r="B1176" t="s">
        <v>125</v>
      </c>
      <c r="C1176" t="s">
        <v>3637</v>
      </c>
      <c r="D1176" t="s">
        <v>3500</v>
      </c>
      <c r="E1176" t="s">
        <v>335</v>
      </c>
      <c r="F1176">
        <v>159</v>
      </c>
      <c r="G1176">
        <v>43692</v>
      </c>
      <c r="H1176">
        <v>44482</v>
      </c>
      <c r="I1176">
        <v>44481</v>
      </c>
      <c r="L1176" t="s">
        <v>135</v>
      </c>
      <c r="M1176" t="s">
        <v>335</v>
      </c>
      <c r="N1176" t="s">
        <v>127</v>
      </c>
      <c r="P1176" t="s">
        <v>49</v>
      </c>
      <c r="R1176">
        <v>5</v>
      </c>
      <c r="S1176" t="s">
        <v>3501</v>
      </c>
      <c r="U1176">
        <v>1015589037</v>
      </c>
      <c r="V1176">
        <v>1126214803</v>
      </c>
      <c r="W1176" t="s">
        <v>3638</v>
      </c>
      <c r="X1176">
        <v>36495</v>
      </c>
      <c r="Y1176" t="s">
        <v>153</v>
      </c>
      <c r="AE1176">
        <v>64</v>
      </c>
      <c r="AF1176">
        <v>172</v>
      </c>
      <c r="AG1176">
        <v>-8</v>
      </c>
      <c r="AJ1176" t="s">
        <v>298</v>
      </c>
    </row>
    <row r="1177" spans="1:40" ht="18.75" customHeight="1" x14ac:dyDescent="0.3">
      <c r="A1177" s="1">
        <v>2019135200211</v>
      </c>
      <c r="B1177" t="s">
        <v>125</v>
      </c>
      <c r="C1177" t="s">
        <v>3639</v>
      </c>
      <c r="D1177" t="s">
        <v>3500</v>
      </c>
      <c r="E1177" t="s">
        <v>335</v>
      </c>
      <c r="F1177">
        <v>159</v>
      </c>
      <c r="G1177">
        <v>43692</v>
      </c>
      <c r="H1177">
        <v>44482</v>
      </c>
      <c r="I1177">
        <v>44481</v>
      </c>
      <c r="L1177" t="s">
        <v>135</v>
      </c>
      <c r="M1177" t="s">
        <v>335</v>
      </c>
      <c r="N1177" t="s">
        <v>127</v>
      </c>
      <c r="P1177" t="s">
        <v>49</v>
      </c>
      <c r="R1177">
        <v>5</v>
      </c>
      <c r="S1177" t="s">
        <v>3501</v>
      </c>
      <c r="U1177">
        <v>1229307067</v>
      </c>
      <c r="V1177">
        <v>1229307067</v>
      </c>
      <c r="W1177" t="s">
        <v>3640</v>
      </c>
      <c r="X1177">
        <v>36283</v>
      </c>
      <c r="Y1177" t="s">
        <v>153</v>
      </c>
      <c r="AE1177">
        <v>60</v>
      </c>
      <c r="AF1177">
        <v>175</v>
      </c>
      <c r="AG1177">
        <v>-15</v>
      </c>
      <c r="AJ1177" t="s">
        <v>298</v>
      </c>
    </row>
    <row r="1178" spans="1:40" ht="18.75" customHeight="1" x14ac:dyDescent="0.3">
      <c r="A1178" s="1">
        <v>2019135200576</v>
      </c>
      <c r="B1178" t="s">
        <v>125</v>
      </c>
      <c r="C1178" t="s">
        <v>3641</v>
      </c>
      <c r="D1178" t="s">
        <v>3500</v>
      </c>
      <c r="E1178" t="s">
        <v>335</v>
      </c>
      <c r="F1178">
        <v>159</v>
      </c>
      <c r="G1178">
        <v>43692</v>
      </c>
      <c r="H1178">
        <v>44482</v>
      </c>
      <c r="I1178">
        <v>44481</v>
      </c>
      <c r="L1178" t="s">
        <v>135</v>
      </c>
      <c r="M1178" t="s">
        <v>335</v>
      </c>
      <c r="N1178" t="s">
        <v>127</v>
      </c>
      <c r="P1178" t="s">
        <v>49</v>
      </c>
      <c r="R1178">
        <v>2</v>
      </c>
      <c r="U1178">
        <v>1156625000</v>
      </c>
      <c r="V1178">
        <v>1156625000</v>
      </c>
      <c r="W1178">
        <v>29911282800413</v>
      </c>
      <c r="X1178">
        <v>36492</v>
      </c>
      <c r="Y1178" t="s">
        <v>153</v>
      </c>
      <c r="AE1178">
        <v>75</v>
      </c>
      <c r="AF1178">
        <v>188</v>
      </c>
      <c r="AG1178">
        <v>-13</v>
      </c>
      <c r="AJ1178" t="s">
        <v>3642</v>
      </c>
    </row>
    <row r="1179" spans="1:40" ht="18.75" customHeight="1" x14ac:dyDescent="0.3">
      <c r="A1179" s="1">
        <v>2019135200584</v>
      </c>
      <c r="B1179" t="s">
        <v>125</v>
      </c>
      <c r="C1179" t="s">
        <v>3643</v>
      </c>
      <c r="D1179" t="s">
        <v>3500</v>
      </c>
      <c r="E1179" t="s">
        <v>335</v>
      </c>
      <c r="F1179">
        <v>159</v>
      </c>
      <c r="G1179">
        <v>43692</v>
      </c>
      <c r="H1179">
        <v>44482</v>
      </c>
      <c r="I1179">
        <v>44482</v>
      </c>
      <c r="L1179" t="s">
        <v>135</v>
      </c>
      <c r="M1179" t="s">
        <v>335</v>
      </c>
      <c r="N1179" t="s">
        <v>127</v>
      </c>
      <c r="P1179" t="s">
        <v>49</v>
      </c>
      <c r="R1179">
        <v>3</v>
      </c>
      <c r="U1179">
        <v>1158028549</v>
      </c>
      <c r="V1179">
        <v>1158028549</v>
      </c>
      <c r="W1179" t="s">
        <v>3644</v>
      </c>
      <c r="X1179">
        <v>36831</v>
      </c>
      <c r="Y1179" t="s">
        <v>153</v>
      </c>
      <c r="AE1179">
        <v>60</v>
      </c>
      <c r="AF1179">
        <v>175</v>
      </c>
      <c r="AG1179">
        <v>-15</v>
      </c>
      <c r="AJ1179" t="s">
        <v>1442</v>
      </c>
    </row>
    <row r="1180" spans="1:40" ht="18.75" customHeight="1" x14ac:dyDescent="0.3">
      <c r="A1180" s="1">
        <v>2019135200659</v>
      </c>
      <c r="B1180" t="s">
        <v>125</v>
      </c>
      <c r="C1180" t="s">
        <v>3645</v>
      </c>
      <c r="D1180" t="s">
        <v>3500</v>
      </c>
      <c r="E1180" t="s">
        <v>335</v>
      </c>
      <c r="F1180">
        <v>159</v>
      </c>
      <c r="G1180">
        <v>43692</v>
      </c>
      <c r="H1180">
        <v>44482</v>
      </c>
      <c r="I1180">
        <v>44481</v>
      </c>
      <c r="L1180" t="s">
        <v>135</v>
      </c>
      <c r="M1180" t="s">
        <v>335</v>
      </c>
      <c r="O1180" t="s">
        <v>3562</v>
      </c>
      <c r="P1180" t="s">
        <v>49</v>
      </c>
      <c r="R1180" t="s">
        <v>3501</v>
      </c>
      <c r="S1180" t="s">
        <v>3501</v>
      </c>
      <c r="U1180">
        <v>1092430931</v>
      </c>
      <c r="V1180">
        <v>1147613638</v>
      </c>
      <c r="W1180" t="s">
        <v>3646</v>
      </c>
      <c r="X1180">
        <v>35569</v>
      </c>
      <c r="Y1180" t="s">
        <v>153</v>
      </c>
      <c r="AE1180">
        <v>67</v>
      </c>
      <c r="AF1180">
        <v>174</v>
      </c>
      <c r="AG1180">
        <v>-7</v>
      </c>
      <c r="AJ1180" t="s">
        <v>298</v>
      </c>
    </row>
    <row r="1181" spans="1:40" ht="18.75" customHeight="1" x14ac:dyDescent="0.3">
      <c r="A1181" s="1">
        <v>2021135200290</v>
      </c>
      <c r="B1181" t="s">
        <v>125</v>
      </c>
      <c r="C1181" t="s">
        <v>3647</v>
      </c>
      <c r="D1181" t="s">
        <v>3500</v>
      </c>
      <c r="E1181" t="s">
        <v>335</v>
      </c>
      <c r="F1181">
        <v>160</v>
      </c>
      <c r="G1181">
        <v>44205</v>
      </c>
      <c r="H1181">
        <v>45197</v>
      </c>
      <c r="I1181">
        <v>45197</v>
      </c>
      <c r="L1181" t="s">
        <v>135</v>
      </c>
      <c r="M1181" t="s">
        <v>335</v>
      </c>
      <c r="N1181" t="s">
        <v>127</v>
      </c>
      <c r="P1181" t="s">
        <v>49</v>
      </c>
      <c r="R1181">
        <v>1</v>
      </c>
      <c r="S1181" t="s">
        <v>3501</v>
      </c>
      <c r="U1181">
        <v>1150451833</v>
      </c>
      <c r="V1181">
        <v>1009560885</v>
      </c>
      <c r="W1181" t="s">
        <v>3648</v>
      </c>
      <c r="X1181">
        <v>36065</v>
      </c>
      <c r="Y1181" t="s">
        <v>153</v>
      </c>
      <c r="AE1181">
        <v>94</v>
      </c>
      <c r="AF1181">
        <v>185</v>
      </c>
      <c r="AG1181">
        <v>9</v>
      </c>
      <c r="AJ1181" t="s">
        <v>298</v>
      </c>
    </row>
    <row r="1182" spans="1:40" ht="18.75" customHeight="1" x14ac:dyDescent="0.3">
      <c r="A1182" s="1">
        <v>2021135200480</v>
      </c>
      <c r="B1182" t="s">
        <v>125</v>
      </c>
      <c r="C1182" t="s">
        <v>3649</v>
      </c>
      <c r="D1182" t="s">
        <v>3500</v>
      </c>
      <c r="E1182" t="s">
        <v>335</v>
      </c>
      <c r="F1182">
        <v>160</v>
      </c>
      <c r="G1182">
        <v>44205</v>
      </c>
      <c r="H1182">
        <v>45197</v>
      </c>
      <c r="I1182">
        <v>45197</v>
      </c>
      <c r="L1182" t="s">
        <v>135</v>
      </c>
      <c r="M1182" t="s">
        <v>335</v>
      </c>
      <c r="N1182" t="s">
        <v>127</v>
      </c>
      <c r="P1182" t="s">
        <v>49</v>
      </c>
      <c r="R1182">
        <v>1</v>
      </c>
      <c r="S1182" t="s">
        <v>3501</v>
      </c>
      <c r="U1182">
        <v>1271762672</v>
      </c>
      <c r="V1182">
        <v>1021208861</v>
      </c>
      <c r="W1182">
        <v>29906011309672</v>
      </c>
      <c r="X1182">
        <v>36312</v>
      </c>
      <c r="Y1182" t="s">
        <v>153</v>
      </c>
      <c r="AE1182">
        <v>75</v>
      </c>
      <c r="AF1182">
        <v>180</v>
      </c>
      <c r="AG1182">
        <v>-5</v>
      </c>
      <c r="AJ1182" t="s">
        <v>298</v>
      </c>
    </row>
    <row r="1183" spans="1:40" ht="18.75" customHeight="1" x14ac:dyDescent="0.3">
      <c r="A1183" s="1">
        <v>2021135200654</v>
      </c>
      <c r="B1183" t="s">
        <v>125</v>
      </c>
      <c r="C1183" t="s">
        <v>3650</v>
      </c>
      <c r="D1183" t="s">
        <v>3500</v>
      </c>
      <c r="E1183" t="s">
        <v>335</v>
      </c>
      <c r="F1183">
        <v>160</v>
      </c>
      <c r="G1183">
        <v>44205</v>
      </c>
      <c r="H1183">
        <v>45197</v>
      </c>
      <c r="I1183">
        <v>45566</v>
      </c>
      <c r="L1183" t="s">
        <v>135</v>
      </c>
      <c r="M1183" t="s">
        <v>335</v>
      </c>
      <c r="N1183" t="s">
        <v>127</v>
      </c>
      <c r="P1183" t="s">
        <v>49</v>
      </c>
      <c r="R1183">
        <v>2</v>
      </c>
      <c r="U1183">
        <v>1125988052</v>
      </c>
      <c r="V1183">
        <v>1125988052</v>
      </c>
      <c r="W1183">
        <v>30008012508153</v>
      </c>
      <c r="X1183">
        <v>36739</v>
      </c>
      <c r="Y1183" t="s">
        <v>153</v>
      </c>
      <c r="AE1183">
        <v>74</v>
      </c>
      <c r="AF1183">
        <v>183</v>
      </c>
      <c r="AG1183">
        <v>-9</v>
      </c>
      <c r="AJ1183" t="s">
        <v>298</v>
      </c>
    </row>
    <row r="1184" spans="1:40" ht="18.75" customHeight="1" x14ac:dyDescent="0.3">
      <c r="A1184" s="1">
        <v>2021135200951</v>
      </c>
      <c r="B1184" t="s">
        <v>125</v>
      </c>
      <c r="C1184" t="s">
        <v>3651</v>
      </c>
      <c r="D1184" t="s">
        <v>3500</v>
      </c>
      <c r="E1184" t="s">
        <v>335</v>
      </c>
      <c r="F1184">
        <v>160</v>
      </c>
      <c r="G1184">
        <v>44205</v>
      </c>
      <c r="H1184">
        <v>45197</v>
      </c>
      <c r="I1184">
        <v>45566</v>
      </c>
      <c r="L1184" t="s">
        <v>135</v>
      </c>
      <c r="M1184" t="s">
        <v>335</v>
      </c>
      <c r="N1184" t="s">
        <v>127</v>
      </c>
      <c r="P1184" t="s">
        <v>49</v>
      </c>
      <c r="R1184" t="s">
        <v>3501</v>
      </c>
      <c r="S1184" t="s">
        <v>3501</v>
      </c>
      <c r="U1184">
        <v>1282628626</v>
      </c>
      <c r="V1184">
        <v>1153811926</v>
      </c>
      <c r="W1184">
        <v>30202182200596</v>
      </c>
      <c r="X1184">
        <v>37305</v>
      </c>
      <c r="Y1184" t="s">
        <v>153</v>
      </c>
      <c r="AE1184">
        <v>75</v>
      </c>
      <c r="AF1184">
        <v>179</v>
      </c>
      <c r="AG1184">
        <v>-4</v>
      </c>
      <c r="AJ1184" t="s">
        <v>298</v>
      </c>
    </row>
    <row r="1185" spans="1:36" ht="18.75" customHeight="1" x14ac:dyDescent="0.3">
      <c r="A1185" s="1">
        <v>2021135201157</v>
      </c>
      <c r="B1185" t="s">
        <v>125</v>
      </c>
      <c r="C1185" t="s">
        <v>3652</v>
      </c>
      <c r="D1185" t="s">
        <v>3500</v>
      </c>
      <c r="E1185" t="s">
        <v>335</v>
      </c>
      <c r="F1185">
        <v>160</v>
      </c>
      <c r="G1185">
        <v>44205</v>
      </c>
      <c r="H1185">
        <v>44205</v>
      </c>
      <c r="I1185">
        <v>45197</v>
      </c>
      <c r="L1185" t="s">
        <v>135</v>
      </c>
      <c r="M1185" t="s">
        <v>335</v>
      </c>
      <c r="N1185" t="s">
        <v>127</v>
      </c>
      <c r="P1185" t="s">
        <v>49</v>
      </c>
      <c r="R1185">
        <v>1</v>
      </c>
      <c r="S1185" t="s">
        <v>3501</v>
      </c>
      <c r="U1185">
        <v>1150451833</v>
      </c>
      <c r="V1185">
        <v>1125287002</v>
      </c>
      <c r="W1185">
        <v>29905012801019</v>
      </c>
      <c r="X1185">
        <v>36281</v>
      </c>
      <c r="Y1185" t="s">
        <v>153</v>
      </c>
      <c r="AE1185">
        <v>55</v>
      </c>
      <c r="AF1185">
        <v>175</v>
      </c>
      <c r="AG1185">
        <v>-20</v>
      </c>
      <c r="AJ1185" t="s">
        <v>298</v>
      </c>
    </row>
    <row r="1186" spans="1:36" ht="18.75" customHeight="1" x14ac:dyDescent="0.3">
      <c r="A1186" s="1">
        <v>2021135201652</v>
      </c>
      <c r="B1186" t="s">
        <v>125</v>
      </c>
      <c r="C1186" t="s">
        <v>3653</v>
      </c>
      <c r="D1186" t="s">
        <v>3500</v>
      </c>
      <c r="E1186" t="s">
        <v>335</v>
      </c>
      <c r="F1186">
        <v>161</v>
      </c>
      <c r="G1186">
        <v>44546</v>
      </c>
      <c r="H1186">
        <v>45566</v>
      </c>
      <c r="I1186">
        <v>45566</v>
      </c>
      <c r="L1186" t="s">
        <v>135</v>
      </c>
      <c r="M1186" t="s">
        <v>335</v>
      </c>
      <c r="N1186" t="s">
        <v>127</v>
      </c>
      <c r="P1186" t="s">
        <v>49</v>
      </c>
      <c r="R1186" t="s">
        <v>3501</v>
      </c>
      <c r="S1186" t="s">
        <v>3501</v>
      </c>
      <c r="U1186">
        <v>1111654028</v>
      </c>
      <c r="V1186">
        <v>1114822340</v>
      </c>
      <c r="W1186" t="s">
        <v>3654</v>
      </c>
      <c r="X1186">
        <v>38312</v>
      </c>
      <c r="Y1186" t="s">
        <v>153</v>
      </c>
      <c r="AE1186">
        <v>76</v>
      </c>
      <c r="AF1186">
        <v>75</v>
      </c>
      <c r="AG1186">
        <v>101</v>
      </c>
      <c r="AJ1186" t="s">
        <v>298</v>
      </c>
    </row>
    <row r="1187" spans="1:36" ht="18.75" customHeight="1" x14ac:dyDescent="0.3">
      <c r="A1187" s="1">
        <v>2023135200113</v>
      </c>
      <c r="B1187" t="s">
        <v>125</v>
      </c>
      <c r="C1187" t="s">
        <v>3655</v>
      </c>
      <c r="D1187" t="s">
        <v>3500</v>
      </c>
      <c r="E1187" t="s">
        <v>335</v>
      </c>
      <c r="F1187">
        <v>162</v>
      </c>
      <c r="G1187">
        <v>44941</v>
      </c>
      <c r="H1187">
        <v>45976</v>
      </c>
      <c r="I1187">
        <v>45925</v>
      </c>
      <c r="L1187" t="s">
        <v>135</v>
      </c>
      <c r="M1187" t="s">
        <v>335</v>
      </c>
      <c r="N1187" t="s">
        <v>127</v>
      </c>
      <c r="P1187" t="s">
        <v>49</v>
      </c>
      <c r="R1187">
        <v>0</v>
      </c>
      <c r="U1187">
        <v>1148619405</v>
      </c>
      <c r="V1187">
        <v>1148619405</v>
      </c>
      <c r="W1187" t="s">
        <v>3656</v>
      </c>
      <c r="X1187">
        <v>36754</v>
      </c>
      <c r="Y1187" t="s">
        <v>153</v>
      </c>
      <c r="AE1187">
        <v>60</v>
      </c>
      <c r="AF1187">
        <v>175</v>
      </c>
      <c r="AG1187">
        <v>-15</v>
      </c>
      <c r="AJ1187" t="s">
        <v>298</v>
      </c>
    </row>
    <row r="1188" spans="1:36" ht="18.75" customHeight="1" x14ac:dyDescent="0.3">
      <c r="A1188" s="1">
        <v>2023138306017</v>
      </c>
      <c r="B1188" t="s">
        <v>125</v>
      </c>
      <c r="C1188" t="s">
        <v>3657</v>
      </c>
      <c r="D1188" t="s">
        <v>3500</v>
      </c>
      <c r="E1188" t="s">
        <v>335</v>
      </c>
      <c r="F1188">
        <v>162</v>
      </c>
      <c r="G1188">
        <v>44941</v>
      </c>
      <c r="H1188">
        <v>45976</v>
      </c>
      <c r="I1188">
        <v>45925</v>
      </c>
      <c r="L1188" t="s">
        <v>135</v>
      </c>
      <c r="M1188" t="s">
        <v>335</v>
      </c>
      <c r="N1188" t="s">
        <v>127</v>
      </c>
      <c r="P1188" t="s">
        <v>49</v>
      </c>
      <c r="R1188">
        <v>0</v>
      </c>
      <c r="U1188">
        <v>1061629473</v>
      </c>
      <c r="V1188">
        <v>1061629473</v>
      </c>
      <c r="W1188" t="s">
        <v>3658</v>
      </c>
      <c r="X1188">
        <v>38588</v>
      </c>
      <c r="Y1188" t="s">
        <v>153</v>
      </c>
      <c r="AE1188">
        <v>78</v>
      </c>
      <c r="AF1188">
        <v>180</v>
      </c>
      <c r="AG1188">
        <v>-2</v>
      </c>
      <c r="AJ1188" t="s">
        <v>298</v>
      </c>
    </row>
    <row r="1189" spans="1:36" ht="18.75" customHeight="1" x14ac:dyDescent="0.3">
      <c r="A1189" s="1">
        <v>2023138306033</v>
      </c>
      <c r="B1189" t="s">
        <v>125</v>
      </c>
      <c r="C1189" t="s">
        <v>3659</v>
      </c>
      <c r="D1189" t="s">
        <v>3500</v>
      </c>
      <c r="E1189" t="s">
        <v>335</v>
      </c>
      <c r="F1189">
        <v>163</v>
      </c>
      <c r="G1189">
        <v>44941</v>
      </c>
      <c r="H1189">
        <v>45976</v>
      </c>
      <c r="I1189">
        <v>45925</v>
      </c>
      <c r="L1189" t="s">
        <v>135</v>
      </c>
      <c r="M1189" t="s">
        <v>335</v>
      </c>
      <c r="N1189" t="s">
        <v>127</v>
      </c>
      <c r="P1189" t="s">
        <v>49</v>
      </c>
      <c r="U1189">
        <v>1026471506</v>
      </c>
      <c r="V1189">
        <v>1026471506</v>
      </c>
      <c r="W1189" t="s">
        <v>3660</v>
      </c>
      <c r="X1189">
        <v>38004</v>
      </c>
      <c r="Y1189" t="s">
        <v>153</v>
      </c>
      <c r="AE1189">
        <v>82</v>
      </c>
      <c r="AF1189">
        <v>187</v>
      </c>
      <c r="AG1189">
        <v>-5</v>
      </c>
      <c r="AJ1189" t="s">
        <v>298</v>
      </c>
    </row>
    <row r="1190" spans="1:36" ht="18.75" customHeight="1" x14ac:dyDescent="0.3">
      <c r="A1190" s="1">
        <v>1998135200471</v>
      </c>
      <c r="B1190" t="s">
        <v>210</v>
      </c>
      <c r="C1190" t="s">
        <v>3661</v>
      </c>
      <c r="D1190" t="s">
        <v>3662</v>
      </c>
      <c r="E1190" t="s">
        <v>335</v>
      </c>
      <c r="AG1190" t="s">
        <v>787</v>
      </c>
    </row>
    <row r="1191" spans="1:36" ht="18.75" customHeight="1" x14ac:dyDescent="0.3">
      <c r="A1191" s="1">
        <v>2001135200391</v>
      </c>
      <c r="B1191" t="s">
        <v>210</v>
      </c>
      <c r="C1191" t="s">
        <v>3663</v>
      </c>
      <c r="D1191" t="s">
        <v>3662</v>
      </c>
      <c r="E1191" t="s">
        <v>335</v>
      </c>
      <c r="AG1191" t="s">
        <v>787</v>
      </c>
    </row>
    <row r="1192" spans="1:36" ht="18.75" customHeight="1" x14ac:dyDescent="0.3">
      <c r="A1192" s="1">
        <v>2009135200155</v>
      </c>
      <c r="B1192" t="s">
        <v>57</v>
      </c>
      <c r="C1192" t="s">
        <v>3664</v>
      </c>
      <c r="D1192" t="s">
        <v>3662</v>
      </c>
      <c r="E1192" t="s">
        <v>335</v>
      </c>
      <c r="AG1192" t="s">
        <v>787</v>
      </c>
    </row>
    <row r="1193" spans="1:36" ht="18.75" customHeight="1" x14ac:dyDescent="0.3">
      <c r="A1193" s="1">
        <v>2009135200436</v>
      </c>
      <c r="B1193" t="s">
        <v>57</v>
      </c>
      <c r="C1193" t="s">
        <v>3665</v>
      </c>
      <c r="D1193" t="s">
        <v>3662</v>
      </c>
      <c r="E1193" t="s">
        <v>335</v>
      </c>
      <c r="AG1193" t="s">
        <v>787</v>
      </c>
    </row>
    <row r="1194" spans="1:36" ht="18.75" customHeight="1" x14ac:dyDescent="0.3">
      <c r="A1194" s="1">
        <v>2011135200035</v>
      </c>
      <c r="B1194" t="s">
        <v>75</v>
      </c>
      <c r="C1194" t="s">
        <v>3666</v>
      </c>
      <c r="D1194" t="s">
        <v>3662</v>
      </c>
      <c r="E1194" t="s">
        <v>335</v>
      </c>
      <c r="AG1194" t="s">
        <v>787</v>
      </c>
    </row>
    <row r="1195" spans="1:36" ht="18.75" customHeight="1" x14ac:dyDescent="0.3">
      <c r="A1195" s="1">
        <v>2011135200085</v>
      </c>
      <c r="B1195" t="s">
        <v>75</v>
      </c>
      <c r="C1195" t="s">
        <v>3667</v>
      </c>
      <c r="D1195" t="s">
        <v>3662</v>
      </c>
      <c r="E1195" t="s">
        <v>335</v>
      </c>
      <c r="AG1195" t="s">
        <v>787</v>
      </c>
    </row>
    <row r="1196" spans="1:36" ht="18.75" customHeight="1" x14ac:dyDescent="0.3">
      <c r="A1196" s="1">
        <v>2013131801586</v>
      </c>
      <c r="B1196" t="s">
        <v>75</v>
      </c>
      <c r="C1196" t="s">
        <v>3668</v>
      </c>
      <c r="D1196" t="s">
        <v>3662</v>
      </c>
      <c r="E1196" t="s">
        <v>335</v>
      </c>
      <c r="AG1196" t="s">
        <v>787</v>
      </c>
    </row>
    <row r="1197" spans="1:36" ht="18.75" customHeight="1" x14ac:dyDescent="0.3">
      <c r="A1197" s="1">
        <v>2013135200677</v>
      </c>
      <c r="B1197" t="s">
        <v>75</v>
      </c>
      <c r="C1197" t="s">
        <v>3669</v>
      </c>
      <c r="D1197" t="s">
        <v>3662</v>
      </c>
      <c r="E1197" t="s">
        <v>335</v>
      </c>
      <c r="AG1197" t="s">
        <v>787</v>
      </c>
    </row>
    <row r="1198" spans="1:36" ht="18.75" customHeight="1" x14ac:dyDescent="0.3">
      <c r="A1198" s="1">
        <v>2013135201055</v>
      </c>
      <c r="B1198" t="s">
        <v>75</v>
      </c>
      <c r="C1198" t="s">
        <v>3670</v>
      </c>
      <c r="D1198" t="s">
        <v>3662</v>
      </c>
      <c r="E1198" t="s">
        <v>335</v>
      </c>
      <c r="AG1198" t="s">
        <v>787</v>
      </c>
    </row>
    <row r="1199" spans="1:36" ht="18.75" customHeight="1" x14ac:dyDescent="0.3">
      <c r="A1199" s="1">
        <v>2013135201287</v>
      </c>
      <c r="B1199" t="s">
        <v>75</v>
      </c>
      <c r="C1199" t="s">
        <v>3671</v>
      </c>
      <c r="D1199" t="s">
        <v>3662</v>
      </c>
      <c r="E1199" t="s">
        <v>335</v>
      </c>
      <c r="AG1199" t="s">
        <v>787</v>
      </c>
    </row>
    <row r="1200" spans="1:36" ht="18.75" customHeight="1" x14ac:dyDescent="0.3">
      <c r="A1200" s="1">
        <v>2013135201576</v>
      </c>
      <c r="B1200" t="s">
        <v>75</v>
      </c>
      <c r="C1200" t="s">
        <v>3672</v>
      </c>
      <c r="D1200" t="s">
        <v>3662</v>
      </c>
      <c r="E1200" t="s">
        <v>335</v>
      </c>
      <c r="AG1200" t="s">
        <v>787</v>
      </c>
    </row>
    <row r="1201" spans="1:33" ht="18.75" customHeight="1" x14ac:dyDescent="0.3">
      <c r="A1201" s="1">
        <v>2013135201584</v>
      </c>
      <c r="B1201" t="s">
        <v>75</v>
      </c>
      <c r="C1201" t="s">
        <v>3673</v>
      </c>
      <c r="D1201" t="s">
        <v>3662</v>
      </c>
      <c r="E1201" t="s">
        <v>335</v>
      </c>
      <c r="AG1201" t="s">
        <v>787</v>
      </c>
    </row>
    <row r="1202" spans="1:33" ht="18.75" customHeight="1" x14ac:dyDescent="0.3">
      <c r="A1202" s="1">
        <v>2013135201609</v>
      </c>
      <c r="B1202" t="s">
        <v>75</v>
      </c>
      <c r="C1202" t="s">
        <v>3674</v>
      </c>
      <c r="D1202" t="s">
        <v>3662</v>
      </c>
      <c r="E1202" t="s">
        <v>335</v>
      </c>
      <c r="AG1202" t="s">
        <v>787</v>
      </c>
    </row>
    <row r="1203" spans="1:33" ht="18.75" customHeight="1" x14ac:dyDescent="0.3">
      <c r="A1203" s="1">
        <v>2013135201667</v>
      </c>
      <c r="B1203" t="s">
        <v>75</v>
      </c>
      <c r="C1203" t="s">
        <v>3675</v>
      </c>
      <c r="D1203" t="s">
        <v>3662</v>
      </c>
      <c r="E1203" t="s">
        <v>335</v>
      </c>
      <c r="AG1203" t="s">
        <v>787</v>
      </c>
    </row>
    <row r="1204" spans="1:33" ht="18.75" customHeight="1" x14ac:dyDescent="0.3">
      <c r="A1204" s="1">
        <v>2013135201831</v>
      </c>
      <c r="B1204" t="s">
        <v>75</v>
      </c>
      <c r="C1204" t="s">
        <v>3676</v>
      </c>
      <c r="D1204" t="s">
        <v>3662</v>
      </c>
      <c r="E1204" t="s">
        <v>335</v>
      </c>
      <c r="AG1204" t="s">
        <v>787</v>
      </c>
    </row>
    <row r="1205" spans="1:33" ht="18.75" customHeight="1" x14ac:dyDescent="0.3">
      <c r="A1205" s="1">
        <v>2013135202037</v>
      </c>
      <c r="B1205" t="s">
        <v>75</v>
      </c>
      <c r="C1205" t="s">
        <v>3677</v>
      </c>
      <c r="D1205" t="s">
        <v>3662</v>
      </c>
      <c r="E1205" t="s">
        <v>335</v>
      </c>
      <c r="AG1205" t="s">
        <v>787</v>
      </c>
    </row>
    <row r="1206" spans="1:33" ht="18.75" customHeight="1" x14ac:dyDescent="0.3">
      <c r="A1206" s="1">
        <v>2014135200279</v>
      </c>
      <c r="B1206" t="s">
        <v>75</v>
      </c>
      <c r="C1206" t="s">
        <v>3678</v>
      </c>
      <c r="D1206" t="s">
        <v>3662</v>
      </c>
      <c r="E1206" t="s">
        <v>335</v>
      </c>
      <c r="AG1206" t="s">
        <v>787</v>
      </c>
    </row>
    <row r="1207" spans="1:33" ht="18.75" customHeight="1" x14ac:dyDescent="0.3">
      <c r="A1207" s="1">
        <v>2014135200287</v>
      </c>
      <c r="B1207" t="s">
        <v>75</v>
      </c>
      <c r="C1207" t="s">
        <v>3679</v>
      </c>
      <c r="D1207" t="s">
        <v>3662</v>
      </c>
      <c r="E1207" t="s">
        <v>335</v>
      </c>
      <c r="AG1207" t="s">
        <v>787</v>
      </c>
    </row>
    <row r="1208" spans="1:33" ht="18.75" customHeight="1" x14ac:dyDescent="0.3">
      <c r="A1208" s="1">
        <v>2014135200302</v>
      </c>
      <c r="B1208" t="s">
        <v>75</v>
      </c>
      <c r="C1208" t="s">
        <v>3680</v>
      </c>
      <c r="D1208" t="s">
        <v>3662</v>
      </c>
      <c r="E1208" t="s">
        <v>335</v>
      </c>
      <c r="AG1208" t="s">
        <v>787</v>
      </c>
    </row>
    <row r="1209" spans="1:33" ht="18.75" customHeight="1" x14ac:dyDescent="0.3">
      <c r="A1209" s="1">
        <v>2014135201821</v>
      </c>
      <c r="B1209" t="s">
        <v>75</v>
      </c>
      <c r="C1209" t="s">
        <v>3681</v>
      </c>
      <c r="D1209" t="s">
        <v>3662</v>
      </c>
      <c r="E1209" t="s">
        <v>335</v>
      </c>
      <c r="AG1209" t="s">
        <v>787</v>
      </c>
    </row>
    <row r="1210" spans="1:33" ht="18.75" customHeight="1" x14ac:dyDescent="0.3">
      <c r="A1210" s="1">
        <v>2014135201839</v>
      </c>
      <c r="B1210" t="s">
        <v>75</v>
      </c>
      <c r="C1210" t="s">
        <v>3682</v>
      </c>
      <c r="D1210" t="s">
        <v>3662</v>
      </c>
      <c r="E1210" t="s">
        <v>335</v>
      </c>
      <c r="AG1210" t="s">
        <v>787</v>
      </c>
    </row>
    <row r="1211" spans="1:33" ht="18.75" customHeight="1" x14ac:dyDescent="0.3">
      <c r="A1211" s="1">
        <v>2014135202126</v>
      </c>
      <c r="B1211" t="s">
        <v>75</v>
      </c>
      <c r="C1211" t="s">
        <v>3683</v>
      </c>
      <c r="D1211" t="s">
        <v>3662</v>
      </c>
      <c r="E1211" t="s">
        <v>335</v>
      </c>
      <c r="AG1211" t="s">
        <v>787</v>
      </c>
    </row>
    <row r="1212" spans="1:33" ht="18.75" customHeight="1" x14ac:dyDescent="0.3">
      <c r="A1212" s="1">
        <v>2015135200516</v>
      </c>
      <c r="B1212" t="s">
        <v>106</v>
      </c>
      <c r="C1212" t="s">
        <v>3684</v>
      </c>
      <c r="D1212" t="s">
        <v>3662</v>
      </c>
      <c r="E1212" t="s">
        <v>335</v>
      </c>
      <c r="AG1212" t="s">
        <v>787</v>
      </c>
    </row>
    <row r="1213" spans="1:33" ht="18.75" customHeight="1" x14ac:dyDescent="0.3">
      <c r="A1213" s="1">
        <v>2015135200764</v>
      </c>
      <c r="B1213" t="s">
        <v>106</v>
      </c>
      <c r="C1213" t="s">
        <v>3685</v>
      </c>
      <c r="D1213" t="s">
        <v>3662</v>
      </c>
      <c r="E1213" t="s">
        <v>335</v>
      </c>
      <c r="AG1213" t="s">
        <v>787</v>
      </c>
    </row>
    <row r="1214" spans="1:33" ht="18.75" customHeight="1" x14ac:dyDescent="0.3">
      <c r="A1214" s="1">
        <v>2015135201217</v>
      </c>
      <c r="B1214" t="s">
        <v>106</v>
      </c>
      <c r="C1214" t="s">
        <v>3686</v>
      </c>
      <c r="D1214" t="s">
        <v>3662</v>
      </c>
      <c r="E1214" t="s">
        <v>335</v>
      </c>
      <c r="AG1214" t="s">
        <v>787</v>
      </c>
    </row>
    <row r="1215" spans="1:33" ht="18.75" customHeight="1" x14ac:dyDescent="0.3">
      <c r="A1215" s="1">
        <v>2015135202174</v>
      </c>
      <c r="B1215" t="s">
        <v>106</v>
      </c>
      <c r="C1215" t="s">
        <v>3687</v>
      </c>
      <c r="D1215" t="s">
        <v>3662</v>
      </c>
      <c r="E1215" t="s">
        <v>335</v>
      </c>
      <c r="AG1215" t="s">
        <v>787</v>
      </c>
    </row>
    <row r="1216" spans="1:33" ht="18.75" customHeight="1" x14ac:dyDescent="0.3">
      <c r="A1216" s="1">
        <v>2015135202257</v>
      </c>
      <c r="B1216" t="s">
        <v>106</v>
      </c>
      <c r="C1216" t="s">
        <v>3688</v>
      </c>
      <c r="D1216" t="s">
        <v>3662</v>
      </c>
      <c r="E1216" t="s">
        <v>335</v>
      </c>
      <c r="AG1216" t="s">
        <v>787</v>
      </c>
    </row>
    <row r="1217" spans="1:33" ht="18.75" customHeight="1" x14ac:dyDescent="0.3">
      <c r="A1217" s="1">
        <v>2015135202265</v>
      </c>
      <c r="B1217" t="s">
        <v>106</v>
      </c>
      <c r="C1217" t="s">
        <v>3689</v>
      </c>
      <c r="D1217" t="s">
        <v>3662</v>
      </c>
      <c r="E1217" t="s">
        <v>335</v>
      </c>
      <c r="AG1217" t="s">
        <v>787</v>
      </c>
    </row>
    <row r="1218" spans="1:33" ht="18.75" customHeight="1" x14ac:dyDescent="0.3">
      <c r="A1218" s="1">
        <v>2015135202356</v>
      </c>
      <c r="B1218" t="s">
        <v>106</v>
      </c>
      <c r="C1218" t="s">
        <v>3690</v>
      </c>
      <c r="D1218" t="s">
        <v>3662</v>
      </c>
      <c r="E1218" t="s">
        <v>335</v>
      </c>
      <c r="AG1218" t="s">
        <v>787</v>
      </c>
    </row>
    <row r="1219" spans="1:33" ht="18.75" customHeight="1" x14ac:dyDescent="0.3">
      <c r="A1219" s="1">
        <v>2015135203015</v>
      </c>
      <c r="B1219" t="s">
        <v>106</v>
      </c>
      <c r="C1219" t="s">
        <v>3691</v>
      </c>
      <c r="D1219" t="s">
        <v>3662</v>
      </c>
      <c r="E1219" t="s">
        <v>335</v>
      </c>
      <c r="AG1219" t="s">
        <v>787</v>
      </c>
    </row>
    <row r="1220" spans="1:33" ht="18.75" customHeight="1" x14ac:dyDescent="0.3">
      <c r="A1220" s="1">
        <v>2015135203106</v>
      </c>
      <c r="B1220" t="s">
        <v>106</v>
      </c>
      <c r="C1220" t="s">
        <v>3692</v>
      </c>
      <c r="D1220" t="s">
        <v>3662</v>
      </c>
      <c r="E1220" t="s">
        <v>335</v>
      </c>
      <c r="AG1220" t="s">
        <v>787</v>
      </c>
    </row>
    <row r="1221" spans="1:33" ht="18.75" customHeight="1" x14ac:dyDescent="0.3">
      <c r="A1221" s="1">
        <v>2015135203411</v>
      </c>
      <c r="B1221" t="s">
        <v>106</v>
      </c>
      <c r="C1221" t="s">
        <v>3693</v>
      </c>
      <c r="D1221" t="s">
        <v>3662</v>
      </c>
      <c r="E1221" t="s">
        <v>335</v>
      </c>
      <c r="AG1221" t="s">
        <v>787</v>
      </c>
    </row>
    <row r="1222" spans="1:33" ht="18.75" customHeight="1" x14ac:dyDescent="0.3">
      <c r="A1222" s="1">
        <v>2015135203817</v>
      </c>
      <c r="B1222" t="s">
        <v>106</v>
      </c>
      <c r="C1222" t="s">
        <v>3694</v>
      </c>
      <c r="D1222" t="s">
        <v>3662</v>
      </c>
      <c r="E1222" t="s">
        <v>335</v>
      </c>
      <c r="AG1222" t="s">
        <v>787</v>
      </c>
    </row>
    <row r="1223" spans="1:33" ht="18.75" customHeight="1" x14ac:dyDescent="0.3">
      <c r="A1223" s="1">
        <v>2016135200027</v>
      </c>
      <c r="B1223" t="s">
        <v>106</v>
      </c>
      <c r="C1223" t="s">
        <v>3695</v>
      </c>
      <c r="D1223" t="s">
        <v>3662</v>
      </c>
      <c r="E1223" t="s">
        <v>335</v>
      </c>
      <c r="AG1223" t="s">
        <v>787</v>
      </c>
    </row>
    <row r="1224" spans="1:33" ht="18.75" customHeight="1" x14ac:dyDescent="0.3">
      <c r="A1224" s="1">
        <v>2016135200051</v>
      </c>
      <c r="B1224" t="s">
        <v>106</v>
      </c>
      <c r="C1224" t="s">
        <v>3696</v>
      </c>
      <c r="D1224" t="s">
        <v>3662</v>
      </c>
      <c r="E1224" t="s">
        <v>335</v>
      </c>
      <c r="AG1224" t="s">
        <v>787</v>
      </c>
    </row>
    <row r="1225" spans="1:33" ht="18.75" customHeight="1" x14ac:dyDescent="0.3">
      <c r="A1225" s="1">
        <v>2016135200465</v>
      </c>
      <c r="B1225" t="s">
        <v>106</v>
      </c>
      <c r="C1225" t="s">
        <v>3697</v>
      </c>
      <c r="D1225" t="s">
        <v>3662</v>
      </c>
      <c r="E1225" t="s">
        <v>335</v>
      </c>
      <c r="AG1225" t="s">
        <v>787</v>
      </c>
    </row>
    <row r="1226" spans="1:33" ht="18.75" customHeight="1" x14ac:dyDescent="0.3">
      <c r="A1226" s="1">
        <v>2016135200837</v>
      </c>
      <c r="B1226" t="s">
        <v>106</v>
      </c>
      <c r="C1226" t="s">
        <v>3698</v>
      </c>
      <c r="D1226" t="s">
        <v>3662</v>
      </c>
      <c r="E1226" t="s">
        <v>335</v>
      </c>
      <c r="AG1226" t="s">
        <v>787</v>
      </c>
    </row>
    <row r="1227" spans="1:33" ht="18.75" customHeight="1" x14ac:dyDescent="0.3">
      <c r="A1227" s="1">
        <v>2016135201653</v>
      </c>
      <c r="B1227" t="s">
        <v>106</v>
      </c>
      <c r="C1227" t="s">
        <v>3699</v>
      </c>
      <c r="D1227" t="s">
        <v>3662</v>
      </c>
      <c r="E1227" t="s">
        <v>335</v>
      </c>
      <c r="AG1227" t="s">
        <v>787</v>
      </c>
    </row>
    <row r="1228" spans="1:33" ht="18.75" customHeight="1" x14ac:dyDescent="0.3">
      <c r="A1228" s="1">
        <v>2017131805340</v>
      </c>
      <c r="B1228" t="s">
        <v>106</v>
      </c>
      <c r="C1228" t="s">
        <v>3700</v>
      </c>
      <c r="D1228" t="s">
        <v>3662</v>
      </c>
      <c r="E1228" t="s">
        <v>335</v>
      </c>
      <c r="AG1228" t="s">
        <v>787</v>
      </c>
    </row>
    <row r="1229" spans="1:33" ht="18.75" customHeight="1" x14ac:dyDescent="0.3">
      <c r="A1229" s="1">
        <v>2017131809483</v>
      </c>
      <c r="B1229" t="s">
        <v>106</v>
      </c>
      <c r="C1229" t="s">
        <v>3701</v>
      </c>
      <c r="D1229" t="s">
        <v>3662</v>
      </c>
      <c r="E1229" t="s">
        <v>335</v>
      </c>
      <c r="AG1229" t="s">
        <v>787</v>
      </c>
    </row>
    <row r="1230" spans="1:33" ht="18.75" customHeight="1" x14ac:dyDescent="0.3">
      <c r="A1230" s="1">
        <v>2017135200059</v>
      </c>
      <c r="B1230" t="s">
        <v>106</v>
      </c>
      <c r="C1230" t="s">
        <v>3702</v>
      </c>
      <c r="D1230" t="s">
        <v>3662</v>
      </c>
      <c r="E1230" t="s">
        <v>335</v>
      </c>
      <c r="AG1230" t="s">
        <v>787</v>
      </c>
    </row>
    <row r="1231" spans="1:33" ht="18.75" customHeight="1" x14ac:dyDescent="0.3">
      <c r="A1231" s="1">
        <v>2017135200364</v>
      </c>
      <c r="B1231" t="s">
        <v>106</v>
      </c>
      <c r="C1231" t="s">
        <v>3703</v>
      </c>
      <c r="D1231" t="s">
        <v>3662</v>
      </c>
      <c r="E1231" t="s">
        <v>335</v>
      </c>
      <c r="AG1231" t="s">
        <v>787</v>
      </c>
    </row>
    <row r="1232" spans="1:33" ht="18.75" customHeight="1" x14ac:dyDescent="0.3">
      <c r="A1232" s="1">
        <v>2017135200538</v>
      </c>
      <c r="B1232" t="s">
        <v>106</v>
      </c>
      <c r="C1232" t="s">
        <v>3704</v>
      </c>
      <c r="D1232" t="s">
        <v>3662</v>
      </c>
      <c r="E1232" t="s">
        <v>335</v>
      </c>
      <c r="AG1232" t="s">
        <v>787</v>
      </c>
    </row>
    <row r="1233" spans="1:33" ht="18.75" customHeight="1" x14ac:dyDescent="0.3">
      <c r="A1233" s="1">
        <v>2017135200827</v>
      </c>
      <c r="B1233" t="s">
        <v>106</v>
      </c>
      <c r="C1233" t="s">
        <v>3705</v>
      </c>
      <c r="D1233" t="s">
        <v>3662</v>
      </c>
      <c r="E1233" t="s">
        <v>335</v>
      </c>
      <c r="AG1233" t="s">
        <v>787</v>
      </c>
    </row>
    <row r="1234" spans="1:33" ht="18.75" customHeight="1" x14ac:dyDescent="0.3">
      <c r="A1234" s="1">
        <v>2017135200869</v>
      </c>
      <c r="B1234" t="s">
        <v>106</v>
      </c>
      <c r="C1234" t="s">
        <v>3706</v>
      </c>
      <c r="D1234" t="s">
        <v>3662</v>
      </c>
      <c r="E1234" t="s">
        <v>335</v>
      </c>
      <c r="AG1234" t="s">
        <v>787</v>
      </c>
    </row>
    <row r="1235" spans="1:33" ht="18.75" customHeight="1" x14ac:dyDescent="0.3">
      <c r="A1235" s="1">
        <v>2017135201023</v>
      </c>
      <c r="B1235" t="s">
        <v>106</v>
      </c>
      <c r="C1235" t="s">
        <v>3707</v>
      </c>
      <c r="D1235" t="s">
        <v>3662</v>
      </c>
      <c r="E1235" t="s">
        <v>335</v>
      </c>
      <c r="AG1235" t="s">
        <v>787</v>
      </c>
    </row>
    <row r="1236" spans="1:33" ht="18.75" customHeight="1" x14ac:dyDescent="0.3">
      <c r="A1236" s="1">
        <v>2017135201528</v>
      </c>
      <c r="B1236" t="s">
        <v>106</v>
      </c>
      <c r="C1236" t="s">
        <v>3708</v>
      </c>
      <c r="D1236" t="s">
        <v>3662</v>
      </c>
      <c r="E1236" t="s">
        <v>335</v>
      </c>
      <c r="AG1236" t="s">
        <v>787</v>
      </c>
    </row>
    <row r="1237" spans="1:33" ht="18.75" customHeight="1" x14ac:dyDescent="0.3">
      <c r="A1237" s="1">
        <v>2017135201734</v>
      </c>
      <c r="B1237" t="s">
        <v>106</v>
      </c>
      <c r="C1237" t="s">
        <v>3709</v>
      </c>
      <c r="D1237" t="s">
        <v>3662</v>
      </c>
      <c r="E1237" t="s">
        <v>335</v>
      </c>
      <c r="AG1237" t="s">
        <v>787</v>
      </c>
    </row>
    <row r="1238" spans="1:33" ht="18.75" customHeight="1" x14ac:dyDescent="0.3">
      <c r="A1238" s="1">
        <v>2017135202063</v>
      </c>
      <c r="B1238" t="s">
        <v>106</v>
      </c>
      <c r="C1238" t="s">
        <v>3710</v>
      </c>
      <c r="D1238" t="s">
        <v>3662</v>
      </c>
      <c r="E1238" t="s">
        <v>335</v>
      </c>
      <c r="AG1238" t="s">
        <v>787</v>
      </c>
    </row>
    <row r="1239" spans="1:33" ht="18.75" customHeight="1" x14ac:dyDescent="0.3">
      <c r="A1239" s="1">
        <v>2017135202344</v>
      </c>
      <c r="B1239" t="s">
        <v>106</v>
      </c>
      <c r="C1239" t="s">
        <v>3711</v>
      </c>
      <c r="D1239" t="s">
        <v>3662</v>
      </c>
      <c r="E1239" t="s">
        <v>335</v>
      </c>
      <c r="AG1239" t="s">
        <v>787</v>
      </c>
    </row>
    <row r="1240" spans="1:33" ht="18.75" customHeight="1" x14ac:dyDescent="0.3">
      <c r="A1240" s="1">
        <v>2017135202576</v>
      </c>
      <c r="B1240" t="s">
        <v>106</v>
      </c>
      <c r="C1240" t="s">
        <v>3712</v>
      </c>
      <c r="D1240" t="s">
        <v>3662</v>
      </c>
      <c r="E1240" t="s">
        <v>335</v>
      </c>
      <c r="AG1240" t="s">
        <v>787</v>
      </c>
    </row>
    <row r="1241" spans="1:33" ht="18.75" customHeight="1" x14ac:dyDescent="0.3">
      <c r="A1241" s="1">
        <v>2017135202766</v>
      </c>
      <c r="B1241" t="s">
        <v>106</v>
      </c>
      <c r="C1241" t="s">
        <v>3713</v>
      </c>
      <c r="D1241" t="s">
        <v>3662</v>
      </c>
      <c r="E1241" t="s">
        <v>335</v>
      </c>
      <c r="AG1241" t="s">
        <v>787</v>
      </c>
    </row>
    <row r="1242" spans="1:33" ht="18.75" customHeight="1" x14ac:dyDescent="0.3">
      <c r="A1242" s="1">
        <v>2017135203417</v>
      </c>
      <c r="B1242" t="s">
        <v>106</v>
      </c>
      <c r="C1242" t="s">
        <v>3714</v>
      </c>
      <c r="D1242" t="s">
        <v>3662</v>
      </c>
      <c r="E1242" t="s">
        <v>335</v>
      </c>
      <c r="AG1242" t="s">
        <v>787</v>
      </c>
    </row>
    <row r="1243" spans="1:33" ht="18.75" customHeight="1" x14ac:dyDescent="0.3">
      <c r="A1243" s="1">
        <v>2017135203475</v>
      </c>
      <c r="B1243" t="s">
        <v>106</v>
      </c>
      <c r="C1243" t="s">
        <v>3715</v>
      </c>
      <c r="D1243" t="s">
        <v>3662</v>
      </c>
      <c r="E1243" t="s">
        <v>335</v>
      </c>
      <c r="AG1243" t="s">
        <v>787</v>
      </c>
    </row>
    <row r="1244" spans="1:33" ht="18.75" customHeight="1" x14ac:dyDescent="0.3">
      <c r="A1244" s="1">
        <v>2018130402020</v>
      </c>
      <c r="B1244" t="s">
        <v>106</v>
      </c>
      <c r="C1244" t="s">
        <v>3716</v>
      </c>
      <c r="D1244" t="s">
        <v>3662</v>
      </c>
      <c r="E1244" t="s">
        <v>335</v>
      </c>
      <c r="AG1244" t="s">
        <v>787</v>
      </c>
    </row>
    <row r="1245" spans="1:33" ht="18.75" customHeight="1" x14ac:dyDescent="0.3">
      <c r="A1245" s="1">
        <v>2018131803045</v>
      </c>
      <c r="B1245" t="s">
        <v>106</v>
      </c>
      <c r="C1245" t="s">
        <v>3717</v>
      </c>
      <c r="D1245" t="s">
        <v>3662</v>
      </c>
      <c r="E1245" t="s">
        <v>335</v>
      </c>
      <c r="AG1245" t="s">
        <v>787</v>
      </c>
    </row>
    <row r="1246" spans="1:33" ht="18.75" customHeight="1" x14ac:dyDescent="0.3">
      <c r="A1246" s="1">
        <v>2018131810925</v>
      </c>
      <c r="B1246" t="s">
        <v>106</v>
      </c>
      <c r="C1246" t="s">
        <v>3718</v>
      </c>
      <c r="D1246" t="s">
        <v>3662</v>
      </c>
      <c r="E1246" t="s">
        <v>335</v>
      </c>
      <c r="AG1246" t="s">
        <v>787</v>
      </c>
    </row>
    <row r="1247" spans="1:33" ht="18.75" customHeight="1" x14ac:dyDescent="0.3">
      <c r="A1247" s="1">
        <v>2018135200776</v>
      </c>
      <c r="B1247" t="s">
        <v>106</v>
      </c>
      <c r="C1247" t="s">
        <v>3719</v>
      </c>
      <c r="D1247" t="s">
        <v>3662</v>
      </c>
      <c r="E1247" t="s">
        <v>335</v>
      </c>
      <c r="AG1247" t="s">
        <v>787</v>
      </c>
    </row>
    <row r="1248" spans="1:33" ht="18.75" customHeight="1" x14ac:dyDescent="0.3">
      <c r="A1248" s="1">
        <v>2018135200924</v>
      </c>
      <c r="B1248" t="s">
        <v>125</v>
      </c>
      <c r="C1248" t="s">
        <v>3720</v>
      </c>
      <c r="D1248" t="s">
        <v>3662</v>
      </c>
      <c r="E1248" t="s">
        <v>335</v>
      </c>
      <c r="AG1248" t="s">
        <v>787</v>
      </c>
    </row>
    <row r="1249" spans="1:33" ht="18.75" customHeight="1" x14ac:dyDescent="0.3">
      <c r="A1249" s="1">
        <v>2018135202095</v>
      </c>
      <c r="B1249" t="s">
        <v>106</v>
      </c>
      <c r="C1249" t="s">
        <v>3721</v>
      </c>
      <c r="D1249" t="s">
        <v>3662</v>
      </c>
      <c r="E1249" t="s">
        <v>335</v>
      </c>
      <c r="AG1249" t="s">
        <v>787</v>
      </c>
    </row>
    <row r="1250" spans="1:33" ht="18.75" customHeight="1" x14ac:dyDescent="0.3">
      <c r="A1250" s="1">
        <v>2018135202219</v>
      </c>
      <c r="B1250" t="s">
        <v>106</v>
      </c>
      <c r="C1250" t="s">
        <v>3722</v>
      </c>
      <c r="D1250" t="s">
        <v>3662</v>
      </c>
      <c r="E1250" t="s">
        <v>335</v>
      </c>
      <c r="AG1250" t="s">
        <v>787</v>
      </c>
    </row>
    <row r="1251" spans="1:33" ht="18.75" customHeight="1" x14ac:dyDescent="0.3">
      <c r="A1251" s="1">
        <v>2018135202243</v>
      </c>
      <c r="B1251" t="s">
        <v>106</v>
      </c>
      <c r="C1251" t="s">
        <v>3723</v>
      </c>
      <c r="D1251" t="s">
        <v>3662</v>
      </c>
      <c r="E1251" t="s">
        <v>335</v>
      </c>
      <c r="AG1251" t="s">
        <v>787</v>
      </c>
    </row>
    <row r="1252" spans="1:33" ht="18.75" customHeight="1" x14ac:dyDescent="0.3">
      <c r="A1252" s="1">
        <v>2018135202334</v>
      </c>
      <c r="B1252" t="s">
        <v>106</v>
      </c>
      <c r="C1252" t="s">
        <v>3724</v>
      </c>
      <c r="D1252" t="s">
        <v>3662</v>
      </c>
      <c r="E1252" t="s">
        <v>335</v>
      </c>
      <c r="AG1252" t="s">
        <v>787</v>
      </c>
    </row>
    <row r="1253" spans="1:33" ht="18.75" customHeight="1" x14ac:dyDescent="0.3">
      <c r="A1253" s="1">
        <v>2018135202409</v>
      </c>
      <c r="B1253" t="s">
        <v>106</v>
      </c>
      <c r="C1253" t="s">
        <v>3725</v>
      </c>
      <c r="D1253" t="s">
        <v>3662</v>
      </c>
      <c r="E1253" t="s">
        <v>335</v>
      </c>
      <c r="AG1253" t="s">
        <v>787</v>
      </c>
    </row>
    <row r="1254" spans="1:33" ht="18.75" customHeight="1" x14ac:dyDescent="0.3">
      <c r="A1254" s="1">
        <v>2018135202764</v>
      </c>
      <c r="B1254" t="s">
        <v>106</v>
      </c>
      <c r="C1254" t="s">
        <v>3726</v>
      </c>
      <c r="D1254" t="s">
        <v>3662</v>
      </c>
      <c r="E1254" t="s">
        <v>335</v>
      </c>
      <c r="AG1254" t="s">
        <v>787</v>
      </c>
    </row>
    <row r="1255" spans="1:33" ht="18.75" customHeight="1" x14ac:dyDescent="0.3">
      <c r="A1255" s="1">
        <v>2019131800271</v>
      </c>
      <c r="B1255" t="s">
        <v>125</v>
      </c>
      <c r="C1255" t="s">
        <v>3727</v>
      </c>
      <c r="D1255" t="s">
        <v>3662</v>
      </c>
      <c r="E1255" t="s">
        <v>335</v>
      </c>
      <c r="AG1255" t="s">
        <v>787</v>
      </c>
    </row>
    <row r="1256" spans="1:33" ht="18.75" customHeight="1" x14ac:dyDescent="0.3">
      <c r="A1256" s="1">
        <v>2019131810642</v>
      </c>
      <c r="B1256" t="s">
        <v>125</v>
      </c>
      <c r="C1256" t="s">
        <v>3728</v>
      </c>
      <c r="D1256" t="s">
        <v>3662</v>
      </c>
      <c r="E1256" t="s">
        <v>335</v>
      </c>
      <c r="AG1256" t="s">
        <v>787</v>
      </c>
    </row>
    <row r="1257" spans="1:33" ht="18.75" customHeight="1" x14ac:dyDescent="0.3">
      <c r="A1257" s="1">
        <v>2019135200451</v>
      </c>
      <c r="B1257" t="s">
        <v>125</v>
      </c>
      <c r="C1257" t="s">
        <v>3729</v>
      </c>
      <c r="D1257" t="s">
        <v>3662</v>
      </c>
      <c r="E1257" t="s">
        <v>335</v>
      </c>
      <c r="AG1257" t="s">
        <v>787</v>
      </c>
    </row>
    <row r="1258" spans="1:33" ht="18.75" customHeight="1" x14ac:dyDescent="0.3">
      <c r="A1258" s="1">
        <v>2019135200469</v>
      </c>
      <c r="B1258" t="s">
        <v>125</v>
      </c>
      <c r="C1258" t="s">
        <v>3730</v>
      </c>
      <c r="D1258" t="s">
        <v>3662</v>
      </c>
      <c r="E1258" t="s">
        <v>335</v>
      </c>
      <c r="AG1258" t="s">
        <v>787</v>
      </c>
    </row>
    <row r="1259" spans="1:33" ht="18.75" customHeight="1" x14ac:dyDescent="0.3">
      <c r="A1259" s="1">
        <v>2019135200477</v>
      </c>
      <c r="B1259" t="s">
        <v>125</v>
      </c>
      <c r="C1259" t="s">
        <v>3731</v>
      </c>
      <c r="D1259" t="s">
        <v>3662</v>
      </c>
      <c r="E1259" t="s">
        <v>335</v>
      </c>
      <c r="AG1259" t="s">
        <v>787</v>
      </c>
    </row>
    <row r="1260" spans="1:33" ht="18.75" customHeight="1" x14ac:dyDescent="0.3">
      <c r="A1260" s="1">
        <v>2019135200493</v>
      </c>
      <c r="B1260" t="s">
        <v>125</v>
      </c>
      <c r="C1260" t="s">
        <v>3732</v>
      </c>
      <c r="D1260" t="s">
        <v>3662</v>
      </c>
      <c r="E1260" t="s">
        <v>335</v>
      </c>
      <c r="AG1260" t="s">
        <v>787</v>
      </c>
    </row>
    <row r="1261" spans="1:33" ht="18.75" customHeight="1" x14ac:dyDescent="0.3">
      <c r="A1261" s="1">
        <v>2019135200518</v>
      </c>
      <c r="B1261" t="s">
        <v>125</v>
      </c>
      <c r="C1261" t="s">
        <v>3733</v>
      </c>
      <c r="D1261" t="s">
        <v>3662</v>
      </c>
      <c r="E1261" t="s">
        <v>335</v>
      </c>
      <c r="AG1261" t="s">
        <v>787</v>
      </c>
    </row>
    <row r="1262" spans="1:33" ht="18.75" customHeight="1" x14ac:dyDescent="0.3">
      <c r="A1262" s="1">
        <v>2019135200550</v>
      </c>
      <c r="B1262" t="s">
        <v>125</v>
      </c>
      <c r="C1262" t="s">
        <v>3734</v>
      </c>
      <c r="D1262" t="s">
        <v>3662</v>
      </c>
      <c r="E1262" t="s">
        <v>335</v>
      </c>
      <c r="AG1262" t="s">
        <v>787</v>
      </c>
    </row>
    <row r="1263" spans="1:33" ht="18.75" customHeight="1" x14ac:dyDescent="0.3">
      <c r="A1263" s="1">
        <v>2019135200568</v>
      </c>
      <c r="B1263" t="s">
        <v>125</v>
      </c>
      <c r="C1263" t="s">
        <v>3735</v>
      </c>
      <c r="D1263" t="s">
        <v>3662</v>
      </c>
      <c r="E1263" t="s">
        <v>335</v>
      </c>
      <c r="AG1263" t="s">
        <v>787</v>
      </c>
    </row>
    <row r="1264" spans="1:33" ht="18.75" customHeight="1" x14ac:dyDescent="0.3">
      <c r="A1264" s="1">
        <v>2019135200732</v>
      </c>
      <c r="B1264" t="s">
        <v>125</v>
      </c>
      <c r="C1264" t="s">
        <v>3736</v>
      </c>
      <c r="D1264" t="s">
        <v>3662</v>
      </c>
      <c r="E1264" t="s">
        <v>335</v>
      </c>
      <c r="AG1264" t="s">
        <v>787</v>
      </c>
    </row>
    <row r="1265" spans="1:36" ht="18.75" customHeight="1" x14ac:dyDescent="0.3">
      <c r="A1265" s="1">
        <v>2021132400455</v>
      </c>
      <c r="B1265" t="s">
        <v>125</v>
      </c>
      <c r="C1265" t="s">
        <v>3737</v>
      </c>
      <c r="D1265" t="s">
        <v>3662</v>
      </c>
      <c r="E1265" t="s">
        <v>335</v>
      </c>
      <c r="AG1265" t="s">
        <v>787</v>
      </c>
    </row>
    <row r="1266" spans="1:36" ht="18.75" customHeight="1" x14ac:dyDescent="0.3">
      <c r="A1266" s="1">
        <v>2021135200018</v>
      </c>
      <c r="B1266" t="s">
        <v>125</v>
      </c>
      <c r="C1266" t="s">
        <v>3738</v>
      </c>
      <c r="D1266" t="s">
        <v>3662</v>
      </c>
      <c r="E1266" t="s">
        <v>335</v>
      </c>
      <c r="AG1266" t="s">
        <v>787</v>
      </c>
    </row>
    <row r="1267" spans="1:36" ht="18.75" customHeight="1" x14ac:dyDescent="0.3">
      <c r="A1267" s="1">
        <v>2021135200208</v>
      </c>
      <c r="B1267" t="s">
        <v>125</v>
      </c>
      <c r="C1267" t="s">
        <v>3739</v>
      </c>
      <c r="D1267" t="s">
        <v>3662</v>
      </c>
      <c r="E1267" t="s">
        <v>335</v>
      </c>
      <c r="AG1267" t="s">
        <v>787</v>
      </c>
    </row>
    <row r="1268" spans="1:36" ht="18.75" customHeight="1" x14ac:dyDescent="0.3">
      <c r="A1268" s="1">
        <v>2021135200266</v>
      </c>
      <c r="B1268" t="s">
        <v>125</v>
      </c>
      <c r="C1268" t="s">
        <v>3740</v>
      </c>
      <c r="D1268" t="s">
        <v>3662</v>
      </c>
      <c r="E1268" t="s">
        <v>335</v>
      </c>
      <c r="AG1268" t="s">
        <v>787</v>
      </c>
    </row>
    <row r="1269" spans="1:36" ht="18.75" customHeight="1" x14ac:dyDescent="0.3">
      <c r="A1269" s="1">
        <v>2021135200274</v>
      </c>
      <c r="B1269" t="s">
        <v>125</v>
      </c>
      <c r="C1269" t="s">
        <v>3741</v>
      </c>
      <c r="D1269" t="s">
        <v>3662</v>
      </c>
      <c r="E1269" t="s">
        <v>335</v>
      </c>
      <c r="AG1269" t="s">
        <v>787</v>
      </c>
    </row>
    <row r="1270" spans="1:36" ht="18.75" customHeight="1" x14ac:dyDescent="0.3">
      <c r="A1270" s="1">
        <v>2021135200555</v>
      </c>
      <c r="B1270" t="s">
        <v>125</v>
      </c>
      <c r="C1270" t="s">
        <v>3742</v>
      </c>
      <c r="D1270" t="s">
        <v>3662</v>
      </c>
      <c r="E1270" t="s">
        <v>335</v>
      </c>
      <c r="AG1270" t="s">
        <v>787</v>
      </c>
    </row>
    <row r="1271" spans="1:36" ht="18.75" customHeight="1" x14ac:dyDescent="0.3">
      <c r="A1271" s="1">
        <v>2021135201545</v>
      </c>
      <c r="B1271" t="s">
        <v>125</v>
      </c>
      <c r="C1271" t="s">
        <v>3743</v>
      </c>
      <c r="D1271" t="s">
        <v>3662</v>
      </c>
      <c r="E1271" t="s">
        <v>335</v>
      </c>
      <c r="AG1271" t="s">
        <v>787</v>
      </c>
    </row>
    <row r="1272" spans="1:36" ht="18.75" customHeight="1" x14ac:dyDescent="0.3">
      <c r="A1272" s="1">
        <v>2021135201579</v>
      </c>
      <c r="B1272" t="s">
        <v>125</v>
      </c>
      <c r="C1272" t="s">
        <v>3744</v>
      </c>
      <c r="D1272" t="s">
        <v>3662</v>
      </c>
      <c r="E1272" t="s">
        <v>335</v>
      </c>
      <c r="AG1272" t="s">
        <v>787</v>
      </c>
    </row>
    <row r="1273" spans="1:36" ht="18.75" customHeight="1" x14ac:dyDescent="0.3">
      <c r="A1273" s="1">
        <v>2021135201660</v>
      </c>
      <c r="B1273" t="s">
        <v>125</v>
      </c>
      <c r="C1273" t="s">
        <v>3745</v>
      </c>
      <c r="D1273" t="s">
        <v>3662</v>
      </c>
      <c r="E1273" t="s">
        <v>335</v>
      </c>
      <c r="AG1273" t="s">
        <v>787</v>
      </c>
    </row>
    <row r="1274" spans="1:36" ht="18.75" customHeight="1" x14ac:dyDescent="0.3">
      <c r="A1274" s="1">
        <v>2023135200064</v>
      </c>
      <c r="B1274" t="s">
        <v>125</v>
      </c>
      <c r="C1274" t="s">
        <v>3746</v>
      </c>
      <c r="D1274" t="s">
        <v>3662</v>
      </c>
      <c r="E1274" t="s">
        <v>335</v>
      </c>
      <c r="AG1274" t="s">
        <v>787</v>
      </c>
    </row>
    <row r="1275" spans="1:36" ht="18.75" customHeight="1" x14ac:dyDescent="0.3">
      <c r="A1275" s="1">
        <v>2013135201592</v>
      </c>
      <c r="B1275" t="s">
        <v>75</v>
      </c>
      <c r="C1275" t="s">
        <v>3747</v>
      </c>
      <c r="D1275" t="s">
        <v>334</v>
      </c>
      <c r="E1275" t="s">
        <v>335</v>
      </c>
      <c r="F1275">
        <v>150</v>
      </c>
      <c r="G1275">
        <v>41510</v>
      </c>
      <c r="H1275">
        <v>42347</v>
      </c>
      <c r="I1275">
        <v>45658</v>
      </c>
      <c r="L1275" t="s">
        <v>771</v>
      </c>
      <c r="M1275" t="s">
        <v>335</v>
      </c>
      <c r="N1275" t="s">
        <v>127</v>
      </c>
      <c r="O1275" t="s">
        <v>336</v>
      </c>
      <c r="P1275" t="s">
        <v>49</v>
      </c>
      <c r="R1275">
        <v>1</v>
      </c>
      <c r="U1275" t="s">
        <v>3748</v>
      </c>
      <c r="W1275">
        <v>29407261601071</v>
      </c>
      <c r="X1275" t="s">
        <v>3749</v>
      </c>
      <c r="Y1275" t="s">
        <v>338</v>
      </c>
      <c r="AB1275">
        <v>1</v>
      </c>
      <c r="AF1275">
        <v>178</v>
      </c>
      <c r="AG1275">
        <v>177</v>
      </c>
      <c r="AH1275">
        <v>101</v>
      </c>
      <c r="AJ1275" t="s">
        <v>3750</v>
      </c>
    </row>
    <row r="1276" spans="1:36" ht="18.75" customHeight="1" x14ac:dyDescent="0.3">
      <c r="A1276" s="1">
        <v>2014135201722</v>
      </c>
      <c r="B1276" t="s">
        <v>75</v>
      </c>
      <c r="C1276" t="s">
        <v>3751</v>
      </c>
      <c r="D1276" t="s">
        <v>334</v>
      </c>
      <c r="E1276" t="s">
        <v>335</v>
      </c>
      <c r="F1276">
        <v>150</v>
      </c>
      <c r="G1276">
        <v>41510</v>
      </c>
      <c r="H1276">
        <v>41982</v>
      </c>
      <c r="I1276">
        <v>45292</v>
      </c>
      <c r="L1276" t="s">
        <v>771</v>
      </c>
      <c r="M1276" t="s">
        <v>335</v>
      </c>
      <c r="N1276" t="s">
        <v>127</v>
      </c>
      <c r="O1276" t="s">
        <v>336</v>
      </c>
      <c r="P1276" t="s">
        <v>49</v>
      </c>
      <c r="R1276">
        <v>3</v>
      </c>
      <c r="U1276" t="s">
        <v>3752</v>
      </c>
      <c r="W1276">
        <v>28912011409037</v>
      </c>
      <c r="X1276">
        <v>32843</v>
      </c>
      <c r="Y1276" t="s">
        <v>338</v>
      </c>
      <c r="AB1276">
        <v>1</v>
      </c>
      <c r="AF1276">
        <v>80</v>
      </c>
      <c r="AG1276">
        <v>176</v>
      </c>
      <c r="AH1276">
        <v>4</v>
      </c>
      <c r="AJ1276" t="s">
        <v>3753</v>
      </c>
    </row>
    <row r="1277" spans="1:36" ht="18.75" customHeight="1" x14ac:dyDescent="0.3">
      <c r="A1277" s="1">
        <v>2003135200206</v>
      </c>
      <c r="B1277" t="s">
        <v>210</v>
      </c>
      <c r="C1277" t="s">
        <v>3754</v>
      </c>
      <c r="D1277" t="s">
        <v>334</v>
      </c>
      <c r="E1277" t="s">
        <v>335</v>
      </c>
      <c r="F1277">
        <v>129</v>
      </c>
      <c r="G1277">
        <v>37639</v>
      </c>
      <c r="H1277">
        <v>38110</v>
      </c>
      <c r="I1277">
        <v>44013</v>
      </c>
      <c r="L1277" t="s">
        <v>45</v>
      </c>
      <c r="M1277" t="s">
        <v>335</v>
      </c>
      <c r="N1277" t="s">
        <v>127</v>
      </c>
      <c r="O1277" t="s">
        <v>127</v>
      </c>
      <c r="P1277" t="s">
        <v>49</v>
      </c>
      <c r="R1277">
        <v>2</v>
      </c>
      <c r="U1277" t="s">
        <v>3755</v>
      </c>
      <c r="W1277">
        <v>28403191602315</v>
      </c>
      <c r="X1277">
        <v>30760</v>
      </c>
      <c r="Y1277" t="s">
        <v>338</v>
      </c>
      <c r="AF1277">
        <v>80</v>
      </c>
      <c r="AG1277">
        <v>175</v>
      </c>
      <c r="AH1277">
        <v>5</v>
      </c>
      <c r="AI1277" t="s">
        <v>3756</v>
      </c>
      <c r="AJ1277" t="s">
        <v>3757</v>
      </c>
    </row>
    <row r="1278" spans="1:36" ht="18.75" customHeight="1" x14ac:dyDescent="0.3">
      <c r="A1278" s="1">
        <v>2015131801649</v>
      </c>
      <c r="B1278" t="s">
        <v>106</v>
      </c>
      <c r="C1278" t="s">
        <v>3758</v>
      </c>
      <c r="D1278" t="s">
        <v>334</v>
      </c>
      <c r="E1278" t="s">
        <v>335</v>
      </c>
      <c r="F1278">
        <v>158</v>
      </c>
      <c r="G1278">
        <v>43279</v>
      </c>
      <c r="H1278">
        <v>44117</v>
      </c>
      <c r="I1278">
        <v>46023</v>
      </c>
      <c r="L1278" t="s">
        <v>45</v>
      </c>
      <c r="M1278" t="s">
        <v>335</v>
      </c>
      <c r="N1278" t="s">
        <v>127</v>
      </c>
      <c r="O1278" t="s">
        <v>336</v>
      </c>
      <c r="P1278" t="s">
        <v>49</v>
      </c>
      <c r="R1278">
        <v>3</v>
      </c>
      <c r="U1278" t="s">
        <v>3759</v>
      </c>
      <c r="W1278">
        <v>29912201202858</v>
      </c>
      <c r="X1278">
        <v>36514</v>
      </c>
      <c r="Y1278" t="s">
        <v>767</v>
      </c>
      <c r="AF1278">
        <v>78</v>
      </c>
      <c r="AG1278">
        <v>180</v>
      </c>
      <c r="AH1278">
        <v>-2</v>
      </c>
      <c r="AJ1278" t="s">
        <v>3760</v>
      </c>
    </row>
    <row r="1279" spans="1:36" ht="18.75" customHeight="1" x14ac:dyDescent="0.3">
      <c r="A1279" s="1">
        <v>2015135201431</v>
      </c>
      <c r="B1279" t="s">
        <v>106</v>
      </c>
      <c r="C1279" t="s">
        <v>3761</v>
      </c>
      <c r="D1279" t="s">
        <v>334</v>
      </c>
      <c r="E1279" t="s">
        <v>335</v>
      </c>
      <c r="F1279">
        <v>154</v>
      </c>
      <c r="G1279">
        <v>42224</v>
      </c>
      <c r="H1279">
        <v>42790</v>
      </c>
      <c r="I1279">
        <v>44743</v>
      </c>
      <c r="L1279" t="s">
        <v>45</v>
      </c>
      <c r="M1279" t="s">
        <v>335</v>
      </c>
      <c r="N1279" t="s">
        <v>127</v>
      </c>
      <c r="O1279" t="s">
        <v>336</v>
      </c>
      <c r="P1279" t="s">
        <v>49</v>
      </c>
      <c r="R1279">
        <v>4</v>
      </c>
      <c r="U1279" t="s">
        <v>3762</v>
      </c>
      <c r="W1279">
        <v>29908261302617</v>
      </c>
      <c r="X1279">
        <v>36400</v>
      </c>
      <c r="Y1279" t="s">
        <v>103</v>
      </c>
      <c r="AB1279">
        <v>1</v>
      </c>
      <c r="AF1279">
        <v>74</v>
      </c>
      <c r="AG1279">
        <v>175</v>
      </c>
      <c r="AH1279">
        <v>-1</v>
      </c>
      <c r="AJ1279" t="s">
        <v>3763</v>
      </c>
    </row>
    <row r="1280" spans="1:36" ht="18.75" customHeight="1" x14ac:dyDescent="0.3">
      <c r="A1280" s="1">
        <v>2015135201449</v>
      </c>
      <c r="B1280" t="s">
        <v>106</v>
      </c>
      <c r="C1280" t="s">
        <v>3764</v>
      </c>
      <c r="D1280" t="s">
        <v>334</v>
      </c>
      <c r="E1280" t="s">
        <v>335</v>
      </c>
      <c r="F1280">
        <v>154</v>
      </c>
      <c r="G1280">
        <v>42224</v>
      </c>
      <c r="H1280">
        <v>42790</v>
      </c>
      <c r="I1280">
        <v>44743</v>
      </c>
      <c r="L1280" t="s">
        <v>45</v>
      </c>
      <c r="M1280" t="s">
        <v>335</v>
      </c>
      <c r="N1280" t="s">
        <v>127</v>
      </c>
      <c r="O1280" t="s">
        <v>336</v>
      </c>
      <c r="P1280" t="s">
        <v>49</v>
      </c>
      <c r="R1280">
        <v>4</v>
      </c>
      <c r="S1280">
        <v>1</v>
      </c>
      <c r="U1280" t="s">
        <v>3765</v>
      </c>
      <c r="W1280">
        <v>29307151303932</v>
      </c>
      <c r="X1280">
        <v>34165</v>
      </c>
      <c r="Y1280" t="s">
        <v>103</v>
      </c>
      <c r="AB1280">
        <v>1</v>
      </c>
      <c r="AF1280">
        <v>75</v>
      </c>
      <c r="AG1280">
        <v>174</v>
      </c>
      <c r="AH1280">
        <v>1</v>
      </c>
      <c r="AJ1280" t="s">
        <v>3763</v>
      </c>
    </row>
    <row r="1281" spans="1:39" ht="18.75" customHeight="1" x14ac:dyDescent="0.3">
      <c r="A1281" s="1">
        <v>2010135200441</v>
      </c>
      <c r="B1281" t="s">
        <v>75</v>
      </c>
      <c r="C1281" t="s">
        <v>3766</v>
      </c>
      <c r="D1281" t="s">
        <v>334</v>
      </c>
      <c r="E1281" t="s">
        <v>335</v>
      </c>
      <c r="F1281">
        <v>144</v>
      </c>
      <c r="G1281">
        <v>40376</v>
      </c>
      <c r="H1281">
        <v>40849</v>
      </c>
      <c r="I1281">
        <v>44562</v>
      </c>
      <c r="L1281" t="s">
        <v>771</v>
      </c>
      <c r="M1281" t="s">
        <v>335</v>
      </c>
      <c r="N1281" t="s">
        <v>127</v>
      </c>
      <c r="O1281" t="s">
        <v>3767</v>
      </c>
      <c r="P1281" t="s">
        <v>49</v>
      </c>
      <c r="R1281">
        <v>1</v>
      </c>
      <c r="U1281" t="s">
        <v>3768</v>
      </c>
      <c r="W1281">
        <v>29301092300519</v>
      </c>
      <c r="X1281">
        <v>33978</v>
      </c>
      <c r="Y1281" t="s">
        <v>338</v>
      </c>
      <c r="AF1281">
        <v>75</v>
      </c>
      <c r="AG1281">
        <v>175</v>
      </c>
      <c r="AH1281">
        <v>0</v>
      </c>
      <c r="AJ1281" t="s">
        <v>3769</v>
      </c>
    </row>
    <row r="1282" spans="1:39" ht="18.75" customHeight="1" x14ac:dyDescent="0.3">
      <c r="A1282" s="1">
        <v>2015135201960</v>
      </c>
      <c r="B1282" t="s">
        <v>106</v>
      </c>
      <c r="C1282" t="s">
        <v>3770</v>
      </c>
      <c r="D1282" t="s">
        <v>334</v>
      </c>
      <c r="E1282" t="s">
        <v>335</v>
      </c>
      <c r="F1282">
        <v>154</v>
      </c>
      <c r="G1282">
        <v>42224</v>
      </c>
      <c r="H1282">
        <v>42790</v>
      </c>
      <c r="I1282">
        <v>44743</v>
      </c>
      <c r="L1282" t="s">
        <v>45</v>
      </c>
      <c r="M1282" t="s">
        <v>335</v>
      </c>
      <c r="N1282" t="s">
        <v>127</v>
      </c>
      <c r="O1282" t="s">
        <v>336</v>
      </c>
      <c r="P1282" t="s">
        <v>49</v>
      </c>
      <c r="U1282" t="s">
        <v>3771</v>
      </c>
      <c r="W1282">
        <v>29709201208155</v>
      </c>
      <c r="X1282">
        <v>35693</v>
      </c>
      <c r="Y1282" t="s">
        <v>103</v>
      </c>
      <c r="AF1282">
        <v>82</v>
      </c>
      <c r="AG1282">
        <v>177</v>
      </c>
      <c r="AH1282">
        <v>5</v>
      </c>
      <c r="AJ1282" t="s">
        <v>3772</v>
      </c>
    </row>
    <row r="1283" spans="1:39" ht="18.75" customHeight="1" x14ac:dyDescent="0.3">
      <c r="A1283" s="1">
        <v>2016135201348</v>
      </c>
      <c r="B1283" t="s">
        <v>106</v>
      </c>
      <c r="C1283" t="s">
        <v>3773</v>
      </c>
      <c r="D1283" t="s">
        <v>334</v>
      </c>
      <c r="E1283" t="s">
        <v>335</v>
      </c>
      <c r="F1283">
        <v>156</v>
      </c>
      <c r="G1283">
        <v>42575</v>
      </c>
      <c r="H1283">
        <v>43168</v>
      </c>
      <c r="I1283">
        <v>45292</v>
      </c>
      <c r="L1283" t="s">
        <v>45</v>
      </c>
      <c r="M1283" t="s">
        <v>335</v>
      </c>
      <c r="N1283" t="s">
        <v>127</v>
      </c>
      <c r="O1283" t="s">
        <v>336</v>
      </c>
      <c r="P1283" t="s">
        <v>49</v>
      </c>
      <c r="U1283" t="s">
        <v>3774</v>
      </c>
      <c r="W1283">
        <v>30002101800692</v>
      </c>
      <c r="X1283">
        <v>36566</v>
      </c>
      <c r="Y1283" t="s">
        <v>103</v>
      </c>
      <c r="AB1283">
        <v>1</v>
      </c>
      <c r="AF1283">
        <v>80</v>
      </c>
      <c r="AG1283">
        <v>178</v>
      </c>
      <c r="AH1283">
        <v>2</v>
      </c>
      <c r="AJ1283" t="s">
        <v>3775</v>
      </c>
    </row>
    <row r="1284" spans="1:39" ht="18.75" customHeight="1" x14ac:dyDescent="0.3">
      <c r="A1284" s="1">
        <v>2011135200580</v>
      </c>
      <c r="B1284" t="s">
        <v>75</v>
      </c>
      <c r="C1284" t="s">
        <v>3776</v>
      </c>
      <c r="D1284" t="s">
        <v>334</v>
      </c>
      <c r="E1284" t="s">
        <v>335</v>
      </c>
      <c r="F1284">
        <v>145</v>
      </c>
      <c r="G1284">
        <v>40558</v>
      </c>
      <c r="H1284">
        <v>41029</v>
      </c>
      <c r="I1284">
        <v>44654</v>
      </c>
      <c r="L1284" t="s">
        <v>771</v>
      </c>
      <c r="M1284" t="s">
        <v>335</v>
      </c>
      <c r="N1284" t="s">
        <v>127</v>
      </c>
      <c r="O1284" t="s">
        <v>3767</v>
      </c>
      <c r="P1284" t="s">
        <v>49</v>
      </c>
      <c r="R1284">
        <v>2</v>
      </c>
      <c r="U1284" t="s">
        <v>3777</v>
      </c>
      <c r="W1284">
        <v>29004211602435</v>
      </c>
      <c r="X1284">
        <v>32984</v>
      </c>
      <c r="Y1284" t="s">
        <v>338</v>
      </c>
      <c r="AB1284">
        <v>1</v>
      </c>
      <c r="AF1284">
        <v>74</v>
      </c>
      <c r="AG1284">
        <v>173</v>
      </c>
      <c r="AH1284">
        <v>1</v>
      </c>
      <c r="AJ1284" t="s">
        <v>3778</v>
      </c>
    </row>
    <row r="1285" spans="1:39" ht="18.75" customHeight="1" x14ac:dyDescent="0.3">
      <c r="A1285" s="1">
        <v>2017135200455</v>
      </c>
      <c r="B1285" t="s">
        <v>106</v>
      </c>
      <c r="C1285" t="s">
        <v>3779</v>
      </c>
      <c r="D1285" t="s">
        <v>334</v>
      </c>
      <c r="E1285" t="s">
        <v>335</v>
      </c>
      <c r="F1285">
        <v>175</v>
      </c>
      <c r="G1285">
        <v>42915</v>
      </c>
      <c r="H1285">
        <v>43663</v>
      </c>
      <c r="I1285">
        <v>45658</v>
      </c>
      <c r="L1285" t="s">
        <v>45</v>
      </c>
      <c r="M1285" t="s">
        <v>335</v>
      </c>
      <c r="N1285" t="s">
        <v>1172</v>
      </c>
      <c r="O1285" t="s">
        <v>336</v>
      </c>
      <c r="P1285" t="s">
        <v>49</v>
      </c>
      <c r="R1285">
        <v>2</v>
      </c>
      <c r="U1285" t="s">
        <v>3780</v>
      </c>
      <c r="W1285">
        <v>29611221800875</v>
      </c>
      <c r="X1285">
        <v>35391</v>
      </c>
      <c r="Y1285" t="s">
        <v>103</v>
      </c>
      <c r="AB1285">
        <v>2</v>
      </c>
      <c r="AF1285">
        <v>84</v>
      </c>
      <c r="AG1285">
        <v>183</v>
      </c>
      <c r="AH1285">
        <v>1</v>
      </c>
      <c r="AJ1285" t="s">
        <v>3781</v>
      </c>
    </row>
    <row r="1286" spans="1:39" ht="18.75" customHeight="1" x14ac:dyDescent="0.3">
      <c r="A1286" s="1">
        <v>2017135200463</v>
      </c>
      <c r="B1286" t="s">
        <v>106</v>
      </c>
      <c r="C1286" t="s">
        <v>3782</v>
      </c>
      <c r="D1286" t="s">
        <v>334</v>
      </c>
      <c r="E1286" t="s">
        <v>335</v>
      </c>
      <c r="F1286">
        <v>157</v>
      </c>
      <c r="G1286">
        <v>43645</v>
      </c>
      <c r="H1286">
        <v>43663</v>
      </c>
      <c r="I1286">
        <v>45658</v>
      </c>
      <c r="L1286" t="s">
        <v>45</v>
      </c>
      <c r="M1286" t="s">
        <v>335</v>
      </c>
      <c r="N1286" t="s">
        <v>127</v>
      </c>
      <c r="O1286" t="s">
        <v>336</v>
      </c>
      <c r="P1286" t="s">
        <v>49</v>
      </c>
      <c r="R1286">
        <v>3</v>
      </c>
      <c r="U1286" t="s">
        <v>3783</v>
      </c>
      <c r="W1286">
        <v>29707151800756</v>
      </c>
      <c r="X1286">
        <v>35626</v>
      </c>
      <c r="Y1286" t="s">
        <v>1392</v>
      </c>
      <c r="AF1286">
        <v>176</v>
      </c>
      <c r="AG1286">
        <v>78</v>
      </c>
      <c r="AH1286">
        <v>198</v>
      </c>
      <c r="AJ1286" t="s">
        <v>3784</v>
      </c>
    </row>
    <row r="1287" spans="1:39" ht="18.75" customHeight="1" x14ac:dyDescent="0.3">
      <c r="A1287" s="1">
        <v>2017135200744</v>
      </c>
      <c r="B1287" t="s">
        <v>106</v>
      </c>
      <c r="C1287" t="s">
        <v>3785</v>
      </c>
      <c r="D1287" t="s">
        <v>334</v>
      </c>
      <c r="E1287" t="s">
        <v>335</v>
      </c>
      <c r="F1287">
        <v>157</v>
      </c>
      <c r="G1287">
        <v>43645</v>
      </c>
      <c r="H1287">
        <v>43663</v>
      </c>
      <c r="I1287">
        <v>45658</v>
      </c>
      <c r="L1287" t="s">
        <v>45</v>
      </c>
      <c r="M1287" t="s">
        <v>335</v>
      </c>
      <c r="N1287" t="s">
        <v>127</v>
      </c>
      <c r="O1287" t="s">
        <v>336</v>
      </c>
      <c r="P1287" t="s">
        <v>49</v>
      </c>
      <c r="S1287">
        <v>1</v>
      </c>
      <c r="U1287" t="s">
        <v>3786</v>
      </c>
      <c r="W1287">
        <v>30008011709937</v>
      </c>
      <c r="X1287">
        <v>36739</v>
      </c>
      <c r="Y1287" t="s">
        <v>103</v>
      </c>
      <c r="AB1287">
        <v>1</v>
      </c>
      <c r="AF1287">
        <v>72</v>
      </c>
      <c r="AG1287">
        <v>178</v>
      </c>
      <c r="AH1287">
        <v>-6</v>
      </c>
      <c r="AJ1287" t="s">
        <v>3787</v>
      </c>
    </row>
    <row r="1288" spans="1:39" ht="18.75" customHeight="1" x14ac:dyDescent="0.3">
      <c r="A1288" s="1">
        <v>2013135202095</v>
      </c>
      <c r="B1288" t="s">
        <v>75</v>
      </c>
      <c r="C1288" t="s">
        <v>3788</v>
      </c>
      <c r="D1288" t="s">
        <v>334</v>
      </c>
      <c r="E1288" t="s">
        <v>335</v>
      </c>
      <c r="G1288">
        <v>41510</v>
      </c>
      <c r="H1288">
        <v>41982</v>
      </c>
      <c r="I1288">
        <v>45658</v>
      </c>
      <c r="L1288" t="s">
        <v>771</v>
      </c>
      <c r="M1288" t="s">
        <v>335</v>
      </c>
      <c r="N1288" t="s">
        <v>127</v>
      </c>
      <c r="O1288" t="s">
        <v>3562</v>
      </c>
      <c r="P1288" t="s">
        <v>49</v>
      </c>
      <c r="R1288">
        <v>5</v>
      </c>
      <c r="AH1288" t="s">
        <v>787</v>
      </c>
    </row>
    <row r="1289" spans="1:39" ht="18.75" customHeight="1" x14ac:dyDescent="0.3">
      <c r="A1289" s="1">
        <v>2018135200445</v>
      </c>
      <c r="B1289" t="s">
        <v>125</v>
      </c>
      <c r="C1289" t="s">
        <v>3789</v>
      </c>
      <c r="D1289" t="s">
        <v>334</v>
      </c>
      <c r="E1289" t="s">
        <v>335</v>
      </c>
      <c r="F1289">
        <v>158</v>
      </c>
      <c r="G1289">
        <v>43279</v>
      </c>
      <c r="H1289">
        <v>44117</v>
      </c>
      <c r="I1289">
        <v>44117</v>
      </c>
      <c r="L1289" t="s">
        <v>45</v>
      </c>
      <c r="M1289" t="s">
        <v>335</v>
      </c>
      <c r="N1289" t="s">
        <v>127</v>
      </c>
      <c r="O1289" t="s">
        <v>336</v>
      </c>
      <c r="P1289" t="s">
        <v>49</v>
      </c>
      <c r="R1289">
        <v>2</v>
      </c>
      <c r="U1289" t="s">
        <v>3790</v>
      </c>
      <c r="W1289">
        <v>30108131800797</v>
      </c>
      <c r="X1289">
        <v>37116</v>
      </c>
      <c r="Y1289" t="s">
        <v>767</v>
      </c>
      <c r="AF1289">
        <v>80</v>
      </c>
      <c r="AG1289">
        <v>185</v>
      </c>
      <c r="AH1289">
        <v>-5</v>
      </c>
      <c r="AJ1289" t="s">
        <v>3791</v>
      </c>
      <c r="AM1289" t="s">
        <v>3792</v>
      </c>
    </row>
    <row r="1290" spans="1:39" ht="18.75" customHeight="1" x14ac:dyDescent="0.3">
      <c r="A1290" s="1">
        <v>2012135200330</v>
      </c>
      <c r="B1290" t="s">
        <v>106</v>
      </c>
      <c r="C1290" t="s">
        <v>3793</v>
      </c>
      <c r="D1290" t="s">
        <v>334</v>
      </c>
      <c r="E1290" t="s">
        <v>335</v>
      </c>
      <c r="AH1290" t="s">
        <v>787</v>
      </c>
    </row>
    <row r="1291" spans="1:39" ht="18.75" customHeight="1" x14ac:dyDescent="0.3">
      <c r="A1291" s="1">
        <v>2014135201102</v>
      </c>
      <c r="B1291" t="s">
        <v>106</v>
      </c>
      <c r="C1291" t="s">
        <v>3794</v>
      </c>
      <c r="D1291" t="s">
        <v>334</v>
      </c>
      <c r="E1291" t="s">
        <v>335</v>
      </c>
      <c r="F1291">
        <v>151</v>
      </c>
      <c r="G1291">
        <v>41665</v>
      </c>
      <c r="H1291">
        <v>42135</v>
      </c>
      <c r="I1291">
        <v>44013</v>
      </c>
      <c r="L1291" t="s">
        <v>45</v>
      </c>
      <c r="M1291" t="s">
        <v>335</v>
      </c>
      <c r="N1291" t="s">
        <v>127</v>
      </c>
      <c r="O1291" t="s">
        <v>3795</v>
      </c>
      <c r="P1291" t="s">
        <v>49</v>
      </c>
      <c r="R1291">
        <v>2</v>
      </c>
      <c r="U1291" t="s">
        <v>3796</v>
      </c>
      <c r="W1291">
        <v>29002252800991</v>
      </c>
      <c r="X1291">
        <v>32929</v>
      </c>
      <c r="Y1291" t="s">
        <v>103</v>
      </c>
      <c r="AB1291">
        <v>1</v>
      </c>
      <c r="AF1291">
        <v>77</v>
      </c>
      <c r="AG1291">
        <v>175</v>
      </c>
      <c r="AH1291">
        <v>2</v>
      </c>
      <c r="AJ1291" t="s">
        <v>3642</v>
      </c>
    </row>
    <row r="1292" spans="1:39" ht="18.75" customHeight="1" x14ac:dyDescent="0.3">
      <c r="A1292" s="1">
        <v>2018135201691</v>
      </c>
      <c r="B1292" t="s">
        <v>125</v>
      </c>
      <c r="C1292" t="s">
        <v>3797</v>
      </c>
      <c r="D1292" t="s">
        <v>334</v>
      </c>
      <c r="E1292" t="s">
        <v>335</v>
      </c>
      <c r="F1292">
        <v>158</v>
      </c>
      <c r="G1292">
        <v>43279</v>
      </c>
      <c r="H1292">
        <v>44115</v>
      </c>
      <c r="I1292">
        <v>44115</v>
      </c>
      <c r="L1292" t="s">
        <v>45</v>
      </c>
      <c r="M1292" t="s">
        <v>335</v>
      </c>
      <c r="N1292" t="s">
        <v>127</v>
      </c>
      <c r="O1292" t="s">
        <v>336</v>
      </c>
      <c r="P1292" t="s">
        <v>49</v>
      </c>
      <c r="R1292">
        <v>2</v>
      </c>
      <c r="S1292">
        <v>1</v>
      </c>
      <c r="U1292" t="s">
        <v>3798</v>
      </c>
      <c r="W1292">
        <v>29911111703533</v>
      </c>
      <c r="X1292">
        <v>36475</v>
      </c>
      <c r="Y1292" t="s">
        <v>767</v>
      </c>
      <c r="AF1292">
        <v>77</v>
      </c>
      <c r="AG1292">
        <v>177</v>
      </c>
      <c r="AH1292">
        <v>0</v>
      </c>
      <c r="AJ1292" t="s">
        <v>3799</v>
      </c>
      <c r="AM1292" t="s">
        <v>3792</v>
      </c>
    </row>
    <row r="1293" spans="1:39" ht="18.75" customHeight="1" x14ac:dyDescent="0.3">
      <c r="A1293" s="1">
        <v>2015135201001</v>
      </c>
      <c r="B1293" t="s">
        <v>106</v>
      </c>
      <c r="C1293" t="s">
        <v>3800</v>
      </c>
      <c r="D1293" t="s">
        <v>334</v>
      </c>
      <c r="E1293" t="s">
        <v>335</v>
      </c>
      <c r="L1293" t="s">
        <v>45</v>
      </c>
      <c r="M1293" t="s">
        <v>335</v>
      </c>
      <c r="AH1293" t="s">
        <v>787</v>
      </c>
    </row>
    <row r="1294" spans="1:39" ht="18.75" customHeight="1" x14ac:dyDescent="0.3">
      <c r="A1294" s="1">
        <v>2015135201118</v>
      </c>
      <c r="B1294" t="s">
        <v>106</v>
      </c>
      <c r="C1294" t="s">
        <v>3801</v>
      </c>
      <c r="D1294" t="s">
        <v>334</v>
      </c>
      <c r="E1294" t="s">
        <v>335</v>
      </c>
      <c r="F1294">
        <v>154</v>
      </c>
      <c r="G1294">
        <v>42224</v>
      </c>
      <c r="H1294">
        <v>42790</v>
      </c>
      <c r="I1294">
        <v>44743</v>
      </c>
      <c r="L1294" t="s">
        <v>45</v>
      </c>
      <c r="M1294" t="s">
        <v>335</v>
      </c>
      <c r="N1294" t="s">
        <v>127</v>
      </c>
      <c r="O1294" t="s">
        <v>3767</v>
      </c>
      <c r="P1294" t="s">
        <v>49</v>
      </c>
      <c r="R1294">
        <v>1</v>
      </c>
      <c r="U1294" t="s">
        <v>3802</v>
      </c>
      <c r="W1294">
        <v>29602281802037</v>
      </c>
      <c r="X1294">
        <v>35123</v>
      </c>
      <c r="Y1294" t="s">
        <v>103</v>
      </c>
      <c r="AB1294">
        <v>1</v>
      </c>
      <c r="AF1294">
        <v>75</v>
      </c>
      <c r="AG1294">
        <v>173</v>
      </c>
      <c r="AH1294">
        <v>2</v>
      </c>
      <c r="AJ1294" t="s">
        <v>3803</v>
      </c>
    </row>
    <row r="1295" spans="1:39" ht="18.75" customHeight="1" x14ac:dyDescent="0.3">
      <c r="A1295" s="1">
        <v>2018135201948</v>
      </c>
      <c r="B1295" t="s">
        <v>106</v>
      </c>
      <c r="C1295" t="s">
        <v>3804</v>
      </c>
      <c r="D1295" t="s">
        <v>334</v>
      </c>
      <c r="E1295" t="s">
        <v>335</v>
      </c>
      <c r="F1295">
        <v>158</v>
      </c>
      <c r="G1295">
        <v>43279</v>
      </c>
      <c r="H1295">
        <v>44117</v>
      </c>
      <c r="I1295">
        <v>46023</v>
      </c>
      <c r="L1295" t="s">
        <v>45</v>
      </c>
      <c r="M1295" t="s">
        <v>335</v>
      </c>
      <c r="N1295" t="s">
        <v>127</v>
      </c>
      <c r="O1295" t="s">
        <v>336</v>
      </c>
      <c r="P1295" t="s">
        <v>49</v>
      </c>
      <c r="R1295">
        <v>1</v>
      </c>
      <c r="U1295" t="s">
        <v>3805</v>
      </c>
      <c r="W1295">
        <v>30103011508195</v>
      </c>
      <c r="X1295">
        <v>36951</v>
      </c>
      <c r="Y1295" t="s">
        <v>767</v>
      </c>
      <c r="AF1295">
        <v>80</v>
      </c>
      <c r="AG1295">
        <v>177</v>
      </c>
      <c r="AH1295">
        <v>3</v>
      </c>
      <c r="AJ1295" t="s">
        <v>3481</v>
      </c>
      <c r="AM1295" t="s">
        <v>3792</v>
      </c>
    </row>
    <row r="1296" spans="1:39" ht="18.75" customHeight="1" x14ac:dyDescent="0.3">
      <c r="A1296" s="1">
        <v>2021135200422</v>
      </c>
      <c r="B1296" t="s">
        <v>125</v>
      </c>
      <c r="C1296" t="s">
        <v>3806</v>
      </c>
      <c r="D1296" t="s">
        <v>334</v>
      </c>
      <c r="E1296" t="s">
        <v>335</v>
      </c>
      <c r="F1296">
        <v>160</v>
      </c>
      <c r="G1296">
        <v>44205</v>
      </c>
      <c r="H1296">
        <v>45197</v>
      </c>
      <c r="I1296">
        <v>45197</v>
      </c>
      <c r="L1296" t="s">
        <v>45</v>
      </c>
      <c r="M1296" t="s">
        <v>335</v>
      </c>
      <c r="N1296" t="s">
        <v>127</v>
      </c>
      <c r="O1296" t="s">
        <v>336</v>
      </c>
      <c r="P1296" t="s">
        <v>49</v>
      </c>
      <c r="R1296">
        <v>3</v>
      </c>
      <c r="U1296" t="s">
        <v>3807</v>
      </c>
      <c r="W1296">
        <v>30302011300678</v>
      </c>
      <c r="X1296">
        <v>37653</v>
      </c>
      <c r="Y1296" t="s">
        <v>767</v>
      </c>
      <c r="AF1296">
        <v>100</v>
      </c>
      <c r="AG1296">
        <v>193</v>
      </c>
      <c r="AH1296">
        <v>7</v>
      </c>
      <c r="AJ1296" t="s">
        <v>3808</v>
      </c>
    </row>
    <row r="1297" spans="1:40" ht="18.75" customHeight="1" x14ac:dyDescent="0.3">
      <c r="A1297" s="1">
        <v>2021135200505</v>
      </c>
      <c r="B1297" t="s">
        <v>125</v>
      </c>
      <c r="C1297" t="s">
        <v>3809</v>
      </c>
      <c r="D1297" t="s">
        <v>334</v>
      </c>
      <c r="E1297" t="s">
        <v>335</v>
      </c>
      <c r="F1297">
        <v>160</v>
      </c>
      <c r="G1297">
        <v>44205</v>
      </c>
      <c r="H1297">
        <v>45197</v>
      </c>
      <c r="I1297">
        <v>45197</v>
      </c>
      <c r="L1297" t="s">
        <v>45</v>
      </c>
      <c r="M1297" t="s">
        <v>335</v>
      </c>
      <c r="N1297" t="s">
        <v>127</v>
      </c>
      <c r="O1297" t="s">
        <v>336</v>
      </c>
      <c r="P1297" t="s">
        <v>49</v>
      </c>
      <c r="U1297" t="s">
        <v>3810</v>
      </c>
      <c r="W1297">
        <v>30004021301892</v>
      </c>
      <c r="X1297">
        <v>36618</v>
      </c>
      <c r="Y1297" t="s">
        <v>767</v>
      </c>
      <c r="AF1297">
        <v>78</v>
      </c>
      <c r="AG1297">
        <v>185</v>
      </c>
      <c r="AH1297">
        <v>-7</v>
      </c>
      <c r="AJ1297" t="s">
        <v>3808</v>
      </c>
    </row>
    <row r="1298" spans="1:40" ht="18.75" customHeight="1" x14ac:dyDescent="0.3">
      <c r="A1298" s="1">
        <v>2015135202041</v>
      </c>
      <c r="B1298" t="s">
        <v>106</v>
      </c>
      <c r="C1298" t="s">
        <v>3811</v>
      </c>
      <c r="D1298" t="s">
        <v>334</v>
      </c>
      <c r="E1298" t="s">
        <v>335</v>
      </c>
      <c r="F1298">
        <v>156</v>
      </c>
      <c r="G1298">
        <v>42224</v>
      </c>
      <c r="H1298">
        <v>42917</v>
      </c>
      <c r="I1298">
        <v>44927</v>
      </c>
      <c r="L1298" t="s">
        <v>45</v>
      </c>
      <c r="M1298" t="s">
        <v>335</v>
      </c>
      <c r="N1298" t="s">
        <v>127</v>
      </c>
      <c r="O1298" t="s">
        <v>3795</v>
      </c>
      <c r="P1298" t="s">
        <v>49</v>
      </c>
      <c r="R1298">
        <v>2</v>
      </c>
      <c r="U1298" t="s">
        <v>3812</v>
      </c>
      <c r="W1298">
        <v>29801112800818</v>
      </c>
      <c r="X1298">
        <v>35806</v>
      </c>
      <c r="Y1298" t="s">
        <v>1392</v>
      </c>
      <c r="AF1298">
        <v>75</v>
      </c>
      <c r="AG1298">
        <v>173</v>
      </c>
      <c r="AH1298">
        <v>2</v>
      </c>
      <c r="AJ1298" t="s">
        <v>3813</v>
      </c>
    </row>
    <row r="1299" spans="1:40" ht="18.75" customHeight="1" x14ac:dyDescent="0.3">
      <c r="A1299" s="1">
        <v>2015135202661</v>
      </c>
      <c r="B1299" t="s">
        <v>106</v>
      </c>
      <c r="C1299" t="s">
        <v>3814</v>
      </c>
      <c r="D1299" t="s">
        <v>334</v>
      </c>
      <c r="E1299" t="s">
        <v>335</v>
      </c>
      <c r="F1299">
        <v>154</v>
      </c>
      <c r="G1299">
        <v>42224</v>
      </c>
      <c r="H1299">
        <v>42790</v>
      </c>
      <c r="I1299">
        <v>44743</v>
      </c>
      <c r="L1299" t="s">
        <v>45</v>
      </c>
      <c r="M1299" t="s">
        <v>335</v>
      </c>
      <c r="N1299" t="s">
        <v>127</v>
      </c>
      <c r="O1299" t="s">
        <v>3795</v>
      </c>
      <c r="P1299" t="s">
        <v>49</v>
      </c>
      <c r="R1299">
        <v>3</v>
      </c>
      <c r="U1299" t="s">
        <v>3815</v>
      </c>
      <c r="W1299">
        <v>29803062800512</v>
      </c>
      <c r="X1299">
        <v>35860</v>
      </c>
      <c r="Y1299" t="s">
        <v>103</v>
      </c>
      <c r="AF1299">
        <v>73</v>
      </c>
      <c r="AG1299">
        <v>174</v>
      </c>
      <c r="AH1299">
        <v>-1</v>
      </c>
      <c r="AJ1299" t="s">
        <v>1565</v>
      </c>
    </row>
    <row r="1300" spans="1:40" ht="18.75" customHeight="1" x14ac:dyDescent="0.3">
      <c r="A1300" s="1">
        <v>2015135202819</v>
      </c>
      <c r="B1300" t="s">
        <v>106</v>
      </c>
      <c r="C1300" t="s">
        <v>3816</v>
      </c>
      <c r="D1300" t="s">
        <v>334</v>
      </c>
      <c r="E1300" t="s">
        <v>335</v>
      </c>
      <c r="F1300">
        <v>154</v>
      </c>
      <c r="G1300">
        <v>42224</v>
      </c>
      <c r="H1300">
        <v>42790</v>
      </c>
      <c r="I1300">
        <v>44743</v>
      </c>
      <c r="L1300" t="s">
        <v>45</v>
      </c>
      <c r="M1300" t="s">
        <v>335</v>
      </c>
      <c r="N1300" t="s">
        <v>127</v>
      </c>
      <c r="O1300" t="s">
        <v>3795</v>
      </c>
      <c r="P1300" t="s">
        <v>49</v>
      </c>
      <c r="R1300">
        <v>1</v>
      </c>
      <c r="U1300" t="s">
        <v>3817</v>
      </c>
      <c r="W1300">
        <v>29806102800111</v>
      </c>
      <c r="X1300">
        <v>35956</v>
      </c>
      <c r="Y1300" t="s">
        <v>1392</v>
      </c>
      <c r="AF1300">
        <v>80</v>
      </c>
      <c r="AG1300">
        <v>175</v>
      </c>
      <c r="AH1300">
        <v>5</v>
      </c>
      <c r="AJ1300" t="s">
        <v>3818</v>
      </c>
    </row>
    <row r="1301" spans="1:40" ht="18.75" customHeight="1" x14ac:dyDescent="0.3">
      <c r="A1301" s="1">
        <v>2016135200233</v>
      </c>
      <c r="B1301" t="s">
        <v>106</v>
      </c>
      <c r="C1301" t="s">
        <v>3819</v>
      </c>
      <c r="D1301" t="s">
        <v>334</v>
      </c>
      <c r="E1301" t="s">
        <v>335</v>
      </c>
      <c r="F1301">
        <v>156</v>
      </c>
      <c r="G1301">
        <v>42575</v>
      </c>
      <c r="H1301">
        <v>43321</v>
      </c>
      <c r="I1301">
        <v>43321</v>
      </c>
      <c r="L1301" t="s">
        <v>45</v>
      </c>
      <c r="M1301" t="s">
        <v>335</v>
      </c>
      <c r="N1301" t="s">
        <v>127</v>
      </c>
      <c r="O1301" t="s">
        <v>3795</v>
      </c>
      <c r="P1301" t="s">
        <v>49</v>
      </c>
      <c r="R1301">
        <v>2</v>
      </c>
      <c r="U1301" t="s">
        <v>3820</v>
      </c>
      <c r="W1301">
        <v>29806142800512</v>
      </c>
      <c r="X1301">
        <v>36052</v>
      </c>
      <c r="Y1301" t="s">
        <v>103</v>
      </c>
      <c r="AB1301">
        <v>1</v>
      </c>
      <c r="AF1301">
        <v>74</v>
      </c>
      <c r="AG1301">
        <v>176</v>
      </c>
      <c r="AH1301">
        <v>-2</v>
      </c>
      <c r="AJ1301" t="s">
        <v>3821</v>
      </c>
    </row>
    <row r="1302" spans="1:40" ht="18.75" customHeight="1" x14ac:dyDescent="0.3">
      <c r="A1302" s="1">
        <v>2016135200564</v>
      </c>
      <c r="B1302" t="s">
        <v>106</v>
      </c>
      <c r="C1302" t="s">
        <v>3822</v>
      </c>
      <c r="D1302" t="s">
        <v>334</v>
      </c>
      <c r="E1302" t="s">
        <v>335</v>
      </c>
      <c r="F1302">
        <v>156</v>
      </c>
      <c r="G1302">
        <v>42575</v>
      </c>
      <c r="H1302">
        <v>43321</v>
      </c>
      <c r="I1302">
        <v>45292</v>
      </c>
      <c r="L1302" t="s">
        <v>45</v>
      </c>
      <c r="M1302" t="s">
        <v>335</v>
      </c>
      <c r="N1302" t="s">
        <v>127</v>
      </c>
      <c r="O1302" t="s">
        <v>3795</v>
      </c>
      <c r="P1302" t="s">
        <v>49</v>
      </c>
      <c r="U1302" t="s">
        <v>3823</v>
      </c>
      <c r="W1302">
        <v>29701082800171</v>
      </c>
      <c r="X1302">
        <v>35438</v>
      </c>
      <c r="Y1302" t="s">
        <v>767</v>
      </c>
      <c r="AF1302">
        <v>76</v>
      </c>
      <c r="AG1302">
        <v>173</v>
      </c>
      <c r="AH1302">
        <v>3</v>
      </c>
      <c r="AJ1302" t="s">
        <v>3824</v>
      </c>
    </row>
    <row r="1303" spans="1:40" ht="18.75" customHeight="1" x14ac:dyDescent="0.3">
      <c r="A1303" s="1">
        <v>2016135200928</v>
      </c>
      <c r="B1303" t="s">
        <v>106</v>
      </c>
      <c r="C1303" t="s">
        <v>3825</v>
      </c>
      <c r="D1303" t="s">
        <v>334</v>
      </c>
      <c r="E1303" t="s">
        <v>335</v>
      </c>
      <c r="F1303">
        <v>156</v>
      </c>
      <c r="G1303">
        <v>42575</v>
      </c>
      <c r="H1303">
        <v>43321</v>
      </c>
      <c r="I1303">
        <v>45292</v>
      </c>
      <c r="L1303" t="s">
        <v>45</v>
      </c>
      <c r="M1303" t="s">
        <v>335</v>
      </c>
      <c r="N1303" t="s">
        <v>127</v>
      </c>
      <c r="O1303" t="s">
        <v>3795</v>
      </c>
      <c r="P1303" t="s">
        <v>49</v>
      </c>
      <c r="R1303">
        <v>3</v>
      </c>
      <c r="U1303" t="s">
        <v>3826</v>
      </c>
      <c r="W1303">
        <v>2911112800937</v>
      </c>
      <c r="X1303">
        <v>35745</v>
      </c>
      <c r="Y1303" t="s">
        <v>103</v>
      </c>
      <c r="AF1303">
        <v>77</v>
      </c>
      <c r="AG1303">
        <v>178</v>
      </c>
      <c r="AH1303">
        <v>-1</v>
      </c>
      <c r="AJ1303" t="s">
        <v>3827</v>
      </c>
    </row>
    <row r="1304" spans="1:40" ht="18.75" customHeight="1" x14ac:dyDescent="0.3">
      <c r="A1304" s="1">
        <v>2016135201033</v>
      </c>
      <c r="B1304" t="s">
        <v>106</v>
      </c>
      <c r="C1304" t="s">
        <v>3828</v>
      </c>
      <c r="D1304" t="s">
        <v>334</v>
      </c>
      <c r="E1304" t="s">
        <v>335</v>
      </c>
      <c r="F1304">
        <v>156</v>
      </c>
      <c r="G1304">
        <v>42575</v>
      </c>
      <c r="H1304">
        <v>43321</v>
      </c>
      <c r="I1304">
        <v>45292</v>
      </c>
      <c r="L1304" t="s">
        <v>45</v>
      </c>
      <c r="M1304" t="s">
        <v>335</v>
      </c>
      <c r="N1304" t="s">
        <v>127</v>
      </c>
      <c r="O1304" t="s">
        <v>3795</v>
      </c>
      <c r="P1304" t="s">
        <v>49</v>
      </c>
      <c r="R1304">
        <v>3</v>
      </c>
      <c r="U1304" t="s">
        <v>3829</v>
      </c>
      <c r="W1304">
        <v>2970913200659</v>
      </c>
      <c r="X1304">
        <v>35686</v>
      </c>
      <c r="Y1304" t="s">
        <v>103</v>
      </c>
      <c r="AF1304">
        <v>78</v>
      </c>
      <c r="AG1304">
        <v>174</v>
      </c>
      <c r="AH1304">
        <v>4</v>
      </c>
      <c r="AJ1304" t="s">
        <v>3830</v>
      </c>
    </row>
    <row r="1305" spans="1:40" ht="18.75" customHeight="1" x14ac:dyDescent="0.3">
      <c r="A1305" s="1">
        <v>2016135201041</v>
      </c>
      <c r="B1305" t="s">
        <v>106</v>
      </c>
      <c r="C1305" t="s">
        <v>3831</v>
      </c>
      <c r="D1305" t="s">
        <v>334</v>
      </c>
      <c r="E1305" t="s">
        <v>335</v>
      </c>
      <c r="F1305">
        <v>156</v>
      </c>
      <c r="G1305">
        <v>42575</v>
      </c>
      <c r="H1305">
        <v>43321</v>
      </c>
      <c r="I1305">
        <v>45292</v>
      </c>
      <c r="L1305" t="s">
        <v>45</v>
      </c>
      <c r="M1305" t="s">
        <v>335</v>
      </c>
      <c r="N1305" t="s">
        <v>127</v>
      </c>
      <c r="O1305" t="s">
        <v>3795</v>
      </c>
      <c r="P1305" t="s">
        <v>49</v>
      </c>
      <c r="R1305">
        <v>6</v>
      </c>
      <c r="U1305" t="s">
        <v>3832</v>
      </c>
      <c r="W1305">
        <v>29909012803696</v>
      </c>
      <c r="X1305">
        <v>36404</v>
      </c>
      <c r="Y1305" t="s">
        <v>767</v>
      </c>
      <c r="AF1305">
        <v>77</v>
      </c>
      <c r="AG1305">
        <v>174</v>
      </c>
      <c r="AH1305">
        <v>3</v>
      </c>
      <c r="AJ1305" t="s">
        <v>3757</v>
      </c>
    </row>
    <row r="1306" spans="1:40" ht="18.75" customHeight="1" x14ac:dyDescent="0.3">
      <c r="A1306" s="1">
        <v>2021135201272</v>
      </c>
      <c r="B1306" t="s">
        <v>125</v>
      </c>
      <c r="C1306" t="s">
        <v>3833</v>
      </c>
      <c r="D1306" t="s">
        <v>334</v>
      </c>
      <c r="E1306" t="s">
        <v>335</v>
      </c>
      <c r="F1306">
        <v>161</v>
      </c>
      <c r="G1306">
        <v>44556</v>
      </c>
      <c r="H1306">
        <v>45566</v>
      </c>
      <c r="I1306">
        <v>45566</v>
      </c>
      <c r="L1306" t="s">
        <v>45</v>
      </c>
      <c r="M1306" t="s">
        <v>335</v>
      </c>
      <c r="N1306" t="s">
        <v>127</v>
      </c>
      <c r="O1306" t="s">
        <v>336</v>
      </c>
      <c r="P1306" t="s">
        <v>49</v>
      </c>
      <c r="U1306" t="s">
        <v>3834</v>
      </c>
      <c r="W1306">
        <v>30212032601474</v>
      </c>
      <c r="X1306">
        <v>37593</v>
      </c>
      <c r="Y1306" t="s">
        <v>767</v>
      </c>
      <c r="AF1306">
        <v>68</v>
      </c>
      <c r="AG1306">
        <v>172</v>
      </c>
      <c r="AH1306">
        <v>-4</v>
      </c>
      <c r="AJ1306" t="s">
        <v>3808</v>
      </c>
    </row>
    <row r="1307" spans="1:40" ht="18.75" customHeight="1" x14ac:dyDescent="0.3">
      <c r="A1307" s="1">
        <v>2017131802916</v>
      </c>
      <c r="B1307" t="s">
        <v>106</v>
      </c>
      <c r="C1307" t="s">
        <v>3835</v>
      </c>
      <c r="D1307" t="s">
        <v>334</v>
      </c>
      <c r="E1307" t="s">
        <v>335</v>
      </c>
      <c r="F1307">
        <v>175</v>
      </c>
      <c r="G1307">
        <v>42915</v>
      </c>
      <c r="H1307">
        <v>44394</v>
      </c>
      <c r="I1307">
        <v>46023</v>
      </c>
      <c r="L1307" t="s">
        <v>45</v>
      </c>
      <c r="M1307" t="s">
        <v>46</v>
      </c>
      <c r="N1307" t="s">
        <v>127</v>
      </c>
      <c r="O1307" t="s">
        <v>727</v>
      </c>
      <c r="P1307" t="s">
        <v>49</v>
      </c>
      <c r="S1307">
        <v>1</v>
      </c>
      <c r="U1307" t="s">
        <v>3836</v>
      </c>
      <c r="W1307">
        <v>29810011811354</v>
      </c>
      <c r="X1307">
        <v>36069</v>
      </c>
      <c r="Y1307" t="s">
        <v>103</v>
      </c>
      <c r="AB1307">
        <v>2</v>
      </c>
      <c r="AF1307">
        <v>70</v>
      </c>
      <c r="AG1307">
        <v>174</v>
      </c>
      <c r="AH1307">
        <v>-4</v>
      </c>
      <c r="AJ1307" t="s">
        <v>3775</v>
      </c>
    </row>
    <row r="1308" spans="1:40" ht="18.75" customHeight="1" x14ac:dyDescent="0.3">
      <c r="A1308" s="1">
        <v>2017132400743</v>
      </c>
      <c r="B1308" t="s">
        <v>106</v>
      </c>
      <c r="C1308" t="s">
        <v>3837</v>
      </c>
      <c r="D1308" t="s">
        <v>334</v>
      </c>
      <c r="E1308" t="s">
        <v>335</v>
      </c>
      <c r="F1308">
        <v>175</v>
      </c>
      <c r="G1308">
        <v>42915</v>
      </c>
      <c r="H1308">
        <v>43663</v>
      </c>
      <c r="I1308">
        <v>42915</v>
      </c>
      <c r="L1308" t="s">
        <v>45</v>
      </c>
      <c r="M1308" t="s">
        <v>335</v>
      </c>
      <c r="N1308" t="s">
        <v>1172</v>
      </c>
      <c r="O1308" t="s">
        <v>1173</v>
      </c>
      <c r="P1308" t="s">
        <v>49</v>
      </c>
      <c r="U1308" t="s">
        <v>3838</v>
      </c>
      <c r="W1308">
        <v>29601291201078</v>
      </c>
      <c r="X1308">
        <v>35093</v>
      </c>
      <c r="Y1308" t="s">
        <v>103</v>
      </c>
      <c r="AB1308">
        <v>1</v>
      </c>
      <c r="AF1308">
        <v>80</v>
      </c>
      <c r="AG1308">
        <v>172</v>
      </c>
      <c r="AH1308">
        <v>8</v>
      </c>
      <c r="AJ1308" t="s">
        <v>3839</v>
      </c>
    </row>
    <row r="1309" spans="1:40" ht="18.75" customHeight="1" x14ac:dyDescent="0.3">
      <c r="A1309" s="1">
        <v>2023138305952</v>
      </c>
      <c r="B1309" t="s">
        <v>125</v>
      </c>
      <c r="C1309" t="s">
        <v>3840</v>
      </c>
      <c r="D1309" t="s">
        <v>334</v>
      </c>
      <c r="E1309" t="s">
        <v>335</v>
      </c>
      <c r="F1309">
        <v>162</v>
      </c>
      <c r="G1309">
        <v>44941</v>
      </c>
      <c r="H1309">
        <v>45976</v>
      </c>
      <c r="I1309">
        <v>45925</v>
      </c>
      <c r="L1309" t="s">
        <v>45</v>
      </c>
      <c r="M1309" t="s">
        <v>335</v>
      </c>
      <c r="N1309" t="s">
        <v>127</v>
      </c>
      <c r="O1309" t="s">
        <v>336</v>
      </c>
      <c r="P1309" t="s">
        <v>49</v>
      </c>
      <c r="U1309" t="s">
        <v>3841</v>
      </c>
      <c r="W1309">
        <v>30501101603273</v>
      </c>
      <c r="X1309">
        <v>38362</v>
      </c>
      <c r="Y1309" t="s">
        <v>767</v>
      </c>
      <c r="AF1309">
        <v>80</v>
      </c>
      <c r="AG1309">
        <v>180</v>
      </c>
      <c r="AH1309">
        <v>0</v>
      </c>
      <c r="AJ1309" t="s">
        <v>3808</v>
      </c>
    </row>
    <row r="1310" spans="1:40" ht="18.75" customHeight="1" x14ac:dyDescent="0.3">
      <c r="A1310" s="1">
        <v>2023138308146</v>
      </c>
      <c r="B1310" t="s">
        <v>125</v>
      </c>
      <c r="C1310" t="s">
        <v>3842</v>
      </c>
      <c r="D1310" t="s">
        <v>334</v>
      </c>
      <c r="E1310" t="s">
        <v>335</v>
      </c>
      <c r="F1310">
        <v>162</v>
      </c>
      <c r="G1310">
        <v>44941</v>
      </c>
      <c r="H1310">
        <v>45976</v>
      </c>
      <c r="I1310">
        <v>45976</v>
      </c>
      <c r="L1310" t="s">
        <v>45</v>
      </c>
      <c r="M1310" t="s">
        <v>335</v>
      </c>
      <c r="N1310" t="s">
        <v>127</v>
      </c>
      <c r="O1310" t="s">
        <v>336</v>
      </c>
      <c r="P1310" t="s">
        <v>49</v>
      </c>
      <c r="U1310" t="s">
        <v>3843</v>
      </c>
      <c r="W1310">
        <v>30104031601252</v>
      </c>
      <c r="X1310">
        <v>36984</v>
      </c>
      <c r="Y1310" t="s">
        <v>767</v>
      </c>
      <c r="AF1310">
        <v>75</v>
      </c>
      <c r="AG1310">
        <v>185</v>
      </c>
      <c r="AH1310">
        <v>-10</v>
      </c>
      <c r="AJ1310" t="s">
        <v>3481</v>
      </c>
    </row>
    <row r="1311" spans="1:40" ht="18.75" customHeight="1" x14ac:dyDescent="0.3">
      <c r="A1311" s="1">
        <v>1998135200695</v>
      </c>
      <c r="B1311" t="s">
        <v>210</v>
      </c>
      <c r="C1311" t="s">
        <v>3844</v>
      </c>
      <c r="D1311" t="s">
        <v>3845</v>
      </c>
      <c r="E1311" t="s">
        <v>335</v>
      </c>
      <c r="F1311">
        <v>120</v>
      </c>
      <c r="G1311">
        <v>36022</v>
      </c>
      <c r="H1311">
        <v>36494</v>
      </c>
      <c r="I1311">
        <v>44562</v>
      </c>
      <c r="J1311">
        <v>43684</v>
      </c>
      <c r="L1311" t="s">
        <v>135</v>
      </c>
      <c r="M1311" t="s">
        <v>335</v>
      </c>
      <c r="N1311" t="s">
        <v>127</v>
      </c>
      <c r="O1311" t="s">
        <v>336</v>
      </c>
      <c r="P1311" t="s">
        <v>49</v>
      </c>
      <c r="R1311">
        <v>37</v>
      </c>
      <c r="S1311">
        <v>7</v>
      </c>
      <c r="U1311" t="s">
        <v>3846</v>
      </c>
      <c r="V1311" t="s">
        <v>3847</v>
      </c>
      <c r="W1311">
        <v>28003190201257</v>
      </c>
      <c r="X1311">
        <v>29299</v>
      </c>
      <c r="Y1311" t="s">
        <v>103</v>
      </c>
      <c r="AE1311">
        <v>68</v>
      </c>
      <c r="AF1311">
        <v>170</v>
      </c>
      <c r="AG1311">
        <v>-2</v>
      </c>
      <c r="AN1311" t="s">
        <v>145</v>
      </c>
    </row>
    <row r="1312" spans="1:40" ht="18.75" customHeight="1" x14ac:dyDescent="0.3">
      <c r="A1312" s="1">
        <v>2004135200014</v>
      </c>
      <c r="B1312" t="s">
        <v>210</v>
      </c>
      <c r="C1312" t="s">
        <v>3848</v>
      </c>
      <c r="D1312" t="s">
        <v>3845</v>
      </c>
      <c r="E1312" t="s">
        <v>335</v>
      </c>
      <c r="F1312">
        <v>131</v>
      </c>
      <c r="G1312">
        <v>38003</v>
      </c>
      <c r="H1312">
        <v>38474</v>
      </c>
      <c r="I1312">
        <v>44378</v>
      </c>
      <c r="J1312">
        <v>44511</v>
      </c>
      <c r="L1312" t="s">
        <v>135</v>
      </c>
      <c r="M1312" t="s">
        <v>335</v>
      </c>
      <c r="N1312" t="s">
        <v>127</v>
      </c>
      <c r="O1312" t="s">
        <v>336</v>
      </c>
      <c r="P1312" t="s">
        <v>49</v>
      </c>
      <c r="R1312">
        <v>7</v>
      </c>
      <c r="S1312">
        <v>0</v>
      </c>
      <c r="U1312" t="s">
        <v>3849</v>
      </c>
      <c r="V1312" t="s">
        <v>3850</v>
      </c>
      <c r="W1312">
        <v>28603101304576</v>
      </c>
      <c r="X1312">
        <v>31481</v>
      </c>
      <c r="Y1312" t="s">
        <v>103</v>
      </c>
      <c r="AE1312">
        <v>70</v>
      </c>
      <c r="AF1312">
        <v>177</v>
      </c>
      <c r="AG1312">
        <v>-7</v>
      </c>
      <c r="AN1312" t="s">
        <v>145</v>
      </c>
    </row>
    <row r="1313" spans="1:40" ht="18.75" customHeight="1" x14ac:dyDescent="0.3">
      <c r="A1313" s="1">
        <v>2017135202972</v>
      </c>
      <c r="B1313" t="s">
        <v>106</v>
      </c>
      <c r="C1313" t="s">
        <v>3851</v>
      </c>
      <c r="D1313" t="s">
        <v>334</v>
      </c>
      <c r="E1313" t="s">
        <v>335</v>
      </c>
      <c r="F1313">
        <v>157</v>
      </c>
      <c r="G1313">
        <v>42915</v>
      </c>
      <c r="H1313">
        <v>42933</v>
      </c>
      <c r="I1313">
        <v>45658</v>
      </c>
      <c r="L1313" t="s">
        <v>45</v>
      </c>
      <c r="M1313" t="s">
        <v>335</v>
      </c>
      <c r="N1313" t="s">
        <v>127</v>
      </c>
      <c r="O1313" t="s">
        <v>3795</v>
      </c>
      <c r="P1313" t="s">
        <v>49</v>
      </c>
      <c r="R1313">
        <v>3</v>
      </c>
      <c r="U1313" t="s">
        <v>3852</v>
      </c>
      <c r="W1313">
        <v>29307150103751</v>
      </c>
      <c r="X1313">
        <v>34165</v>
      </c>
      <c r="Y1313" t="s">
        <v>103</v>
      </c>
      <c r="AB1313">
        <v>1</v>
      </c>
      <c r="AF1313">
        <v>75</v>
      </c>
      <c r="AG1313">
        <v>177</v>
      </c>
      <c r="AH1313">
        <v>-2</v>
      </c>
      <c r="AJ1313" t="s">
        <v>3853</v>
      </c>
    </row>
    <row r="1314" spans="1:40" ht="18.75" customHeight="1" x14ac:dyDescent="0.3">
      <c r="A1314" s="1">
        <v>2017135203079</v>
      </c>
      <c r="B1314" t="s">
        <v>125</v>
      </c>
      <c r="C1314" t="s">
        <v>3854</v>
      </c>
      <c r="D1314" t="s">
        <v>334</v>
      </c>
      <c r="E1314" t="s">
        <v>335</v>
      </c>
      <c r="F1314">
        <v>157</v>
      </c>
      <c r="G1314">
        <v>42915</v>
      </c>
      <c r="H1314">
        <v>43663</v>
      </c>
      <c r="I1314">
        <v>43663</v>
      </c>
      <c r="L1314" t="s">
        <v>45</v>
      </c>
      <c r="M1314" t="s">
        <v>335</v>
      </c>
      <c r="N1314" t="s">
        <v>127</v>
      </c>
      <c r="O1314" t="s">
        <v>3855</v>
      </c>
      <c r="P1314" t="s">
        <v>49</v>
      </c>
      <c r="R1314">
        <v>3</v>
      </c>
      <c r="S1314">
        <v>1</v>
      </c>
      <c r="U1314" t="s">
        <v>3856</v>
      </c>
      <c r="W1314">
        <v>29810172800476</v>
      </c>
      <c r="X1314">
        <v>36085</v>
      </c>
      <c r="Y1314" t="s">
        <v>767</v>
      </c>
      <c r="AF1314">
        <v>73</v>
      </c>
      <c r="AG1314">
        <v>176</v>
      </c>
      <c r="AH1314">
        <v>-3</v>
      </c>
      <c r="AJ1314" t="s">
        <v>3808</v>
      </c>
    </row>
    <row r="1315" spans="1:40" ht="18.75" customHeight="1" x14ac:dyDescent="0.3">
      <c r="A1315" s="1">
        <v>2017135203235</v>
      </c>
      <c r="B1315" t="s">
        <v>106</v>
      </c>
      <c r="C1315" t="s">
        <v>3857</v>
      </c>
      <c r="D1315" t="s">
        <v>334</v>
      </c>
      <c r="E1315" t="s">
        <v>335</v>
      </c>
      <c r="F1315">
        <v>157</v>
      </c>
      <c r="G1315">
        <v>42915</v>
      </c>
      <c r="H1315">
        <v>43663</v>
      </c>
      <c r="I1315">
        <v>43663</v>
      </c>
      <c r="L1315" t="s">
        <v>45</v>
      </c>
      <c r="M1315" t="s">
        <v>335</v>
      </c>
      <c r="N1315" t="s">
        <v>127</v>
      </c>
      <c r="O1315" t="s">
        <v>3855</v>
      </c>
      <c r="P1315" t="s">
        <v>49</v>
      </c>
      <c r="R1315">
        <v>2</v>
      </c>
      <c r="S1315">
        <v>5</v>
      </c>
      <c r="U1315" t="s">
        <v>3858</v>
      </c>
      <c r="W1315">
        <v>29808082706875</v>
      </c>
      <c r="X1315">
        <v>36015</v>
      </c>
      <c r="Y1315" t="s">
        <v>767</v>
      </c>
      <c r="AB1315">
        <v>1</v>
      </c>
      <c r="AF1315">
        <v>72</v>
      </c>
      <c r="AG1315">
        <v>174</v>
      </c>
      <c r="AH1315">
        <v>-2</v>
      </c>
      <c r="AJ1315" t="s">
        <v>3859</v>
      </c>
    </row>
    <row r="1316" spans="1:40" ht="18.75" customHeight="1" x14ac:dyDescent="0.3">
      <c r="A1316" s="1">
        <v>2018130400082</v>
      </c>
      <c r="B1316" t="s">
        <v>106</v>
      </c>
      <c r="C1316" t="s">
        <v>3860</v>
      </c>
      <c r="D1316" t="s">
        <v>334</v>
      </c>
      <c r="E1316" t="s">
        <v>335</v>
      </c>
      <c r="F1316">
        <v>158</v>
      </c>
      <c r="G1316">
        <v>43279</v>
      </c>
      <c r="H1316">
        <v>44117</v>
      </c>
      <c r="I1316">
        <v>46023</v>
      </c>
      <c r="L1316" t="s">
        <v>45</v>
      </c>
      <c r="M1316" t="s">
        <v>335</v>
      </c>
      <c r="N1316" t="s">
        <v>127</v>
      </c>
      <c r="O1316" t="s">
        <v>1469</v>
      </c>
      <c r="P1316" t="s">
        <v>49</v>
      </c>
      <c r="R1316">
        <v>1</v>
      </c>
      <c r="U1316" t="s">
        <v>3861</v>
      </c>
      <c r="W1316">
        <v>30111201400997</v>
      </c>
      <c r="X1316">
        <v>37215</v>
      </c>
      <c r="Y1316" t="s">
        <v>767</v>
      </c>
      <c r="AF1316">
        <v>65</v>
      </c>
      <c r="AG1316">
        <v>168</v>
      </c>
      <c r="AH1316">
        <v>-3</v>
      </c>
      <c r="AJ1316" t="s">
        <v>3775</v>
      </c>
    </row>
    <row r="1317" spans="1:40" ht="18.75" customHeight="1" x14ac:dyDescent="0.3">
      <c r="A1317" s="1">
        <v>2019131812119</v>
      </c>
      <c r="B1317" t="s">
        <v>125</v>
      </c>
      <c r="C1317" t="s">
        <v>3862</v>
      </c>
      <c r="D1317" t="s">
        <v>2735</v>
      </c>
      <c r="E1317" t="s">
        <v>750</v>
      </c>
      <c r="F1317">
        <v>159</v>
      </c>
      <c r="G1317">
        <v>43692</v>
      </c>
      <c r="H1317">
        <v>44482</v>
      </c>
      <c r="I1317">
        <v>44482</v>
      </c>
      <c r="L1317" t="s">
        <v>135</v>
      </c>
      <c r="M1317" t="s">
        <v>1171</v>
      </c>
      <c r="N1317" t="s">
        <v>727</v>
      </c>
      <c r="O1317" t="s">
        <v>608</v>
      </c>
      <c r="P1317" t="s">
        <v>49</v>
      </c>
      <c r="R1317">
        <v>6</v>
      </c>
      <c r="S1317">
        <v>0</v>
      </c>
      <c r="T1317">
        <v>0</v>
      </c>
      <c r="U1317" t="s">
        <v>3863</v>
      </c>
      <c r="W1317">
        <v>30110012404551</v>
      </c>
      <c r="X1317">
        <v>37165</v>
      </c>
      <c r="Y1317" t="s">
        <v>153</v>
      </c>
      <c r="Z1317">
        <v>0</v>
      </c>
      <c r="AA1317">
        <v>0</v>
      </c>
      <c r="AB1317">
        <v>0</v>
      </c>
      <c r="AD1317" t="s">
        <v>376</v>
      </c>
      <c r="AE1317" t="s">
        <v>376</v>
      </c>
      <c r="AF1317">
        <v>70</v>
      </c>
      <c r="AG1317">
        <v>172</v>
      </c>
      <c r="AH1317">
        <v>-2</v>
      </c>
    </row>
    <row r="1318" spans="1:40" ht="18.75" customHeight="1" x14ac:dyDescent="0.3">
      <c r="A1318" s="1">
        <v>2018131802906</v>
      </c>
      <c r="B1318" t="s">
        <v>106</v>
      </c>
      <c r="C1318" t="s">
        <v>3864</v>
      </c>
      <c r="D1318" t="s">
        <v>2773</v>
      </c>
      <c r="E1318" t="s">
        <v>750</v>
      </c>
      <c r="F1318">
        <v>158</v>
      </c>
      <c r="G1318">
        <v>43279</v>
      </c>
      <c r="H1318">
        <v>44117</v>
      </c>
      <c r="I1318">
        <v>46023</v>
      </c>
      <c r="K1318">
        <v>45980</v>
      </c>
      <c r="L1318" t="s">
        <v>45</v>
      </c>
      <c r="M1318" t="s">
        <v>1332</v>
      </c>
      <c r="N1318" t="s">
        <v>727</v>
      </c>
      <c r="O1318" t="s">
        <v>608</v>
      </c>
      <c r="Q1318" t="s">
        <v>49</v>
      </c>
      <c r="R1318">
        <v>13</v>
      </c>
      <c r="S1318">
        <v>0</v>
      </c>
      <c r="T1318">
        <v>0</v>
      </c>
      <c r="U1318" t="s">
        <v>3865</v>
      </c>
      <c r="W1318">
        <v>29912011305219</v>
      </c>
      <c r="X1318">
        <v>36495</v>
      </c>
      <c r="Y1318" t="s">
        <v>51</v>
      </c>
      <c r="AB1318">
        <v>0</v>
      </c>
      <c r="AC1318" t="s">
        <v>3866</v>
      </c>
      <c r="AF1318">
        <v>65</v>
      </c>
      <c r="AG1318">
        <v>168</v>
      </c>
      <c r="AH1318">
        <v>-3</v>
      </c>
      <c r="AJ1318" t="s">
        <v>3867</v>
      </c>
    </row>
    <row r="1319" spans="1:40" ht="18.75" customHeight="1" x14ac:dyDescent="0.3">
      <c r="A1319" s="1">
        <v>2007135200688</v>
      </c>
      <c r="B1319" t="s">
        <v>57</v>
      </c>
      <c r="C1319" t="s">
        <v>3868</v>
      </c>
      <c r="D1319" t="s">
        <v>3845</v>
      </c>
      <c r="E1319" t="s">
        <v>335</v>
      </c>
      <c r="F1319">
        <v>138</v>
      </c>
      <c r="G1319">
        <v>39284</v>
      </c>
      <c r="H1319">
        <v>39758</v>
      </c>
      <c r="I1319">
        <v>45292</v>
      </c>
      <c r="J1319">
        <v>44510</v>
      </c>
      <c r="L1319" t="s">
        <v>135</v>
      </c>
      <c r="M1319" t="s">
        <v>335</v>
      </c>
      <c r="N1319" t="s">
        <v>127</v>
      </c>
      <c r="O1319" t="s">
        <v>336</v>
      </c>
      <c r="P1319" t="s">
        <v>49</v>
      </c>
      <c r="R1319">
        <v>1</v>
      </c>
      <c r="S1319">
        <v>0</v>
      </c>
      <c r="U1319" t="s">
        <v>3869</v>
      </c>
      <c r="V1319" t="s">
        <v>3870</v>
      </c>
      <c r="W1319">
        <v>28811011208979</v>
      </c>
      <c r="X1319">
        <v>32448</v>
      </c>
      <c r="Y1319" t="s">
        <v>103</v>
      </c>
      <c r="AE1319">
        <v>70</v>
      </c>
      <c r="AF1319">
        <v>174</v>
      </c>
      <c r="AG1319">
        <v>-4</v>
      </c>
      <c r="AN1319" t="s">
        <v>145</v>
      </c>
    </row>
    <row r="1320" spans="1:40" ht="18.75" customHeight="1" x14ac:dyDescent="0.3">
      <c r="A1320" s="1">
        <v>2009135200147</v>
      </c>
      <c r="B1320" t="s">
        <v>57</v>
      </c>
      <c r="C1320" t="s">
        <v>3871</v>
      </c>
      <c r="D1320" t="s">
        <v>3845</v>
      </c>
      <c r="E1320" t="s">
        <v>335</v>
      </c>
      <c r="F1320">
        <v>141</v>
      </c>
      <c r="G1320">
        <v>39837</v>
      </c>
      <c r="H1320">
        <v>40307</v>
      </c>
      <c r="I1320">
        <v>44013</v>
      </c>
      <c r="J1320">
        <v>44510</v>
      </c>
      <c r="L1320" t="s">
        <v>135</v>
      </c>
      <c r="M1320" t="s">
        <v>335</v>
      </c>
      <c r="N1320" t="s">
        <v>127</v>
      </c>
      <c r="O1320" t="s">
        <v>336</v>
      </c>
      <c r="P1320" t="s">
        <v>49</v>
      </c>
      <c r="R1320">
        <v>3</v>
      </c>
      <c r="S1320">
        <v>0</v>
      </c>
      <c r="U1320" t="s">
        <v>3872</v>
      </c>
      <c r="V1320" t="s">
        <v>3873</v>
      </c>
      <c r="W1320">
        <v>28807161702834</v>
      </c>
      <c r="X1320">
        <v>32340</v>
      </c>
      <c r="Y1320" t="s">
        <v>103</v>
      </c>
      <c r="AE1320">
        <v>71</v>
      </c>
      <c r="AF1320">
        <v>178</v>
      </c>
      <c r="AG1320">
        <v>-7</v>
      </c>
      <c r="AN1320" t="s">
        <v>145</v>
      </c>
    </row>
    <row r="1321" spans="1:40" ht="18.75" customHeight="1" x14ac:dyDescent="0.3">
      <c r="A1321" s="1">
        <v>2009135200163</v>
      </c>
      <c r="B1321" t="s">
        <v>57</v>
      </c>
      <c r="C1321" t="s">
        <v>3874</v>
      </c>
      <c r="D1321" t="s">
        <v>3845</v>
      </c>
      <c r="E1321" t="s">
        <v>335</v>
      </c>
      <c r="F1321">
        <v>141</v>
      </c>
      <c r="G1321">
        <v>39837</v>
      </c>
      <c r="H1321">
        <v>40307</v>
      </c>
      <c r="I1321">
        <v>44013</v>
      </c>
      <c r="J1321">
        <v>44503</v>
      </c>
      <c r="L1321" t="s">
        <v>135</v>
      </c>
      <c r="M1321" t="s">
        <v>335</v>
      </c>
      <c r="N1321" t="s">
        <v>127</v>
      </c>
      <c r="O1321" t="s">
        <v>336</v>
      </c>
      <c r="P1321" t="s">
        <v>49</v>
      </c>
      <c r="R1321">
        <v>3</v>
      </c>
      <c r="S1321">
        <v>0</v>
      </c>
      <c r="U1321" t="s">
        <v>3875</v>
      </c>
      <c r="V1321" t="s">
        <v>3876</v>
      </c>
      <c r="W1321">
        <v>26808131701069</v>
      </c>
      <c r="X1321">
        <v>33270</v>
      </c>
      <c r="Y1321" t="s">
        <v>103</v>
      </c>
      <c r="AE1321">
        <v>75</v>
      </c>
      <c r="AF1321">
        <v>180</v>
      </c>
      <c r="AG1321">
        <v>-5</v>
      </c>
      <c r="AN1321" t="s">
        <v>145</v>
      </c>
    </row>
    <row r="1322" spans="1:40" ht="18.75" customHeight="1" x14ac:dyDescent="0.3">
      <c r="A1322" s="1">
        <v>2018135202326</v>
      </c>
      <c r="B1322" t="s">
        <v>125</v>
      </c>
      <c r="C1322" t="s">
        <v>3877</v>
      </c>
      <c r="D1322" t="s">
        <v>334</v>
      </c>
      <c r="E1322" t="s">
        <v>335</v>
      </c>
      <c r="F1322">
        <v>158</v>
      </c>
      <c r="G1322">
        <v>43279</v>
      </c>
      <c r="H1322">
        <v>44117</v>
      </c>
      <c r="I1322">
        <v>44117</v>
      </c>
      <c r="L1322" t="s">
        <v>45</v>
      </c>
      <c r="M1322" t="s">
        <v>335</v>
      </c>
      <c r="N1322" t="s">
        <v>127</v>
      </c>
      <c r="O1322" t="s">
        <v>3855</v>
      </c>
      <c r="P1322" t="s">
        <v>49</v>
      </c>
      <c r="U1322" t="s">
        <v>3878</v>
      </c>
      <c r="W1322">
        <v>29807162800396</v>
      </c>
      <c r="X1322">
        <v>35992</v>
      </c>
      <c r="Y1322" t="s">
        <v>767</v>
      </c>
      <c r="AF1322">
        <v>70</v>
      </c>
      <c r="AG1322">
        <v>165</v>
      </c>
      <c r="AH1322">
        <v>5</v>
      </c>
      <c r="AJ1322" t="s">
        <v>3879</v>
      </c>
      <c r="AN1322" t="s">
        <v>3792</v>
      </c>
    </row>
    <row r="1323" spans="1:40" ht="18.75" customHeight="1" x14ac:dyDescent="0.3">
      <c r="A1323" s="1">
        <v>2018135202821</v>
      </c>
      <c r="B1323" t="s">
        <v>125</v>
      </c>
      <c r="C1323" t="s">
        <v>3880</v>
      </c>
      <c r="D1323" t="s">
        <v>334</v>
      </c>
      <c r="E1323" t="s">
        <v>335</v>
      </c>
      <c r="F1323">
        <v>158</v>
      </c>
      <c r="G1323">
        <v>43279</v>
      </c>
      <c r="H1323">
        <v>44117</v>
      </c>
      <c r="I1323">
        <v>44117</v>
      </c>
      <c r="J1323">
        <v>45212</v>
      </c>
      <c r="K1323">
        <v>45212</v>
      </c>
      <c r="L1323" t="s">
        <v>45</v>
      </c>
      <c r="M1323" t="s">
        <v>335</v>
      </c>
      <c r="N1323" t="s">
        <v>127</v>
      </c>
      <c r="O1323" t="s">
        <v>3855</v>
      </c>
      <c r="P1323" t="s">
        <v>49</v>
      </c>
      <c r="R1323">
        <v>6</v>
      </c>
      <c r="S1323">
        <v>1</v>
      </c>
      <c r="U1323" t="s">
        <v>3881</v>
      </c>
      <c r="W1323">
        <v>30004022800639</v>
      </c>
      <c r="X1323">
        <v>36618</v>
      </c>
      <c r="Y1323" t="s">
        <v>767</v>
      </c>
      <c r="Z1323">
        <v>0</v>
      </c>
      <c r="AA1323">
        <v>0</v>
      </c>
      <c r="AB1323">
        <v>0</v>
      </c>
      <c r="AC1323" t="s">
        <v>3882</v>
      </c>
      <c r="AD1323" t="s">
        <v>3883</v>
      </c>
      <c r="AE1323" t="s">
        <v>3884</v>
      </c>
      <c r="AF1323">
        <v>75</v>
      </c>
      <c r="AG1323">
        <v>174</v>
      </c>
      <c r="AH1323">
        <v>1</v>
      </c>
      <c r="AJ1323" t="s">
        <v>3885</v>
      </c>
    </row>
    <row r="1324" spans="1:40" ht="18.75" customHeight="1" x14ac:dyDescent="0.3">
      <c r="A1324" s="1">
        <v>2019130402317</v>
      </c>
      <c r="B1324" t="s">
        <v>125</v>
      </c>
      <c r="C1324" t="s">
        <v>3886</v>
      </c>
      <c r="D1324" t="s">
        <v>334</v>
      </c>
      <c r="E1324" t="s">
        <v>335</v>
      </c>
      <c r="F1324">
        <v>159</v>
      </c>
      <c r="G1324">
        <v>43692</v>
      </c>
      <c r="H1324">
        <v>44481</v>
      </c>
      <c r="I1324">
        <v>44481</v>
      </c>
      <c r="L1324" t="s">
        <v>45</v>
      </c>
      <c r="M1324" t="s">
        <v>335</v>
      </c>
      <c r="N1324" t="s">
        <v>127</v>
      </c>
      <c r="O1324" t="s">
        <v>1469</v>
      </c>
      <c r="P1324" t="s">
        <v>49</v>
      </c>
      <c r="R1324">
        <v>1</v>
      </c>
      <c r="S1324">
        <v>1</v>
      </c>
      <c r="U1324" t="s">
        <v>3887</v>
      </c>
      <c r="W1324">
        <v>30102192601262</v>
      </c>
      <c r="X1324">
        <v>36938</v>
      </c>
      <c r="Y1324" t="s">
        <v>767</v>
      </c>
      <c r="AF1324">
        <v>68</v>
      </c>
      <c r="AG1324">
        <v>170</v>
      </c>
      <c r="AH1324">
        <v>-2</v>
      </c>
      <c r="AJ1324" t="s">
        <v>3481</v>
      </c>
    </row>
    <row r="1325" spans="1:40" ht="18.75" customHeight="1" x14ac:dyDescent="0.3">
      <c r="A1325" s="1">
        <v>2019131810981</v>
      </c>
      <c r="B1325" t="s">
        <v>125</v>
      </c>
      <c r="C1325" t="s">
        <v>3888</v>
      </c>
      <c r="D1325" t="s">
        <v>334</v>
      </c>
      <c r="E1325" t="s">
        <v>335</v>
      </c>
      <c r="F1325">
        <v>159</v>
      </c>
      <c r="G1325">
        <v>43692</v>
      </c>
      <c r="H1325">
        <v>44482</v>
      </c>
      <c r="I1325">
        <v>44482</v>
      </c>
      <c r="L1325" t="s">
        <v>45</v>
      </c>
      <c r="M1325" t="s">
        <v>335</v>
      </c>
      <c r="N1325" t="s">
        <v>127</v>
      </c>
      <c r="O1325" t="s">
        <v>727</v>
      </c>
      <c r="P1325" t="s">
        <v>49</v>
      </c>
      <c r="U1325" t="s">
        <v>3889</v>
      </c>
      <c r="W1325">
        <v>30201212702692</v>
      </c>
      <c r="X1325">
        <v>37277</v>
      </c>
      <c r="Y1325" t="s">
        <v>767</v>
      </c>
      <c r="AF1325">
        <v>74</v>
      </c>
      <c r="AG1325">
        <v>172</v>
      </c>
      <c r="AH1325">
        <v>2</v>
      </c>
      <c r="AJ1325" t="s">
        <v>3481</v>
      </c>
    </row>
    <row r="1326" spans="1:40" ht="18.75" customHeight="1" x14ac:dyDescent="0.3">
      <c r="A1326" s="1">
        <v>2019135200542</v>
      </c>
      <c r="B1326" t="s">
        <v>125</v>
      </c>
      <c r="C1326" t="s">
        <v>3890</v>
      </c>
      <c r="D1326" t="s">
        <v>334</v>
      </c>
      <c r="E1326" t="s">
        <v>335</v>
      </c>
      <c r="F1326">
        <v>159</v>
      </c>
      <c r="G1326">
        <v>43692</v>
      </c>
      <c r="H1326">
        <v>44482</v>
      </c>
      <c r="I1326">
        <v>44482</v>
      </c>
      <c r="L1326" t="s">
        <v>45</v>
      </c>
      <c r="M1326" t="s">
        <v>335</v>
      </c>
      <c r="N1326" t="s">
        <v>127</v>
      </c>
      <c r="O1326" t="s">
        <v>3855</v>
      </c>
      <c r="P1326" t="s">
        <v>49</v>
      </c>
      <c r="U1326" t="s">
        <v>3891</v>
      </c>
      <c r="W1326">
        <v>29611182800072</v>
      </c>
      <c r="X1326">
        <v>35387</v>
      </c>
      <c r="Y1326" t="s">
        <v>767</v>
      </c>
      <c r="AF1326">
        <v>73</v>
      </c>
      <c r="AG1326">
        <v>167</v>
      </c>
      <c r="AH1326">
        <v>6</v>
      </c>
      <c r="AJ1326" t="s">
        <v>3481</v>
      </c>
    </row>
    <row r="1327" spans="1:40" ht="18.75" customHeight="1" x14ac:dyDescent="0.3">
      <c r="A1327" s="1">
        <v>2019135200609</v>
      </c>
      <c r="B1327" t="s">
        <v>125</v>
      </c>
      <c r="C1327" t="s">
        <v>3892</v>
      </c>
      <c r="D1327" t="s">
        <v>334</v>
      </c>
      <c r="E1327" t="s">
        <v>335</v>
      </c>
      <c r="F1327">
        <v>159</v>
      </c>
      <c r="G1327">
        <v>43692</v>
      </c>
      <c r="H1327">
        <v>44482</v>
      </c>
      <c r="I1327">
        <v>44482</v>
      </c>
      <c r="L1327" t="s">
        <v>45</v>
      </c>
      <c r="M1327" t="s">
        <v>335</v>
      </c>
      <c r="N1327" t="s">
        <v>127</v>
      </c>
      <c r="O1327" t="s">
        <v>3855</v>
      </c>
      <c r="P1327" t="s">
        <v>49</v>
      </c>
      <c r="U1327" t="s">
        <v>3893</v>
      </c>
      <c r="W1327">
        <v>29710282701258</v>
      </c>
      <c r="X1327">
        <v>35731</v>
      </c>
      <c r="Y1327" t="s">
        <v>338</v>
      </c>
      <c r="AB1327">
        <v>1</v>
      </c>
      <c r="AF1327">
        <v>77</v>
      </c>
      <c r="AG1327">
        <v>175</v>
      </c>
      <c r="AH1327">
        <v>5</v>
      </c>
      <c r="AJ1327" t="s">
        <v>3894</v>
      </c>
    </row>
    <row r="1328" spans="1:40" ht="18.75" customHeight="1" x14ac:dyDescent="0.3">
      <c r="A1328" s="1">
        <v>2019135200691</v>
      </c>
      <c r="B1328" t="s">
        <v>125</v>
      </c>
      <c r="C1328" t="s">
        <v>3895</v>
      </c>
      <c r="D1328" t="s">
        <v>334</v>
      </c>
      <c r="E1328" t="s">
        <v>335</v>
      </c>
      <c r="F1328">
        <v>159</v>
      </c>
      <c r="G1328">
        <v>43692</v>
      </c>
      <c r="H1328">
        <v>44482</v>
      </c>
      <c r="I1328">
        <v>44482</v>
      </c>
      <c r="L1328" t="s">
        <v>45</v>
      </c>
      <c r="M1328" t="s">
        <v>335</v>
      </c>
      <c r="N1328" t="s">
        <v>127</v>
      </c>
      <c r="O1328" t="s">
        <v>3855</v>
      </c>
      <c r="P1328" t="s">
        <v>49</v>
      </c>
      <c r="U1328" t="s">
        <v>3896</v>
      </c>
      <c r="W1328">
        <v>29704212800836</v>
      </c>
      <c r="X1328">
        <v>35541</v>
      </c>
      <c r="Y1328" t="s">
        <v>767</v>
      </c>
      <c r="AF1328">
        <v>68</v>
      </c>
      <c r="AG1328">
        <v>170</v>
      </c>
      <c r="AH1328">
        <v>-2</v>
      </c>
      <c r="AJ1328" t="s">
        <v>3481</v>
      </c>
    </row>
    <row r="1329" spans="1:40" ht="18.75" customHeight="1" x14ac:dyDescent="0.3">
      <c r="A1329" s="1">
        <v>2009135200270</v>
      </c>
      <c r="B1329" t="s">
        <v>3897</v>
      </c>
      <c r="C1329" t="s">
        <v>3898</v>
      </c>
      <c r="D1329" t="s">
        <v>3845</v>
      </c>
      <c r="E1329" t="s">
        <v>335</v>
      </c>
      <c r="F1329">
        <v>141</v>
      </c>
      <c r="G1329">
        <v>39837</v>
      </c>
      <c r="H1329">
        <v>40307</v>
      </c>
      <c r="I1329">
        <v>44013</v>
      </c>
      <c r="J1329">
        <v>46000</v>
      </c>
      <c r="L1329" t="s">
        <v>135</v>
      </c>
      <c r="M1329" t="s">
        <v>335</v>
      </c>
      <c r="N1329" t="s">
        <v>127</v>
      </c>
      <c r="O1329" t="s">
        <v>336</v>
      </c>
      <c r="R1329">
        <v>3</v>
      </c>
      <c r="S1329">
        <v>0</v>
      </c>
      <c r="U1329" t="s">
        <v>3899</v>
      </c>
      <c r="V1329" t="s">
        <v>3900</v>
      </c>
      <c r="W1329">
        <v>28905271201735</v>
      </c>
      <c r="X1329">
        <v>32655</v>
      </c>
      <c r="Y1329" t="s">
        <v>103</v>
      </c>
      <c r="AE1329">
        <v>69</v>
      </c>
      <c r="AF1329">
        <v>173</v>
      </c>
      <c r="AG1329">
        <v>-4</v>
      </c>
      <c r="AN1329" t="s">
        <v>145</v>
      </c>
    </row>
    <row r="1330" spans="1:40" ht="18.75" customHeight="1" x14ac:dyDescent="0.3">
      <c r="A1330" s="1">
        <v>2009135200402</v>
      </c>
      <c r="B1330" t="s">
        <v>57</v>
      </c>
      <c r="C1330" t="s">
        <v>3901</v>
      </c>
      <c r="D1330" t="s">
        <v>3845</v>
      </c>
      <c r="E1330" t="s">
        <v>335</v>
      </c>
      <c r="G1330">
        <v>40012</v>
      </c>
      <c r="H1330">
        <v>40485</v>
      </c>
      <c r="I1330">
        <v>44197</v>
      </c>
      <c r="J1330">
        <v>45223</v>
      </c>
      <c r="L1330" t="s">
        <v>135</v>
      </c>
      <c r="M1330" t="s">
        <v>335</v>
      </c>
      <c r="N1330" t="s">
        <v>127</v>
      </c>
      <c r="O1330" t="s">
        <v>336</v>
      </c>
      <c r="R1330">
        <v>0</v>
      </c>
      <c r="S1330">
        <v>1</v>
      </c>
      <c r="U1330" t="s">
        <v>3902</v>
      </c>
      <c r="V1330" t="s">
        <v>3903</v>
      </c>
      <c r="W1330">
        <v>29301011600281</v>
      </c>
      <c r="X1330">
        <v>33970</v>
      </c>
      <c r="Y1330" t="s">
        <v>103</v>
      </c>
      <c r="AE1330">
        <v>74</v>
      </c>
      <c r="AF1330">
        <v>176</v>
      </c>
      <c r="AG1330">
        <v>-2</v>
      </c>
      <c r="AN1330" t="s">
        <v>145</v>
      </c>
    </row>
    <row r="1331" spans="1:40" ht="18.75" customHeight="1" x14ac:dyDescent="0.3">
      <c r="A1331" s="1">
        <v>2010135200102</v>
      </c>
      <c r="B1331" t="s">
        <v>75</v>
      </c>
      <c r="C1331" t="s">
        <v>3904</v>
      </c>
      <c r="D1331" t="s">
        <v>3845</v>
      </c>
      <c r="E1331" t="s">
        <v>335</v>
      </c>
      <c r="G1331">
        <v>40194</v>
      </c>
      <c r="H1331">
        <v>40689</v>
      </c>
      <c r="I1331">
        <v>44378</v>
      </c>
      <c r="J1331">
        <v>45980</v>
      </c>
      <c r="L1331" t="s">
        <v>135</v>
      </c>
      <c r="M1331" t="s">
        <v>335</v>
      </c>
      <c r="N1331" t="s">
        <v>127</v>
      </c>
      <c r="O1331" t="s">
        <v>336</v>
      </c>
      <c r="R1331">
        <v>0</v>
      </c>
      <c r="S1331">
        <v>0</v>
      </c>
      <c r="U1331" t="s">
        <v>3905</v>
      </c>
      <c r="V1331" t="s">
        <v>3906</v>
      </c>
      <c r="W1331">
        <v>29207151601815</v>
      </c>
      <c r="X1331">
        <v>33800</v>
      </c>
      <c r="Y1331" t="s">
        <v>103</v>
      </c>
      <c r="AE1331">
        <v>72</v>
      </c>
      <c r="AF1331">
        <v>177</v>
      </c>
      <c r="AG1331">
        <v>-5</v>
      </c>
      <c r="AN1331" t="s">
        <v>145</v>
      </c>
    </row>
    <row r="1332" spans="1:40" ht="18.75" customHeight="1" x14ac:dyDescent="0.3">
      <c r="A1332" s="1">
        <v>2023135200056</v>
      </c>
      <c r="B1332" t="s">
        <v>125</v>
      </c>
      <c r="C1332" t="s">
        <v>3907</v>
      </c>
      <c r="D1332" t="s">
        <v>334</v>
      </c>
      <c r="E1332" t="s">
        <v>335</v>
      </c>
      <c r="F1332">
        <v>162</v>
      </c>
      <c r="G1332">
        <v>44941</v>
      </c>
      <c r="H1332">
        <v>45976</v>
      </c>
      <c r="I1332">
        <v>45925</v>
      </c>
      <c r="L1332" t="s">
        <v>45</v>
      </c>
      <c r="M1332" t="s">
        <v>335</v>
      </c>
      <c r="N1332" t="s">
        <v>127</v>
      </c>
      <c r="O1332" t="s">
        <v>3855</v>
      </c>
      <c r="P1332" t="s">
        <v>49</v>
      </c>
      <c r="U1332" t="s">
        <v>3908</v>
      </c>
      <c r="W1332">
        <v>30309132800435</v>
      </c>
      <c r="X1332">
        <v>37877</v>
      </c>
      <c r="Y1332" t="s">
        <v>767</v>
      </c>
      <c r="AF1332">
        <v>75</v>
      </c>
      <c r="AG1332">
        <v>170</v>
      </c>
      <c r="AH1332">
        <v>5</v>
      </c>
      <c r="AJ1332" t="s">
        <v>3808</v>
      </c>
    </row>
    <row r="1333" spans="1:40" ht="18.75" customHeight="1" x14ac:dyDescent="0.3">
      <c r="A1333" s="1">
        <v>2010135200532</v>
      </c>
      <c r="B1333" t="s">
        <v>75</v>
      </c>
      <c r="C1333" t="s">
        <v>3909</v>
      </c>
      <c r="D1333" t="s">
        <v>3845</v>
      </c>
      <c r="E1333" t="s">
        <v>335</v>
      </c>
      <c r="F1333">
        <v>144</v>
      </c>
      <c r="G1333">
        <v>40376</v>
      </c>
      <c r="H1333">
        <v>40849</v>
      </c>
      <c r="I1333">
        <v>44562</v>
      </c>
      <c r="J1333">
        <v>44506</v>
      </c>
      <c r="L1333" t="s">
        <v>135</v>
      </c>
      <c r="M1333" t="s">
        <v>335</v>
      </c>
      <c r="N1333" t="s">
        <v>127</v>
      </c>
      <c r="O1333" t="s">
        <v>336</v>
      </c>
      <c r="P1333" t="s">
        <v>49</v>
      </c>
      <c r="R1333">
        <v>3</v>
      </c>
      <c r="S1333">
        <v>0</v>
      </c>
      <c r="U1333" t="s">
        <v>3910</v>
      </c>
      <c r="V1333" t="s">
        <v>3911</v>
      </c>
      <c r="W1333">
        <v>29311041800539</v>
      </c>
      <c r="X1333">
        <v>34277</v>
      </c>
      <c r="Y1333" t="s">
        <v>103</v>
      </c>
      <c r="AE1333">
        <v>68</v>
      </c>
      <c r="AF1333">
        <v>175</v>
      </c>
      <c r="AG1333">
        <v>-7</v>
      </c>
      <c r="AN1333" t="s">
        <v>145</v>
      </c>
    </row>
    <row r="1334" spans="1:40" ht="18.75" customHeight="1" x14ac:dyDescent="0.3">
      <c r="A1334" s="1">
        <v>2011135200556</v>
      </c>
      <c r="B1334" t="s">
        <v>75</v>
      </c>
      <c r="C1334" t="s">
        <v>3912</v>
      </c>
      <c r="D1334" t="s">
        <v>3845</v>
      </c>
      <c r="E1334" t="s">
        <v>335</v>
      </c>
      <c r="F1334">
        <v>145</v>
      </c>
      <c r="G1334">
        <v>40558</v>
      </c>
      <c r="H1334">
        <v>41029</v>
      </c>
      <c r="I1334">
        <v>44743</v>
      </c>
      <c r="J1334">
        <v>44861</v>
      </c>
      <c r="L1334" t="s">
        <v>135</v>
      </c>
      <c r="M1334" t="s">
        <v>335</v>
      </c>
      <c r="N1334" t="s">
        <v>127</v>
      </c>
      <c r="O1334" t="s">
        <v>336</v>
      </c>
      <c r="P1334" t="s">
        <v>49</v>
      </c>
      <c r="R1334">
        <v>2</v>
      </c>
      <c r="S1334">
        <v>0</v>
      </c>
      <c r="U1334" t="s">
        <v>3913</v>
      </c>
      <c r="V1334" t="s">
        <v>3914</v>
      </c>
      <c r="W1334">
        <v>28901181600392</v>
      </c>
      <c r="X1334">
        <v>32526</v>
      </c>
      <c r="Y1334" t="s">
        <v>103</v>
      </c>
      <c r="AE1334">
        <v>71</v>
      </c>
      <c r="AF1334">
        <v>178</v>
      </c>
      <c r="AG1334">
        <v>-7</v>
      </c>
      <c r="AN1334" t="s">
        <v>145</v>
      </c>
    </row>
    <row r="1335" spans="1:40" ht="18.75" customHeight="1" x14ac:dyDescent="0.3">
      <c r="A1335" s="1">
        <v>2015131801649</v>
      </c>
      <c r="B1335" t="s">
        <v>106</v>
      </c>
      <c r="C1335" t="s">
        <v>3915</v>
      </c>
      <c r="D1335" t="s">
        <v>334</v>
      </c>
      <c r="E1335" t="s">
        <v>335</v>
      </c>
      <c r="F1335">
        <v>153</v>
      </c>
      <c r="G1335">
        <v>42030</v>
      </c>
      <c r="H1335">
        <v>46153</v>
      </c>
      <c r="I1335">
        <v>44378</v>
      </c>
      <c r="J1335">
        <v>46001</v>
      </c>
      <c r="K1335">
        <v>46001</v>
      </c>
      <c r="L1335" t="s">
        <v>45</v>
      </c>
      <c r="M1335" t="s">
        <v>46</v>
      </c>
      <c r="N1335" t="s">
        <v>127</v>
      </c>
      <c r="O1335" t="s">
        <v>743</v>
      </c>
      <c r="P1335" t="s">
        <v>49</v>
      </c>
      <c r="R1335">
        <v>2</v>
      </c>
      <c r="V1335" t="s">
        <v>3916</v>
      </c>
      <c r="X1335">
        <v>29512011803954</v>
      </c>
      <c r="AE1335" t="s">
        <v>1412</v>
      </c>
      <c r="AF1335">
        <v>75</v>
      </c>
      <c r="AG1335">
        <v>177</v>
      </c>
      <c r="AH1335">
        <v>-2</v>
      </c>
      <c r="AJ1335" t="s">
        <v>3917</v>
      </c>
    </row>
    <row r="1336" spans="1:40" ht="18.75" customHeight="1" x14ac:dyDescent="0.3">
      <c r="A1336" s="1">
        <v>2011135201025</v>
      </c>
      <c r="B1336" t="s">
        <v>75</v>
      </c>
      <c r="C1336" t="s">
        <v>3918</v>
      </c>
      <c r="D1336" t="s">
        <v>3845</v>
      </c>
      <c r="E1336" t="s">
        <v>335</v>
      </c>
      <c r="F1336">
        <v>146</v>
      </c>
      <c r="G1336">
        <v>40748</v>
      </c>
      <c r="H1336">
        <v>41222</v>
      </c>
      <c r="I1336">
        <v>44927</v>
      </c>
      <c r="J1336">
        <v>45584</v>
      </c>
      <c r="L1336" t="s">
        <v>135</v>
      </c>
      <c r="M1336" t="s">
        <v>335</v>
      </c>
      <c r="N1336" t="s">
        <v>127</v>
      </c>
      <c r="O1336" t="s">
        <v>336</v>
      </c>
      <c r="P1336" t="s">
        <v>49</v>
      </c>
      <c r="R1336">
        <v>1</v>
      </c>
      <c r="S1336">
        <v>0</v>
      </c>
      <c r="U1336" t="s">
        <v>3919</v>
      </c>
      <c r="V1336" t="s">
        <v>3920</v>
      </c>
      <c r="W1336">
        <v>29206201801113</v>
      </c>
      <c r="X1336">
        <v>33775</v>
      </c>
      <c r="Y1336" t="s">
        <v>103</v>
      </c>
      <c r="AE1336">
        <v>69</v>
      </c>
      <c r="AF1336">
        <v>174</v>
      </c>
      <c r="AG1336">
        <v>-5</v>
      </c>
      <c r="AN1336" t="s">
        <v>145</v>
      </c>
    </row>
    <row r="1337" spans="1:40" ht="18.75" customHeight="1" x14ac:dyDescent="0.3">
      <c r="A1337" s="1">
        <v>2004131800305</v>
      </c>
      <c r="B1337" t="s">
        <v>210</v>
      </c>
      <c r="C1337" t="s">
        <v>3921</v>
      </c>
      <c r="D1337" t="s">
        <v>1375</v>
      </c>
      <c r="E1337" t="s">
        <v>335</v>
      </c>
      <c r="F1337">
        <v>132</v>
      </c>
      <c r="G1337">
        <v>38185</v>
      </c>
      <c r="H1337">
        <v>38659</v>
      </c>
      <c r="I1337">
        <v>46023</v>
      </c>
      <c r="L1337" t="s">
        <v>135</v>
      </c>
      <c r="M1337" t="s">
        <v>46</v>
      </c>
      <c r="N1337" t="s">
        <v>307</v>
      </c>
      <c r="O1337" t="s">
        <v>3922</v>
      </c>
      <c r="P1337" t="s">
        <v>49</v>
      </c>
      <c r="R1337">
        <v>12</v>
      </c>
      <c r="S1337">
        <v>2</v>
      </c>
      <c r="T1337">
        <v>0</v>
      </c>
      <c r="W1337">
        <v>28803250100974</v>
      </c>
      <c r="X1337">
        <v>32227</v>
      </c>
      <c r="Y1337" t="s">
        <v>103</v>
      </c>
      <c r="Z1337">
        <v>2</v>
      </c>
      <c r="AD1337" t="s">
        <v>3923</v>
      </c>
      <c r="AE1337" t="s">
        <v>93</v>
      </c>
      <c r="AG1337" t="s">
        <v>787</v>
      </c>
      <c r="AJ1337" t="s">
        <v>3924</v>
      </c>
    </row>
    <row r="1338" spans="1:40" ht="18.75" customHeight="1" x14ac:dyDescent="0.3">
      <c r="A1338" s="1">
        <v>2011135201158</v>
      </c>
      <c r="B1338" t="s">
        <v>75</v>
      </c>
      <c r="C1338" t="s">
        <v>3925</v>
      </c>
      <c r="D1338" t="s">
        <v>3845</v>
      </c>
      <c r="E1338" t="s">
        <v>335</v>
      </c>
      <c r="F1338">
        <v>146</v>
      </c>
      <c r="G1338">
        <v>40748</v>
      </c>
      <c r="H1338">
        <v>41222</v>
      </c>
      <c r="I1338">
        <v>43101</v>
      </c>
      <c r="J1338">
        <v>44861</v>
      </c>
      <c r="L1338" t="s">
        <v>135</v>
      </c>
      <c r="M1338" t="s">
        <v>335</v>
      </c>
      <c r="N1338" t="s">
        <v>127</v>
      </c>
      <c r="O1338" t="s">
        <v>336</v>
      </c>
      <c r="P1338" t="s">
        <v>49</v>
      </c>
      <c r="R1338">
        <v>2</v>
      </c>
      <c r="S1338">
        <v>0</v>
      </c>
      <c r="U1338" t="s">
        <v>3926</v>
      </c>
      <c r="V1338" t="s">
        <v>3927</v>
      </c>
      <c r="W1338">
        <v>29410101800931</v>
      </c>
      <c r="X1338">
        <v>34617</v>
      </c>
      <c r="Y1338" t="s">
        <v>103</v>
      </c>
      <c r="AE1338">
        <v>73</v>
      </c>
      <c r="AF1338">
        <v>178</v>
      </c>
      <c r="AG1338">
        <v>-5</v>
      </c>
      <c r="AN1338" t="s">
        <v>145</v>
      </c>
    </row>
    <row r="1339" spans="1:40" ht="18.75" customHeight="1" x14ac:dyDescent="0.3">
      <c r="A1339" s="1">
        <v>2014135200104</v>
      </c>
      <c r="B1339" t="s">
        <v>75</v>
      </c>
      <c r="C1339" t="s">
        <v>3928</v>
      </c>
      <c r="D1339" t="s">
        <v>3845</v>
      </c>
      <c r="E1339" t="s">
        <v>335</v>
      </c>
      <c r="G1339">
        <v>41665</v>
      </c>
      <c r="H1339">
        <v>42135</v>
      </c>
      <c r="I1339">
        <v>45839</v>
      </c>
      <c r="J1339">
        <v>45596</v>
      </c>
      <c r="L1339" t="s">
        <v>135</v>
      </c>
      <c r="M1339" t="s">
        <v>335</v>
      </c>
      <c r="N1339" t="s">
        <v>127</v>
      </c>
      <c r="O1339" t="s">
        <v>336</v>
      </c>
      <c r="R1339">
        <v>2</v>
      </c>
      <c r="S1339">
        <v>0</v>
      </c>
      <c r="U1339" t="s">
        <v>3929</v>
      </c>
      <c r="V1339" t="s">
        <v>3930</v>
      </c>
      <c r="W1339">
        <v>29505031401716</v>
      </c>
      <c r="X1339">
        <v>34822</v>
      </c>
      <c r="Y1339" t="s">
        <v>103</v>
      </c>
      <c r="AE1339">
        <v>72</v>
      </c>
      <c r="AF1339">
        <v>176</v>
      </c>
      <c r="AG1339">
        <v>-4</v>
      </c>
      <c r="AN1339" t="s">
        <v>145</v>
      </c>
    </row>
    <row r="1340" spans="1:40" ht="18.75" customHeight="1" x14ac:dyDescent="0.3">
      <c r="A1340" s="1">
        <v>2004135200204</v>
      </c>
      <c r="B1340" t="s">
        <v>210</v>
      </c>
      <c r="C1340" t="s">
        <v>3931</v>
      </c>
      <c r="D1340" t="s">
        <v>1375</v>
      </c>
      <c r="E1340" t="s">
        <v>335</v>
      </c>
      <c r="F1340">
        <v>132</v>
      </c>
      <c r="G1340">
        <v>38185</v>
      </c>
      <c r="H1340">
        <v>38658</v>
      </c>
      <c r="I1340">
        <v>46023</v>
      </c>
      <c r="L1340" t="s">
        <v>135</v>
      </c>
      <c r="M1340" t="s">
        <v>335</v>
      </c>
      <c r="N1340" t="s">
        <v>127</v>
      </c>
      <c r="O1340" t="s">
        <v>336</v>
      </c>
      <c r="P1340" t="s">
        <v>49</v>
      </c>
      <c r="R1340">
        <v>2</v>
      </c>
      <c r="S1340">
        <v>0</v>
      </c>
      <c r="T1340">
        <v>0</v>
      </c>
      <c r="W1340">
        <v>28705311800339</v>
      </c>
      <c r="X1340">
        <v>31918</v>
      </c>
      <c r="Y1340" t="s">
        <v>103</v>
      </c>
      <c r="Z1340">
        <v>3</v>
      </c>
      <c r="AD1340" t="s">
        <v>470</v>
      </c>
      <c r="AE1340" t="s">
        <v>54</v>
      </c>
      <c r="AG1340" t="s">
        <v>787</v>
      </c>
      <c r="AJ1340" t="s">
        <v>3932</v>
      </c>
    </row>
    <row r="1341" spans="1:40" ht="18.75" customHeight="1" x14ac:dyDescent="0.3">
      <c r="A1341" s="1">
        <v>2008135200305</v>
      </c>
      <c r="B1341" t="s">
        <v>57</v>
      </c>
      <c r="C1341" t="s">
        <v>3933</v>
      </c>
      <c r="D1341" t="s">
        <v>1375</v>
      </c>
      <c r="E1341" t="s">
        <v>335</v>
      </c>
      <c r="F1341">
        <v>138</v>
      </c>
      <c r="G1341">
        <v>39655</v>
      </c>
      <c r="H1341">
        <v>40129</v>
      </c>
      <c r="I1341">
        <v>45658</v>
      </c>
      <c r="L1341" t="s">
        <v>135</v>
      </c>
      <c r="M1341" t="s">
        <v>335</v>
      </c>
      <c r="N1341" t="s">
        <v>127</v>
      </c>
      <c r="O1341" t="s">
        <v>336</v>
      </c>
      <c r="P1341" t="s">
        <v>49</v>
      </c>
      <c r="R1341">
        <v>0</v>
      </c>
      <c r="S1341">
        <v>0</v>
      </c>
      <c r="T1341">
        <v>0</v>
      </c>
      <c r="W1341">
        <v>29003051801171</v>
      </c>
      <c r="X1341">
        <v>32937</v>
      </c>
      <c r="Y1341" t="s">
        <v>103</v>
      </c>
      <c r="Z1341">
        <v>2</v>
      </c>
      <c r="AD1341" t="s">
        <v>2265</v>
      </c>
      <c r="AE1341" t="s">
        <v>54</v>
      </c>
      <c r="AG1341" t="s">
        <v>787</v>
      </c>
      <c r="AJ1341" t="s">
        <v>3934</v>
      </c>
    </row>
    <row r="1342" spans="1:40" ht="18.75" customHeight="1" x14ac:dyDescent="0.3">
      <c r="A1342" s="1">
        <v>2008135200420</v>
      </c>
      <c r="B1342" t="s">
        <v>57</v>
      </c>
      <c r="C1342" t="s">
        <v>3935</v>
      </c>
      <c r="D1342" t="s">
        <v>1375</v>
      </c>
      <c r="E1342" t="s">
        <v>335</v>
      </c>
      <c r="F1342">
        <v>138</v>
      </c>
      <c r="G1342">
        <v>39655</v>
      </c>
      <c r="H1342">
        <v>40129</v>
      </c>
      <c r="I1342">
        <v>45658</v>
      </c>
      <c r="L1342" t="s">
        <v>135</v>
      </c>
      <c r="M1342" t="s">
        <v>335</v>
      </c>
      <c r="N1342" t="s">
        <v>127</v>
      </c>
      <c r="O1342" t="s">
        <v>336</v>
      </c>
      <c r="P1342" t="s">
        <v>49</v>
      </c>
      <c r="R1342">
        <v>6</v>
      </c>
      <c r="S1342">
        <v>0</v>
      </c>
      <c r="T1342">
        <v>0</v>
      </c>
      <c r="W1342">
        <v>28804151401594</v>
      </c>
      <c r="X1342">
        <v>32248</v>
      </c>
      <c r="Y1342" t="s">
        <v>103</v>
      </c>
      <c r="Z1342">
        <v>3</v>
      </c>
      <c r="AD1342" t="s">
        <v>746</v>
      </c>
      <c r="AE1342" t="s">
        <v>64</v>
      </c>
      <c r="AG1342" t="s">
        <v>787</v>
      </c>
      <c r="AJ1342" t="s">
        <v>3936</v>
      </c>
    </row>
    <row r="1343" spans="1:40" ht="18.75" customHeight="1" x14ac:dyDescent="0.3">
      <c r="A1343" s="1">
        <v>2010135200053</v>
      </c>
      <c r="B1343" t="s">
        <v>75</v>
      </c>
      <c r="C1343" t="s">
        <v>3937</v>
      </c>
      <c r="D1343" t="s">
        <v>1375</v>
      </c>
      <c r="E1343" t="s">
        <v>335</v>
      </c>
      <c r="F1343">
        <v>143</v>
      </c>
      <c r="G1343">
        <v>40194</v>
      </c>
      <c r="H1343">
        <v>40664</v>
      </c>
      <c r="I1343">
        <v>44378</v>
      </c>
      <c r="J1343">
        <v>45531</v>
      </c>
      <c r="K1343">
        <v>45501</v>
      </c>
      <c r="L1343" t="s">
        <v>135</v>
      </c>
      <c r="M1343" t="s">
        <v>335</v>
      </c>
      <c r="N1343" t="s">
        <v>127</v>
      </c>
      <c r="O1343" t="s">
        <v>336</v>
      </c>
      <c r="P1343" t="s">
        <v>49</v>
      </c>
      <c r="R1343">
        <v>1</v>
      </c>
      <c r="S1343">
        <v>0</v>
      </c>
      <c r="T1343" t="s">
        <v>439</v>
      </c>
      <c r="U1343" t="s">
        <v>3938</v>
      </c>
      <c r="W1343">
        <v>29208241302635</v>
      </c>
      <c r="X1343">
        <v>33840</v>
      </c>
      <c r="Y1343" t="s">
        <v>103</v>
      </c>
      <c r="Z1343">
        <v>3</v>
      </c>
      <c r="AA1343">
        <v>2</v>
      </c>
      <c r="AB1343">
        <v>1</v>
      </c>
      <c r="AC1343" t="s">
        <v>3939</v>
      </c>
      <c r="AD1343" t="s">
        <v>3940</v>
      </c>
      <c r="AE1343" t="s">
        <v>64</v>
      </c>
      <c r="AG1343" t="s">
        <v>787</v>
      </c>
      <c r="AJ1343" t="s">
        <v>3941</v>
      </c>
    </row>
    <row r="1344" spans="1:40" ht="18.75" customHeight="1" x14ac:dyDescent="0.3">
      <c r="A1344" s="1">
        <v>2010135200798</v>
      </c>
      <c r="B1344" t="s">
        <v>75</v>
      </c>
      <c r="C1344" t="s">
        <v>3942</v>
      </c>
      <c r="D1344" t="s">
        <v>1375</v>
      </c>
      <c r="E1344" t="s">
        <v>335</v>
      </c>
      <c r="F1344">
        <v>144</v>
      </c>
      <c r="G1344">
        <v>40376</v>
      </c>
      <c r="H1344">
        <v>40849</v>
      </c>
      <c r="I1344">
        <v>44562</v>
      </c>
      <c r="L1344" t="s">
        <v>135</v>
      </c>
      <c r="M1344" t="s">
        <v>335</v>
      </c>
      <c r="N1344" t="s">
        <v>127</v>
      </c>
      <c r="O1344" t="s">
        <v>336</v>
      </c>
      <c r="P1344" t="s">
        <v>49</v>
      </c>
      <c r="R1344">
        <v>0</v>
      </c>
      <c r="S1344">
        <v>0</v>
      </c>
      <c r="T1344">
        <v>0</v>
      </c>
      <c r="W1344">
        <v>28806251702551</v>
      </c>
      <c r="X1344">
        <v>32319</v>
      </c>
      <c r="Y1344" t="s">
        <v>103</v>
      </c>
      <c r="Z1344">
        <v>3</v>
      </c>
      <c r="AD1344" t="s">
        <v>167</v>
      </c>
      <c r="AE1344" t="s">
        <v>443</v>
      </c>
      <c r="AG1344" t="s">
        <v>787</v>
      </c>
    </row>
    <row r="1345" spans="1:36" ht="18.75" customHeight="1" x14ac:dyDescent="0.3">
      <c r="A1345" s="1">
        <v>2011130401092</v>
      </c>
      <c r="B1345" t="s">
        <v>75</v>
      </c>
      <c r="C1345" t="s">
        <v>3943</v>
      </c>
      <c r="D1345" t="s">
        <v>1375</v>
      </c>
      <c r="E1345" t="s">
        <v>335</v>
      </c>
      <c r="F1345">
        <v>145</v>
      </c>
      <c r="G1345">
        <v>40558</v>
      </c>
      <c r="H1345">
        <v>41270</v>
      </c>
      <c r="I1345">
        <v>44743</v>
      </c>
      <c r="L1345" t="s">
        <v>135</v>
      </c>
      <c r="M1345" t="s">
        <v>158</v>
      </c>
      <c r="N1345" t="s">
        <v>78</v>
      </c>
      <c r="O1345" t="s">
        <v>3944</v>
      </c>
      <c r="P1345" t="s">
        <v>49</v>
      </c>
      <c r="R1345">
        <v>8</v>
      </c>
      <c r="S1345">
        <v>0</v>
      </c>
      <c r="T1345">
        <v>0</v>
      </c>
      <c r="W1345">
        <v>29410011603193</v>
      </c>
      <c r="X1345">
        <v>34608</v>
      </c>
      <c r="Y1345" t="s">
        <v>103</v>
      </c>
      <c r="Z1345">
        <v>1</v>
      </c>
      <c r="AA1345">
        <v>0</v>
      </c>
      <c r="AB1345">
        <v>1</v>
      </c>
      <c r="AD1345" t="s">
        <v>73</v>
      </c>
      <c r="AE1345" t="s">
        <v>252</v>
      </c>
      <c r="AG1345" t="s">
        <v>787</v>
      </c>
    </row>
    <row r="1346" spans="1:36" ht="18.75" customHeight="1" x14ac:dyDescent="0.3">
      <c r="A1346" s="1">
        <v>2011135200374</v>
      </c>
      <c r="B1346" t="s">
        <v>75</v>
      </c>
      <c r="C1346" t="s">
        <v>3945</v>
      </c>
      <c r="D1346" t="s">
        <v>1375</v>
      </c>
      <c r="E1346" t="s">
        <v>335</v>
      </c>
      <c r="F1346">
        <v>145</v>
      </c>
      <c r="G1346">
        <v>40558</v>
      </c>
      <c r="H1346">
        <v>41029</v>
      </c>
      <c r="I1346">
        <v>44743</v>
      </c>
      <c r="L1346" t="s">
        <v>135</v>
      </c>
      <c r="M1346" t="s">
        <v>335</v>
      </c>
      <c r="N1346" t="s">
        <v>127</v>
      </c>
      <c r="O1346" t="s">
        <v>336</v>
      </c>
      <c r="R1346">
        <v>2</v>
      </c>
      <c r="S1346">
        <v>0</v>
      </c>
      <c r="T1346">
        <v>0</v>
      </c>
      <c r="W1346" t="s">
        <v>3946</v>
      </c>
      <c r="X1346">
        <v>33270</v>
      </c>
      <c r="Y1346" t="s">
        <v>103</v>
      </c>
      <c r="Z1346">
        <v>1</v>
      </c>
      <c r="AD1346" t="s">
        <v>347</v>
      </c>
      <c r="AE1346" t="s">
        <v>167</v>
      </c>
      <c r="AH1346" t="s">
        <v>787</v>
      </c>
      <c r="AJ1346" t="s">
        <v>3947</v>
      </c>
    </row>
    <row r="1347" spans="1:36" ht="18.75" customHeight="1" x14ac:dyDescent="0.3">
      <c r="A1347" s="1">
        <v>2011135200415</v>
      </c>
      <c r="B1347" t="s">
        <v>75</v>
      </c>
      <c r="C1347" t="s">
        <v>3948</v>
      </c>
      <c r="D1347" t="s">
        <v>1375</v>
      </c>
      <c r="E1347" t="s">
        <v>335</v>
      </c>
      <c r="F1347">
        <v>145</v>
      </c>
      <c r="G1347">
        <v>40558</v>
      </c>
      <c r="H1347">
        <v>41029</v>
      </c>
      <c r="I1347">
        <v>44743</v>
      </c>
      <c r="L1347" t="s">
        <v>135</v>
      </c>
      <c r="M1347" t="s">
        <v>335</v>
      </c>
      <c r="N1347" t="s">
        <v>127</v>
      </c>
      <c r="O1347" t="s">
        <v>3949</v>
      </c>
      <c r="P1347" t="s">
        <v>49</v>
      </c>
      <c r="R1347">
        <v>2</v>
      </c>
      <c r="S1347">
        <v>0</v>
      </c>
      <c r="T1347">
        <v>0</v>
      </c>
      <c r="W1347">
        <v>29110011611671</v>
      </c>
      <c r="X1347">
        <v>33512</v>
      </c>
      <c r="Y1347" t="s">
        <v>103</v>
      </c>
      <c r="Z1347">
        <v>4</v>
      </c>
      <c r="AD1347" t="s">
        <v>73</v>
      </c>
      <c r="AE1347" t="s">
        <v>1441</v>
      </c>
      <c r="AG1347" t="s">
        <v>787</v>
      </c>
    </row>
    <row r="1348" spans="1:36" ht="18.75" customHeight="1" x14ac:dyDescent="0.3">
      <c r="A1348" s="1">
        <v>2011135201281</v>
      </c>
      <c r="B1348" t="s">
        <v>75</v>
      </c>
      <c r="C1348" t="s">
        <v>3950</v>
      </c>
      <c r="D1348" t="s">
        <v>1375</v>
      </c>
      <c r="E1348" t="s">
        <v>335</v>
      </c>
      <c r="F1348">
        <v>146</v>
      </c>
      <c r="G1348">
        <v>40748</v>
      </c>
      <c r="H1348">
        <v>41222</v>
      </c>
      <c r="I1348">
        <v>44927</v>
      </c>
      <c r="J1348">
        <v>45229</v>
      </c>
      <c r="K1348">
        <v>45230</v>
      </c>
      <c r="L1348" t="s">
        <v>135</v>
      </c>
      <c r="M1348" t="s">
        <v>335</v>
      </c>
      <c r="N1348" t="s">
        <v>127</v>
      </c>
      <c r="O1348" t="s">
        <v>336</v>
      </c>
      <c r="P1348" t="s">
        <v>49</v>
      </c>
      <c r="R1348">
        <v>2</v>
      </c>
      <c r="S1348">
        <v>0</v>
      </c>
      <c r="T1348">
        <v>0</v>
      </c>
      <c r="U1348">
        <v>106194317</v>
      </c>
      <c r="V1348" t="s">
        <v>3951</v>
      </c>
      <c r="W1348" t="s">
        <v>3952</v>
      </c>
      <c r="X1348">
        <v>32356</v>
      </c>
      <c r="Y1348" t="s">
        <v>103</v>
      </c>
      <c r="Z1348">
        <v>2</v>
      </c>
      <c r="AA1348">
        <v>1</v>
      </c>
      <c r="AB1348">
        <v>1</v>
      </c>
      <c r="AC1348" t="s">
        <v>3953</v>
      </c>
      <c r="AD1348" t="s">
        <v>470</v>
      </c>
      <c r="AE1348" t="s">
        <v>54</v>
      </c>
      <c r="AF1348">
        <v>82</v>
      </c>
      <c r="AG1348">
        <v>171</v>
      </c>
      <c r="AJ1348" t="s">
        <v>3954</v>
      </c>
    </row>
    <row r="1349" spans="1:36" ht="18.75" customHeight="1" x14ac:dyDescent="0.3">
      <c r="A1349" s="1">
        <v>2012135200132</v>
      </c>
      <c r="B1349" t="s">
        <v>75</v>
      </c>
      <c r="C1349" t="s">
        <v>3955</v>
      </c>
      <c r="D1349" t="s">
        <v>1375</v>
      </c>
      <c r="E1349" t="s">
        <v>335</v>
      </c>
      <c r="F1349">
        <v>147</v>
      </c>
      <c r="G1349">
        <v>40936</v>
      </c>
      <c r="H1349">
        <v>41407</v>
      </c>
      <c r="I1349">
        <v>45108</v>
      </c>
      <c r="L1349" t="s">
        <v>135</v>
      </c>
      <c r="M1349" t="s">
        <v>335</v>
      </c>
      <c r="N1349" t="s">
        <v>127</v>
      </c>
      <c r="O1349" t="s">
        <v>3956</v>
      </c>
      <c r="P1349" t="s">
        <v>49</v>
      </c>
      <c r="R1349">
        <v>2</v>
      </c>
      <c r="S1349">
        <v>0</v>
      </c>
      <c r="T1349">
        <v>0</v>
      </c>
      <c r="W1349">
        <v>29207211400717</v>
      </c>
      <c r="X1349">
        <v>33806</v>
      </c>
      <c r="Y1349" t="s">
        <v>103</v>
      </c>
      <c r="Z1349">
        <v>1</v>
      </c>
      <c r="AD1349" t="s">
        <v>176</v>
      </c>
      <c r="AE1349" t="s">
        <v>3957</v>
      </c>
      <c r="AG1349" t="s">
        <v>787</v>
      </c>
    </row>
    <row r="1350" spans="1:36" ht="18.75" customHeight="1" x14ac:dyDescent="0.3">
      <c r="A1350" s="1">
        <v>2012135201445</v>
      </c>
      <c r="B1350" t="s">
        <v>75</v>
      </c>
      <c r="C1350" t="s">
        <v>3958</v>
      </c>
      <c r="D1350" t="s">
        <v>1375</v>
      </c>
      <c r="E1350" t="s">
        <v>335</v>
      </c>
      <c r="F1350">
        <v>148</v>
      </c>
      <c r="G1350">
        <v>41111</v>
      </c>
      <c r="H1350">
        <v>41594</v>
      </c>
      <c r="I1350">
        <v>45292</v>
      </c>
      <c r="J1350">
        <v>45588</v>
      </c>
      <c r="L1350" t="s">
        <v>135</v>
      </c>
      <c r="M1350" t="s">
        <v>335</v>
      </c>
      <c r="N1350" t="s">
        <v>127</v>
      </c>
      <c r="O1350" t="s">
        <v>336</v>
      </c>
      <c r="P1350" t="s">
        <v>49</v>
      </c>
      <c r="R1350">
        <v>0</v>
      </c>
      <c r="S1350">
        <v>0</v>
      </c>
      <c r="T1350">
        <v>0</v>
      </c>
      <c r="U1350">
        <v>1093348212</v>
      </c>
      <c r="V1350" t="s">
        <v>3959</v>
      </c>
      <c r="W1350" t="s">
        <v>3960</v>
      </c>
      <c r="X1350">
        <v>34943</v>
      </c>
      <c r="Y1350" t="s">
        <v>103</v>
      </c>
      <c r="Z1350">
        <v>2</v>
      </c>
      <c r="AA1350">
        <v>1</v>
      </c>
      <c r="AB1350">
        <v>1</v>
      </c>
      <c r="AC1350" t="s">
        <v>3961</v>
      </c>
      <c r="AD1350" t="s">
        <v>297</v>
      </c>
      <c r="AE1350" t="s">
        <v>64</v>
      </c>
      <c r="AF1350">
        <v>81</v>
      </c>
      <c r="AG1350">
        <v>175</v>
      </c>
      <c r="AJ1350" t="s">
        <v>3962</v>
      </c>
    </row>
    <row r="1351" spans="1:36" ht="18.75" customHeight="1" x14ac:dyDescent="0.3">
      <c r="A1351" s="1">
        <v>2012135201601</v>
      </c>
      <c r="B1351" t="s">
        <v>75</v>
      </c>
      <c r="C1351" t="s">
        <v>3963</v>
      </c>
      <c r="D1351" t="s">
        <v>1375</v>
      </c>
      <c r="E1351" t="s">
        <v>335</v>
      </c>
      <c r="F1351">
        <v>148</v>
      </c>
      <c r="G1351">
        <v>41111</v>
      </c>
      <c r="H1351">
        <v>41584</v>
      </c>
      <c r="I1351">
        <v>45474</v>
      </c>
      <c r="J1351">
        <v>45223</v>
      </c>
      <c r="K1351">
        <v>45224</v>
      </c>
      <c r="L1351" t="s">
        <v>135</v>
      </c>
      <c r="M1351" t="s">
        <v>335</v>
      </c>
      <c r="N1351" t="s">
        <v>127</v>
      </c>
      <c r="O1351" t="s">
        <v>336</v>
      </c>
      <c r="P1351" t="s">
        <v>49</v>
      </c>
      <c r="R1351">
        <v>2</v>
      </c>
      <c r="S1351">
        <v>1</v>
      </c>
      <c r="T1351">
        <v>1</v>
      </c>
      <c r="U1351">
        <v>11142866336</v>
      </c>
      <c r="V1351" t="s">
        <v>3964</v>
      </c>
      <c r="W1351" t="s">
        <v>3965</v>
      </c>
      <c r="X1351">
        <v>35116</v>
      </c>
      <c r="Y1351" t="s">
        <v>103</v>
      </c>
      <c r="Z1351">
        <v>2</v>
      </c>
      <c r="AA1351">
        <v>1</v>
      </c>
      <c r="AB1351">
        <v>1</v>
      </c>
      <c r="AC1351" t="s">
        <v>3966</v>
      </c>
      <c r="AD1351" t="s">
        <v>402</v>
      </c>
      <c r="AE1351" t="s">
        <v>73</v>
      </c>
      <c r="AF1351">
        <v>80</v>
      </c>
      <c r="AG1351">
        <v>175</v>
      </c>
      <c r="AJ1351" t="s">
        <v>3967</v>
      </c>
    </row>
    <row r="1352" spans="1:36" ht="18.75" customHeight="1" x14ac:dyDescent="0.3">
      <c r="A1352" s="1">
        <v>2013135200643</v>
      </c>
      <c r="B1352" t="s">
        <v>75</v>
      </c>
      <c r="C1352" t="s">
        <v>3968</v>
      </c>
      <c r="D1352" t="s">
        <v>1375</v>
      </c>
      <c r="E1352" t="s">
        <v>335</v>
      </c>
      <c r="F1352">
        <v>150</v>
      </c>
      <c r="G1352">
        <v>41510</v>
      </c>
      <c r="H1352">
        <v>41982</v>
      </c>
      <c r="I1352">
        <v>45658</v>
      </c>
      <c r="J1352">
        <v>44513</v>
      </c>
      <c r="K1352">
        <v>44514</v>
      </c>
      <c r="L1352" t="s">
        <v>135</v>
      </c>
      <c r="M1352" t="s">
        <v>335</v>
      </c>
      <c r="N1352" t="s">
        <v>127</v>
      </c>
      <c r="O1352" t="s">
        <v>336</v>
      </c>
      <c r="P1352" t="s">
        <v>49</v>
      </c>
      <c r="R1352">
        <v>8</v>
      </c>
      <c r="S1352">
        <v>0</v>
      </c>
      <c r="T1352">
        <v>0</v>
      </c>
      <c r="U1352">
        <v>1001305728</v>
      </c>
      <c r="V1352" t="s">
        <v>3969</v>
      </c>
      <c r="W1352" t="s">
        <v>3970</v>
      </c>
      <c r="X1352">
        <v>35704</v>
      </c>
      <c r="Y1352" t="s">
        <v>103</v>
      </c>
      <c r="Z1352">
        <v>2</v>
      </c>
      <c r="AA1352">
        <v>0</v>
      </c>
      <c r="AB1352">
        <v>2</v>
      </c>
      <c r="AC1352" t="s">
        <v>3971</v>
      </c>
      <c r="AD1352" t="s">
        <v>184</v>
      </c>
      <c r="AE1352" t="s">
        <v>54</v>
      </c>
      <c r="AF1352">
        <v>80</v>
      </c>
      <c r="AG1352">
        <v>175</v>
      </c>
      <c r="AJ1352" t="s">
        <v>3972</v>
      </c>
    </row>
    <row r="1353" spans="1:36" ht="18.75" customHeight="1" x14ac:dyDescent="0.3">
      <c r="A1353" s="1">
        <v>2013135200718</v>
      </c>
      <c r="B1353" t="s">
        <v>75</v>
      </c>
      <c r="C1353" t="s">
        <v>3973</v>
      </c>
      <c r="D1353" t="s">
        <v>1375</v>
      </c>
      <c r="E1353" t="s">
        <v>335</v>
      </c>
      <c r="F1353">
        <v>150</v>
      </c>
      <c r="G1353">
        <v>41510</v>
      </c>
      <c r="H1353">
        <v>41982</v>
      </c>
      <c r="I1353">
        <v>45658</v>
      </c>
      <c r="J1353">
        <v>45586</v>
      </c>
      <c r="K1353">
        <v>45587</v>
      </c>
      <c r="L1353" t="s">
        <v>135</v>
      </c>
      <c r="M1353" t="s">
        <v>335</v>
      </c>
      <c r="N1353" t="s">
        <v>127</v>
      </c>
      <c r="O1353" t="s">
        <v>336</v>
      </c>
      <c r="Q1353" t="s">
        <v>49</v>
      </c>
      <c r="R1353">
        <v>3</v>
      </c>
      <c r="S1353">
        <v>0</v>
      </c>
      <c r="T1353">
        <v>0</v>
      </c>
      <c r="U1353">
        <v>1094343010</v>
      </c>
      <c r="V1353" t="s">
        <v>3974</v>
      </c>
      <c r="W1353" t="s">
        <v>3975</v>
      </c>
      <c r="X1353">
        <v>34425</v>
      </c>
      <c r="Y1353" t="s">
        <v>103</v>
      </c>
      <c r="Z1353">
        <v>2</v>
      </c>
      <c r="AA1353">
        <v>1</v>
      </c>
      <c r="AB1353">
        <v>1</v>
      </c>
      <c r="AC1353" t="s">
        <v>2775</v>
      </c>
      <c r="AD1353" t="s">
        <v>184</v>
      </c>
      <c r="AE1353" t="s">
        <v>54</v>
      </c>
      <c r="AF1353">
        <v>95</v>
      </c>
      <c r="AG1353">
        <v>175</v>
      </c>
      <c r="AJ1353" t="s">
        <v>3976</v>
      </c>
    </row>
    <row r="1354" spans="1:36" ht="18.75" customHeight="1" x14ac:dyDescent="0.3">
      <c r="A1354" s="1">
        <v>2013135201427</v>
      </c>
      <c r="B1354" t="s">
        <v>75</v>
      </c>
      <c r="C1354" t="s">
        <v>3977</v>
      </c>
      <c r="D1354" t="s">
        <v>1375</v>
      </c>
      <c r="E1354" t="s">
        <v>335</v>
      </c>
      <c r="F1354">
        <v>150</v>
      </c>
      <c r="G1354">
        <v>41510</v>
      </c>
      <c r="H1354">
        <v>41982</v>
      </c>
      <c r="I1354">
        <v>45658</v>
      </c>
      <c r="J1354">
        <v>45839</v>
      </c>
      <c r="K1354">
        <v>45840</v>
      </c>
      <c r="L1354" t="s">
        <v>135</v>
      </c>
      <c r="M1354" t="s">
        <v>335</v>
      </c>
      <c r="N1354" t="s">
        <v>127</v>
      </c>
      <c r="O1354" t="s">
        <v>336</v>
      </c>
      <c r="Q1354" t="s">
        <v>49</v>
      </c>
      <c r="R1354">
        <v>5</v>
      </c>
      <c r="S1354">
        <v>0</v>
      </c>
      <c r="T1354">
        <v>0</v>
      </c>
      <c r="U1354">
        <v>1093032992</v>
      </c>
      <c r="V1354" t="s">
        <v>3978</v>
      </c>
      <c r="W1354" t="s">
        <v>3979</v>
      </c>
      <c r="X1354">
        <v>34067</v>
      </c>
      <c r="Y1354" t="s">
        <v>103</v>
      </c>
      <c r="Z1354">
        <v>1</v>
      </c>
      <c r="AA1354">
        <v>1</v>
      </c>
      <c r="AB1354">
        <v>0</v>
      </c>
      <c r="AC1354" t="s">
        <v>3980</v>
      </c>
      <c r="AD1354" t="s">
        <v>397</v>
      </c>
      <c r="AE1354" t="s">
        <v>167</v>
      </c>
      <c r="AF1354">
        <v>80</v>
      </c>
      <c r="AG1354">
        <v>185</v>
      </c>
      <c r="AJ1354" t="s">
        <v>3981</v>
      </c>
    </row>
    <row r="1355" spans="1:36" ht="18.75" customHeight="1" x14ac:dyDescent="0.3">
      <c r="A1355" s="1">
        <v>2013135201477</v>
      </c>
      <c r="B1355" t="s">
        <v>75</v>
      </c>
      <c r="C1355" t="s">
        <v>3982</v>
      </c>
      <c r="D1355" t="s">
        <v>1375</v>
      </c>
      <c r="E1355" t="s">
        <v>335</v>
      </c>
      <c r="F1355">
        <v>150</v>
      </c>
      <c r="G1355">
        <v>41510</v>
      </c>
      <c r="H1355">
        <v>41982</v>
      </c>
      <c r="I1355">
        <v>45658</v>
      </c>
      <c r="J1355">
        <v>45971</v>
      </c>
      <c r="K1355">
        <v>45972</v>
      </c>
      <c r="L1355" t="s">
        <v>135</v>
      </c>
      <c r="M1355" t="s">
        <v>335</v>
      </c>
      <c r="N1355" t="s">
        <v>127</v>
      </c>
      <c r="O1355" t="s">
        <v>336</v>
      </c>
      <c r="P1355" t="s">
        <v>49</v>
      </c>
      <c r="R1355">
        <v>11</v>
      </c>
      <c r="S1355">
        <v>0</v>
      </c>
      <c r="T1355">
        <v>0</v>
      </c>
      <c r="U1355">
        <v>1013895016</v>
      </c>
      <c r="V1355" t="s">
        <v>3983</v>
      </c>
      <c r="W1355">
        <v>29508101700871</v>
      </c>
      <c r="X1355">
        <v>34921</v>
      </c>
      <c r="Y1355" t="s">
        <v>103</v>
      </c>
      <c r="Z1355">
        <v>2</v>
      </c>
      <c r="AA1355">
        <v>2</v>
      </c>
      <c r="AB1355">
        <v>0</v>
      </c>
      <c r="AC1355" t="s">
        <v>3984</v>
      </c>
      <c r="AD1355" t="s">
        <v>3985</v>
      </c>
      <c r="AE1355" t="s">
        <v>167</v>
      </c>
      <c r="AF1355">
        <v>92</v>
      </c>
      <c r="AG1355">
        <v>189</v>
      </c>
      <c r="AJ1355" t="s">
        <v>3574</v>
      </c>
    </row>
    <row r="1356" spans="1:36" ht="18.75" customHeight="1" x14ac:dyDescent="0.3">
      <c r="A1356" s="1">
        <v>2013135201956</v>
      </c>
      <c r="B1356" t="s">
        <v>75</v>
      </c>
      <c r="C1356" t="s">
        <v>3986</v>
      </c>
      <c r="D1356" t="s">
        <v>1375</v>
      </c>
      <c r="E1356" t="s">
        <v>335</v>
      </c>
      <c r="F1356">
        <v>150</v>
      </c>
      <c r="G1356">
        <v>41510</v>
      </c>
      <c r="H1356">
        <v>41982</v>
      </c>
      <c r="I1356">
        <v>45658</v>
      </c>
      <c r="J1356">
        <v>45839</v>
      </c>
      <c r="K1356">
        <v>45840</v>
      </c>
      <c r="L1356" t="s">
        <v>135</v>
      </c>
      <c r="M1356" t="s">
        <v>335</v>
      </c>
      <c r="N1356" t="s">
        <v>127</v>
      </c>
      <c r="O1356" t="s">
        <v>3987</v>
      </c>
      <c r="Q1356" t="s">
        <v>49</v>
      </c>
      <c r="R1356">
        <v>0</v>
      </c>
      <c r="S1356">
        <v>0</v>
      </c>
      <c r="T1356">
        <v>0</v>
      </c>
      <c r="U1356">
        <v>1068711572</v>
      </c>
      <c r="V1356" t="s">
        <v>3988</v>
      </c>
      <c r="W1356">
        <v>29309221201094</v>
      </c>
      <c r="X1356">
        <v>34234</v>
      </c>
      <c r="Y1356" t="s">
        <v>103</v>
      </c>
      <c r="Z1356">
        <v>2</v>
      </c>
      <c r="AA1356">
        <v>1</v>
      </c>
      <c r="AB1356">
        <v>1</v>
      </c>
      <c r="AC1356" t="s">
        <v>3989</v>
      </c>
      <c r="AD1356" t="s">
        <v>3990</v>
      </c>
      <c r="AE1356" t="s">
        <v>118</v>
      </c>
      <c r="AF1356">
        <v>76</v>
      </c>
      <c r="AG1356">
        <v>172</v>
      </c>
      <c r="AJ1356" t="s">
        <v>1565</v>
      </c>
    </row>
    <row r="1357" spans="1:36" ht="18.75" customHeight="1" x14ac:dyDescent="0.3">
      <c r="A1357" s="1">
        <v>2013135202053</v>
      </c>
      <c r="B1357" t="s">
        <v>75</v>
      </c>
      <c r="C1357" t="s">
        <v>3991</v>
      </c>
      <c r="D1357" t="s">
        <v>1375</v>
      </c>
      <c r="E1357" t="s">
        <v>335</v>
      </c>
      <c r="F1357">
        <v>150</v>
      </c>
      <c r="G1357">
        <v>41510</v>
      </c>
      <c r="H1357">
        <v>41982</v>
      </c>
      <c r="I1357">
        <v>45658</v>
      </c>
      <c r="J1357">
        <v>45587</v>
      </c>
      <c r="K1357">
        <v>45588</v>
      </c>
      <c r="L1357" t="s">
        <v>135</v>
      </c>
      <c r="M1357" t="s">
        <v>335</v>
      </c>
      <c r="N1357" t="s">
        <v>127</v>
      </c>
      <c r="O1357" t="s">
        <v>3562</v>
      </c>
      <c r="Q1357" t="s">
        <v>49</v>
      </c>
      <c r="R1357">
        <v>2</v>
      </c>
      <c r="S1357">
        <v>1</v>
      </c>
      <c r="T1357">
        <v>0</v>
      </c>
      <c r="U1357">
        <v>105512876</v>
      </c>
      <c r="V1357" t="s">
        <v>3992</v>
      </c>
      <c r="W1357">
        <v>28905282800819</v>
      </c>
      <c r="X1357">
        <v>32656</v>
      </c>
      <c r="Y1357" t="s">
        <v>103</v>
      </c>
      <c r="Z1357">
        <v>1</v>
      </c>
      <c r="AA1357">
        <v>1</v>
      </c>
      <c r="AB1357">
        <v>0</v>
      </c>
      <c r="AC1357" t="s">
        <v>3993</v>
      </c>
      <c r="AD1357" t="s">
        <v>3994</v>
      </c>
      <c r="AE1357" t="s">
        <v>3884</v>
      </c>
      <c r="AG1357" t="s">
        <v>787</v>
      </c>
      <c r="AJ1357" t="s">
        <v>1565</v>
      </c>
    </row>
    <row r="1358" spans="1:36" ht="18.75" customHeight="1" x14ac:dyDescent="0.3">
      <c r="A1358" s="1">
        <v>2013135202079</v>
      </c>
      <c r="B1358" t="s">
        <v>75</v>
      </c>
      <c r="C1358" t="s">
        <v>3995</v>
      </c>
      <c r="D1358" t="s">
        <v>1375</v>
      </c>
      <c r="E1358" t="s">
        <v>335</v>
      </c>
      <c r="F1358">
        <v>150</v>
      </c>
      <c r="G1358">
        <v>24</v>
      </c>
      <c r="I1358">
        <v>45839</v>
      </c>
      <c r="L1358" t="s">
        <v>135</v>
      </c>
      <c r="M1358" t="s">
        <v>335</v>
      </c>
      <c r="N1358" t="s">
        <v>127</v>
      </c>
      <c r="P1358" t="s">
        <v>49</v>
      </c>
      <c r="AG1358" t="s">
        <v>787</v>
      </c>
    </row>
    <row r="1359" spans="1:36" ht="18.75" customHeight="1" x14ac:dyDescent="0.3">
      <c r="A1359" s="1">
        <v>2013135202136</v>
      </c>
      <c r="B1359" t="s">
        <v>75</v>
      </c>
      <c r="C1359" t="s">
        <v>3996</v>
      </c>
      <c r="D1359" t="s">
        <v>1375</v>
      </c>
      <c r="E1359" t="s">
        <v>335</v>
      </c>
      <c r="G1359">
        <v>41665</v>
      </c>
      <c r="H1359">
        <v>42135</v>
      </c>
      <c r="I1359">
        <v>45839</v>
      </c>
      <c r="L1359" t="s">
        <v>135</v>
      </c>
      <c r="M1359" t="s">
        <v>335</v>
      </c>
      <c r="N1359" t="s">
        <v>127</v>
      </c>
      <c r="O1359" t="s">
        <v>336</v>
      </c>
      <c r="P1359" t="s">
        <v>49</v>
      </c>
      <c r="X1359">
        <v>34610</v>
      </c>
      <c r="Y1359" t="s">
        <v>103</v>
      </c>
      <c r="Z1359">
        <v>2</v>
      </c>
      <c r="AA1359">
        <v>1</v>
      </c>
      <c r="AB1359">
        <v>1</v>
      </c>
      <c r="AC1359" t="s">
        <v>3993</v>
      </c>
      <c r="AD1359" t="s">
        <v>3994</v>
      </c>
      <c r="AE1359" t="s">
        <v>3884</v>
      </c>
      <c r="AG1359" t="s">
        <v>787</v>
      </c>
      <c r="AJ1359" t="s">
        <v>3885</v>
      </c>
    </row>
    <row r="1360" spans="1:36" ht="18.75" customHeight="1" x14ac:dyDescent="0.3">
      <c r="A1360" s="1">
        <v>2014135201128</v>
      </c>
      <c r="B1360" t="s">
        <v>75</v>
      </c>
      <c r="C1360" t="s">
        <v>3997</v>
      </c>
      <c r="D1360" t="s">
        <v>1375</v>
      </c>
      <c r="E1360" t="s">
        <v>335</v>
      </c>
      <c r="F1360">
        <v>151</v>
      </c>
      <c r="G1360">
        <v>41665</v>
      </c>
      <c r="H1360">
        <v>42135</v>
      </c>
      <c r="I1360">
        <v>45839</v>
      </c>
      <c r="L1360" t="s">
        <v>135</v>
      </c>
      <c r="M1360" t="s">
        <v>335</v>
      </c>
      <c r="N1360" t="s">
        <v>127</v>
      </c>
      <c r="O1360" t="s">
        <v>336</v>
      </c>
      <c r="P1360" t="s">
        <v>49</v>
      </c>
      <c r="R1360">
        <v>1</v>
      </c>
      <c r="S1360">
        <v>0</v>
      </c>
      <c r="T1360">
        <v>0</v>
      </c>
      <c r="W1360">
        <v>29702012800219</v>
      </c>
      <c r="X1360">
        <v>35462</v>
      </c>
      <c r="Y1360" t="s">
        <v>51</v>
      </c>
      <c r="AD1360" t="s">
        <v>3998</v>
      </c>
      <c r="AE1360" t="s">
        <v>3884</v>
      </c>
      <c r="AG1360" t="s">
        <v>787</v>
      </c>
    </row>
    <row r="1361" spans="1:36" ht="18.75" customHeight="1" x14ac:dyDescent="0.3">
      <c r="A1361" s="1">
        <v>2015135200102</v>
      </c>
      <c r="B1361" t="s">
        <v>106</v>
      </c>
      <c r="C1361" t="s">
        <v>3999</v>
      </c>
      <c r="D1361" t="s">
        <v>1375</v>
      </c>
      <c r="E1361" t="s">
        <v>335</v>
      </c>
      <c r="F1361">
        <v>153</v>
      </c>
      <c r="G1361">
        <v>42020</v>
      </c>
      <c r="H1361">
        <v>42501</v>
      </c>
      <c r="I1361">
        <v>44378</v>
      </c>
      <c r="L1361" t="s">
        <v>135</v>
      </c>
      <c r="M1361" t="s">
        <v>335</v>
      </c>
      <c r="N1361" t="s">
        <v>127</v>
      </c>
      <c r="O1361" t="s">
        <v>336</v>
      </c>
      <c r="P1361" t="s">
        <v>49</v>
      </c>
      <c r="R1361">
        <v>6</v>
      </c>
      <c r="S1361">
        <v>0</v>
      </c>
      <c r="T1361">
        <v>0</v>
      </c>
      <c r="W1361">
        <v>29702011804091</v>
      </c>
      <c r="X1361">
        <v>35462</v>
      </c>
      <c r="Y1361" t="s">
        <v>103</v>
      </c>
      <c r="Z1361">
        <v>2</v>
      </c>
      <c r="AD1361" t="s">
        <v>2265</v>
      </c>
      <c r="AE1361" t="s">
        <v>54</v>
      </c>
      <c r="AF1361">
        <v>90</v>
      </c>
      <c r="AG1361">
        <v>185</v>
      </c>
      <c r="AH1361">
        <v>5</v>
      </c>
    </row>
    <row r="1362" spans="1:36" ht="18.75" customHeight="1" x14ac:dyDescent="0.3">
      <c r="A1362" s="1">
        <v>2015135200970</v>
      </c>
      <c r="B1362" t="s">
        <v>106</v>
      </c>
      <c r="C1362" t="s">
        <v>4000</v>
      </c>
      <c r="D1362" t="s">
        <v>1375</v>
      </c>
      <c r="E1362" t="s">
        <v>335</v>
      </c>
      <c r="G1362">
        <v>42030</v>
      </c>
      <c r="H1362">
        <v>42501</v>
      </c>
      <c r="I1362">
        <v>44378</v>
      </c>
      <c r="J1362">
        <v>45213</v>
      </c>
      <c r="K1362">
        <v>45214</v>
      </c>
      <c r="L1362" t="s">
        <v>135</v>
      </c>
      <c r="M1362" t="s">
        <v>335</v>
      </c>
      <c r="N1362" t="s">
        <v>127</v>
      </c>
      <c r="O1362" t="s">
        <v>336</v>
      </c>
      <c r="P1362" t="s">
        <v>49</v>
      </c>
      <c r="R1362">
        <v>2</v>
      </c>
      <c r="S1362">
        <v>0</v>
      </c>
      <c r="T1362" t="s">
        <v>439</v>
      </c>
      <c r="U1362" t="s">
        <v>4001</v>
      </c>
      <c r="W1362">
        <v>29612201202471</v>
      </c>
      <c r="X1362">
        <v>35419</v>
      </c>
      <c r="Y1362" t="s">
        <v>103</v>
      </c>
      <c r="Z1362">
        <v>1</v>
      </c>
      <c r="AA1362">
        <v>0</v>
      </c>
      <c r="AB1362">
        <v>1</v>
      </c>
      <c r="AC1362" t="s">
        <v>4002</v>
      </c>
      <c r="AD1362" t="s">
        <v>155</v>
      </c>
      <c r="AE1362" t="s">
        <v>118</v>
      </c>
      <c r="AG1362" t="s">
        <v>787</v>
      </c>
      <c r="AJ1362" t="s">
        <v>4003</v>
      </c>
    </row>
    <row r="1363" spans="1:36" ht="18.75" customHeight="1" x14ac:dyDescent="0.3">
      <c r="A1363" s="1">
        <v>2016135202255</v>
      </c>
      <c r="B1363" t="s">
        <v>106</v>
      </c>
      <c r="C1363" t="s">
        <v>4004</v>
      </c>
      <c r="D1363" t="s">
        <v>1375</v>
      </c>
      <c r="E1363" t="s">
        <v>335</v>
      </c>
      <c r="F1363">
        <v>156</v>
      </c>
      <c r="G1363">
        <v>42575</v>
      </c>
      <c r="H1363">
        <v>43321</v>
      </c>
      <c r="I1363">
        <v>45292</v>
      </c>
      <c r="J1363">
        <v>45989</v>
      </c>
      <c r="K1363">
        <v>45990</v>
      </c>
      <c r="L1363" t="s">
        <v>135</v>
      </c>
      <c r="M1363" t="s">
        <v>335</v>
      </c>
      <c r="N1363" t="s">
        <v>127</v>
      </c>
      <c r="O1363" t="s">
        <v>336</v>
      </c>
      <c r="P1363" t="s">
        <v>49</v>
      </c>
      <c r="R1363">
        <v>3</v>
      </c>
      <c r="S1363">
        <v>0</v>
      </c>
      <c r="T1363" t="s">
        <v>439</v>
      </c>
      <c r="U1363" t="s">
        <v>4005</v>
      </c>
      <c r="V1363">
        <v>114858656</v>
      </c>
      <c r="W1363">
        <v>29910011201755</v>
      </c>
      <c r="X1363">
        <v>36434</v>
      </c>
      <c r="Y1363" t="s">
        <v>103</v>
      </c>
      <c r="Z1363">
        <v>1</v>
      </c>
      <c r="AA1363">
        <v>1</v>
      </c>
      <c r="AB1363">
        <v>0</v>
      </c>
      <c r="AC1363" t="s">
        <v>4006</v>
      </c>
      <c r="AD1363" t="s">
        <v>155</v>
      </c>
      <c r="AE1363" t="s">
        <v>118</v>
      </c>
      <c r="AF1363">
        <v>71</v>
      </c>
      <c r="AG1363">
        <v>184</v>
      </c>
      <c r="AJ1363" t="s">
        <v>4007</v>
      </c>
    </row>
    <row r="1364" spans="1:36" ht="18.75" customHeight="1" x14ac:dyDescent="0.3">
      <c r="A1364" s="1">
        <v>2017135200067</v>
      </c>
      <c r="B1364" t="s">
        <v>106</v>
      </c>
      <c r="C1364" t="s">
        <v>4008</v>
      </c>
      <c r="D1364" t="s">
        <v>1375</v>
      </c>
      <c r="E1364" t="s">
        <v>335</v>
      </c>
      <c r="F1364">
        <v>157</v>
      </c>
      <c r="G1364">
        <v>42915</v>
      </c>
      <c r="H1364">
        <v>43663</v>
      </c>
      <c r="I1364">
        <v>45658</v>
      </c>
      <c r="J1364">
        <v>45213</v>
      </c>
      <c r="K1364">
        <v>45214</v>
      </c>
      <c r="L1364" t="s">
        <v>135</v>
      </c>
      <c r="M1364" t="s">
        <v>335</v>
      </c>
      <c r="N1364" t="s">
        <v>127</v>
      </c>
      <c r="O1364" t="s">
        <v>336</v>
      </c>
      <c r="Q1364" t="s">
        <v>49</v>
      </c>
      <c r="R1364">
        <v>2</v>
      </c>
      <c r="S1364">
        <v>0</v>
      </c>
      <c r="T1364" t="s">
        <v>439</v>
      </c>
      <c r="U1364" t="s">
        <v>4009</v>
      </c>
      <c r="V1364">
        <v>1012715663</v>
      </c>
      <c r="W1364">
        <v>29906181400119</v>
      </c>
      <c r="X1364">
        <v>36329</v>
      </c>
      <c r="Y1364" t="s">
        <v>51</v>
      </c>
      <c r="Z1364">
        <v>0</v>
      </c>
      <c r="AA1364">
        <v>0</v>
      </c>
      <c r="AB1364">
        <v>0</v>
      </c>
      <c r="AC1364" t="s">
        <v>4010</v>
      </c>
      <c r="AD1364" t="s">
        <v>1618</v>
      </c>
      <c r="AE1364" t="s">
        <v>176</v>
      </c>
      <c r="AF1364">
        <v>80</v>
      </c>
      <c r="AG1364">
        <v>175</v>
      </c>
      <c r="AJ1364" t="s">
        <v>4011</v>
      </c>
    </row>
    <row r="1365" spans="1:36" ht="18.75" customHeight="1" x14ac:dyDescent="0.3">
      <c r="A1365" s="1">
        <v>2015135202166</v>
      </c>
      <c r="B1365" t="s">
        <v>106</v>
      </c>
      <c r="C1365" t="s">
        <v>4012</v>
      </c>
      <c r="D1365" t="s">
        <v>1375</v>
      </c>
      <c r="E1365" t="s">
        <v>335</v>
      </c>
      <c r="G1365">
        <v>42224</v>
      </c>
      <c r="H1365">
        <v>42790</v>
      </c>
      <c r="I1365">
        <v>44743</v>
      </c>
      <c r="J1365">
        <v>45320</v>
      </c>
      <c r="K1365">
        <v>45321</v>
      </c>
      <c r="L1365" t="s">
        <v>135</v>
      </c>
      <c r="M1365" t="s">
        <v>335</v>
      </c>
      <c r="N1365" t="s">
        <v>127</v>
      </c>
      <c r="O1365" t="s">
        <v>4013</v>
      </c>
      <c r="P1365" t="s">
        <v>49</v>
      </c>
      <c r="R1365">
        <v>2</v>
      </c>
      <c r="S1365">
        <v>0</v>
      </c>
      <c r="T1365" t="s">
        <v>439</v>
      </c>
      <c r="U1365" t="s">
        <v>4014</v>
      </c>
      <c r="W1365">
        <v>29602012800095</v>
      </c>
      <c r="X1365">
        <v>35096</v>
      </c>
      <c r="Y1365" t="s">
        <v>51</v>
      </c>
      <c r="Z1365">
        <v>0</v>
      </c>
      <c r="AA1365">
        <v>0</v>
      </c>
      <c r="AB1365">
        <v>0</v>
      </c>
      <c r="AC1365" t="s">
        <v>4015</v>
      </c>
      <c r="AD1365" t="s">
        <v>3994</v>
      </c>
      <c r="AE1365" t="s">
        <v>3884</v>
      </c>
      <c r="AG1365" t="s">
        <v>787</v>
      </c>
      <c r="AJ1365" t="s">
        <v>3548</v>
      </c>
    </row>
    <row r="1366" spans="1:36" ht="18.75" customHeight="1" x14ac:dyDescent="0.3">
      <c r="A1366" s="1">
        <v>2015135202306</v>
      </c>
      <c r="B1366" t="s">
        <v>106</v>
      </c>
      <c r="C1366" t="s">
        <v>4016</v>
      </c>
      <c r="D1366" t="s">
        <v>1375</v>
      </c>
      <c r="E1366" t="s">
        <v>335</v>
      </c>
      <c r="F1366">
        <v>154</v>
      </c>
      <c r="G1366">
        <v>42224</v>
      </c>
      <c r="H1366">
        <v>42790</v>
      </c>
      <c r="I1366">
        <v>44743</v>
      </c>
      <c r="L1366" t="s">
        <v>135</v>
      </c>
      <c r="M1366" t="s">
        <v>335</v>
      </c>
      <c r="N1366" t="s">
        <v>127</v>
      </c>
      <c r="O1366" t="s">
        <v>4013</v>
      </c>
      <c r="P1366" t="s">
        <v>49</v>
      </c>
      <c r="R1366">
        <v>0</v>
      </c>
      <c r="S1366">
        <v>0</v>
      </c>
      <c r="T1366">
        <v>0</v>
      </c>
      <c r="W1366">
        <v>29603172800675</v>
      </c>
      <c r="X1366">
        <v>35141</v>
      </c>
      <c r="AD1366" t="s">
        <v>3994</v>
      </c>
      <c r="AE1366" t="s">
        <v>3884</v>
      </c>
      <c r="AG1366" t="s">
        <v>787</v>
      </c>
    </row>
    <row r="1367" spans="1:36" ht="18.75" customHeight="1" x14ac:dyDescent="0.3">
      <c r="A1367" s="1">
        <v>2015135202546</v>
      </c>
      <c r="B1367" t="s">
        <v>106</v>
      </c>
      <c r="C1367" t="s">
        <v>4017</v>
      </c>
      <c r="D1367" t="s">
        <v>1375</v>
      </c>
      <c r="E1367" t="s">
        <v>335</v>
      </c>
      <c r="G1367">
        <v>42224</v>
      </c>
      <c r="H1367">
        <v>42790</v>
      </c>
      <c r="I1367">
        <v>44743</v>
      </c>
      <c r="J1367">
        <v>45974</v>
      </c>
      <c r="K1367">
        <v>45975</v>
      </c>
      <c r="L1367" t="s">
        <v>135</v>
      </c>
      <c r="M1367" t="s">
        <v>335</v>
      </c>
      <c r="N1367" t="s">
        <v>127</v>
      </c>
      <c r="O1367" t="s">
        <v>4013</v>
      </c>
      <c r="P1367" t="s">
        <v>49</v>
      </c>
      <c r="R1367">
        <v>0</v>
      </c>
      <c r="S1367">
        <v>0</v>
      </c>
      <c r="T1367" t="s">
        <v>4018</v>
      </c>
      <c r="U1367" t="s">
        <v>4019</v>
      </c>
      <c r="W1367">
        <v>29502192800158</v>
      </c>
      <c r="X1367">
        <v>34739</v>
      </c>
      <c r="Y1367" t="s">
        <v>51</v>
      </c>
      <c r="Z1367">
        <v>0</v>
      </c>
      <c r="AA1367">
        <v>0</v>
      </c>
      <c r="AB1367">
        <v>0</v>
      </c>
      <c r="AC1367" t="s">
        <v>4020</v>
      </c>
      <c r="AD1367" t="s">
        <v>3994</v>
      </c>
      <c r="AE1367" t="s">
        <v>3884</v>
      </c>
      <c r="AG1367" t="s">
        <v>787</v>
      </c>
      <c r="AJ1367" t="s">
        <v>3548</v>
      </c>
    </row>
    <row r="1368" spans="1:36" ht="18.75" customHeight="1" x14ac:dyDescent="0.3">
      <c r="A1368" s="1">
        <v>2015135202736</v>
      </c>
      <c r="B1368" t="s">
        <v>106</v>
      </c>
      <c r="C1368" t="s">
        <v>4021</v>
      </c>
      <c r="D1368" t="s">
        <v>1375</v>
      </c>
      <c r="E1368" t="s">
        <v>335</v>
      </c>
      <c r="G1368">
        <v>42224</v>
      </c>
      <c r="H1368">
        <v>42790</v>
      </c>
      <c r="I1368">
        <v>44743</v>
      </c>
      <c r="J1368">
        <v>45974</v>
      </c>
      <c r="K1368">
        <v>45975</v>
      </c>
      <c r="L1368" t="s">
        <v>135</v>
      </c>
      <c r="M1368" t="s">
        <v>335</v>
      </c>
      <c r="N1368" t="s">
        <v>127</v>
      </c>
      <c r="O1368" t="s">
        <v>3562</v>
      </c>
      <c r="P1368" t="s">
        <v>49</v>
      </c>
      <c r="R1368">
        <v>2</v>
      </c>
      <c r="S1368">
        <v>0</v>
      </c>
      <c r="T1368" t="s">
        <v>439</v>
      </c>
      <c r="U1368" t="s">
        <v>4022</v>
      </c>
      <c r="AG1368" t="s">
        <v>787</v>
      </c>
    </row>
    <row r="1369" spans="1:36" ht="18.75" customHeight="1" x14ac:dyDescent="0.3">
      <c r="A1369" s="1">
        <v>2015135202968</v>
      </c>
      <c r="B1369" t="s">
        <v>106</v>
      </c>
      <c r="C1369" t="s">
        <v>4023</v>
      </c>
      <c r="D1369" t="s">
        <v>1375</v>
      </c>
      <c r="E1369" t="s">
        <v>335</v>
      </c>
      <c r="G1369">
        <v>42224</v>
      </c>
      <c r="H1369">
        <v>42790</v>
      </c>
      <c r="I1369">
        <v>44743</v>
      </c>
      <c r="J1369">
        <v>45974</v>
      </c>
      <c r="K1369">
        <v>45975</v>
      </c>
      <c r="L1369" t="s">
        <v>135</v>
      </c>
      <c r="M1369" t="s">
        <v>335</v>
      </c>
      <c r="N1369" t="s">
        <v>127</v>
      </c>
      <c r="O1369" t="s">
        <v>3562</v>
      </c>
      <c r="P1369" t="s">
        <v>49</v>
      </c>
      <c r="R1369">
        <v>3</v>
      </c>
      <c r="S1369">
        <v>0</v>
      </c>
      <c r="T1369" t="s">
        <v>439</v>
      </c>
      <c r="U1369" t="s">
        <v>4024</v>
      </c>
      <c r="W1369">
        <v>29608042800179</v>
      </c>
      <c r="X1369">
        <v>35281</v>
      </c>
      <c r="Y1369" t="s">
        <v>153</v>
      </c>
      <c r="Z1369">
        <v>0</v>
      </c>
      <c r="AA1369">
        <v>0</v>
      </c>
      <c r="AB1369">
        <v>0</v>
      </c>
      <c r="AC1369" t="s">
        <v>4025</v>
      </c>
      <c r="AD1369" t="s">
        <v>3998</v>
      </c>
      <c r="AE1369" t="s">
        <v>3884</v>
      </c>
      <c r="AG1369" t="s">
        <v>787</v>
      </c>
      <c r="AJ1369" t="s">
        <v>4026</v>
      </c>
    </row>
    <row r="1370" spans="1:36" ht="18.75" customHeight="1" x14ac:dyDescent="0.3">
      <c r="A1370" s="1">
        <v>2016135200192</v>
      </c>
      <c r="B1370" t="s">
        <v>106</v>
      </c>
      <c r="C1370" t="s">
        <v>4027</v>
      </c>
      <c r="D1370" t="s">
        <v>1375</v>
      </c>
      <c r="E1370" t="s">
        <v>335</v>
      </c>
      <c r="F1370">
        <v>156</v>
      </c>
      <c r="G1370">
        <v>42575</v>
      </c>
      <c r="H1370">
        <v>43321</v>
      </c>
      <c r="I1370">
        <v>45292</v>
      </c>
      <c r="J1370">
        <v>44502</v>
      </c>
      <c r="K1370">
        <v>44503</v>
      </c>
      <c r="L1370" t="s">
        <v>135</v>
      </c>
      <c r="M1370" t="s">
        <v>335</v>
      </c>
      <c r="N1370" t="s">
        <v>127</v>
      </c>
      <c r="O1370" t="s">
        <v>3562</v>
      </c>
      <c r="P1370" t="s">
        <v>49</v>
      </c>
      <c r="R1370">
        <v>3</v>
      </c>
      <c r="S1370">
        <v>0</v>
      </c>
      <c r="T1370" t="s">
        <v>439</v>
      </c>
      <c r="U1370" t="s">
        <v>4028</v>
      </c>
      <c r="V1370">
        <v>1115268425</v>
      </c>
      <c r="W1370">
        <v>29702152707651</v>
      </c>
      <c r="X1370">
        <v>35476</v>
      </c>
      <c r="Y1370" t="s">
        <v>103</v>
      </c>
      <c r="Z1370">
        <v>1</v>
      </c>
      <c r="AA1370">
        <v>1</v>
      </c>
      <c r="AB1370">
        <v>0</v>
      </c>
      <c r="AC1370" t="s">
        <v>4029</v>
      </c>
      <c r="AD1370" t="s">
        <v>391</v>
      </c>
      <c r="AE1370" t="s">
        <v>234</v>
      </c>
      <c r="AF1370">
        <v>82</v>
      </c>
      <c r="AG1370">
        <v>176</v>
      </c>
      <c r="AJ1370" t="s">
        <v>4030</v>
      </c>
    </row>
    <row r="1371" spans="1:36" ht="18.75" customHeight="1" x14ac:dyDescent="0.3">
      <c r="A1371" s="1">
        <v>2016135201075</v>
      </c>
      <c r="B1371" t="s">
        <v>106</v>
      </c>
      <c r="C1371" t="s">
        <v>4031</v>
      </c>
      <c r="D1371" t="s">
        <v>1375</v>
      </c>
      <c r="E1371" t="s">
        <v>335</v>
      </c>
      <c r="F1371">
        <v>156</v>
      </c>
      <c r="G1371">
        <v>42575</v>
      </c>
      <c r="H1371">
        <v>43321</v>
      </c>
      <c r="I1371">
        <v>45292</v>
      </c>
      <c r="J1371">
        <v>44502</v>
      </c>
      <c r="K1371">
        <v>44503</v>
      </c>
      <c r="L1371" t="s">
        <v>135</v>
      </c>
      <c r="M1371" t="s">
        <v>335</v>
      </c>
      <c r="N1371" t="s">
        <v>127</v>
      </c>
      <c r="O1371" t="s">
        <v>3562</v>
      </c>
      <c r="P1371" t="s">
        <v>49</v>
      </c>
      <c r="R1371">
        <v>1</v>
      </c>
      <c r="S1371">
        <v>0</v>
      </c>
      <c r="T1371" t="s">
        <v>439</v>
      </c>
      <c r="U1371" t="s">
        <v>4032</v>
      </c>
      <c r="V1371">
        <v>1125659842</v>
      </c>
      <c r="W1371">
        <v>29411022800115</v>
      </c>
      <c r="X1371">
        <v>34640</v>
      </c>
      <c r="Y1371" t="s">
        <v>103</v>
      </c>
      <c r="Z1371">
        <v>1</v>
      </c>
      <c r="AA1371">
        <v>1</v>
      </c>
      <c r="AB1371">
        <v>0</v>
      </c>
      <c r="AC1371" t="s">
        <v>4033</v>
      </c>
      <c r="AD1371" t="s">
        <v>3998</v>
      </c>
      <c r="AE1371" t="s">
        <v>3884</v>
      </c>
      <c r="AF1371">
        <v>88</v>
      </c>
      <c r="AG1371">
        <v>176</v>
      </c>
      <c r="AJ1371" t="s">
        <v>1442</v>
      </c>
    </row>
    <row r="1372" spans="1:36" ht="18.75" customHeight="1" x14ac:dyDescent="0.3">
      <c r="A1372" s="1">
        <v>2017135200140</v>
      </c>
      <c r="B1372" t="s">
        <v>106</v>
      </c>
      <c r="C1372" t="s">
        <v>4034</v>
      </c>
      <c r="D1372" t="s">
        <v>1375</v>
      </c>
      <c r="E1372" t="s">
        <v>335</v>
      </c>
      <c r="F1372">
        <v>157</v>
      </c>
      <c r="G1372">
        <v>42915</v>
      </c>
      <c r="H1372">
        <v>43663</v>
      </c>
      <c r="I1372">
        <v>45658</v>
      </c>
      <c r="J1372">
        <v>45213</v>
      </c>
      <c r="K1372">
        <v>45214</v>
      </c>
      <c r="L1372" t="s">
        <v>135</v>
      </c>
      <c r="M1372" t="s">
        <v>335</v>
      </c>
      <c r="N1372" t="s">
        <v>127</v>
      </c>
      <c r="O1372" t="s">
        <v>336</v>
      </c>
      <c r="Q1372" t="s">
        <v>49</v>
      </c>
      <c r="R1372">
        <v>6</v>
      </c>
      <c r="S1372">
        <v>0</v>
      </c>
      <c r="T1372" t="s">
        <v>439</v>
      </c>
      <c r="U1372" t="s">
        <v>4035</v>
      </c>
      <c r="V1372">
        <v>1025648532</v>
      </c>
      <c r="W1372">
        <v>30010260102753</v>
      </c>
      <c r="X1372">
        <v>36825</v>
      </c>
      <c r="Y1372" t="s">
        <v>103</v>
      </c>
      <c r="Z1372">
        <v>1</v>
      </c>
      <c r="AA1372">
        <v>0</v>
      </c>
      <c r="AB1372">
        <v>1</v>
      </c>
      <c r="AC1372" t="s">
        <v>4036</v>
      </c>
      <c r="AD1372" t="s">
        <v>1618</v>
      </c>
      <c r="AE1372" t="s">
        <v>176</v>
      </c>
      <c r="AF1372">
        <v>91</v>
      </c>
      <c r="AG1372">
        <v>185</v>
      </c>
      <c r="AJ1372" t="s">
        <v>4011</v>
      </c>
    </row>
    <row r="1373" spans="1:36" ht="18.75" customHeight="1" x14ac:dyDescent="0.3">
      <c r="A1373" s="1">
        <v>2017135202047</v>
      </c>
      <c r="B1373" t="s">
        <v>106</v>
      </c>
      <c r="C1373" t="s">
        <v>4037</v>
      </c>
      <c r="D1373" t="s">
        <v>1375</v>
      </c>
      <c r="E1373" t="s">
        <v>335</v>
      </c>
      <c r="F1373">
        <v>157</v>
      </c>
      <c r="G1373">
        <v>42915</v>
      </c>
      <c r="H1373">
        <v>43663</v>
      </c>
      <c r="I1373">
        <v>45658</v>
      </c>
      <c r="J1373">
        <v>45320</v>
      </c>
      <c r="K1373">
        <v>45321</v>
      </c>
      <c r="L1373" t="s">
        <v>135</v>
      </c>
      <c r="M1373" t="s">
        <v>335</v>
      </c>
      <c r="N1373" t="s">
        <v>127</v>
      </c>
      <c r="O1373" t="s">
        <v>336</v>
      </c>
      <c r="Q1373" t="s">
        <v>49</v>
      </c>
      <c r="R1373">
        <v>2</v>
      </c>
      <c r="S1373">
        <v>0</v>
      </c>
      <c r="T1373" t="s">
        <v>439</v>
      </c>
      <c r="U1373" t="s">
        <v>4038</v>
      </c>
      <c r="V1373">
        <v>1002548796</v>
      </c>
      <c r="W1373">
        <v>29902011802934</v>
      </c>
      <c r="X1373">
        <v>36192</v>
      </c>
      <c r="Y1373" t="s">
        <v>153</v>
      </c>
      <c r="Z1373">
        <v>0</v>
      </c>
      <c r="AA1373">
        <v>0</v>
      </c>
      <c r="AB1373">
        <v>0</v>
      </c>
      <c r="AC1373" t="s">
        <v>4039</v>
      </c>
      <c r="AD1373" t="s">
        <v>2265</v>
      </c>
      <c r="AE1373" t="s">
        <v>54</v>
      </c>
      <c r="AF1373">
        <v>85</v>
      </c>
      <c r="AG1373">
        <v>182</v>
      </c>
      <c r="AJ1373" t="s">
        <v>4040</v>
      </c>
    </row>
    <row r="1374" spans="1:36" ht="18.75" customHeight="1" x14ac:dyDescent="0.3">
      <c r="A1374" s="1">
        <v>2017131805621</v>
      </c>
      <c r="B1374" t="s">
        <v>106</v>
      </c>
      <c r="C1374" t="s">
        <v>4041</v>
      </c>
      <c r="D1374" t="s">
        <v>1375</v>
      </c>
      <c r="E1374" t="s">
        <v>335</v>
      </c>
      <c r="F1374">
        <v>157</v>
      </c>
      <c r="G1374">
        <v>42915</v>
      </c>
      <c r="H1374">
        <v>43663</v>
      </c>
      <c r="I1374">
        <v>45658</v>
      </c>
      <c r="J1374">
        <v>45324</v>
      </c>
      <c r="K1374">
        <v>45325</v>
      </c>
      <c r="L1374" t="s">
        <v>135</v>
      </c>
      <c r="M1374" t="s">
        <v>46</v>
      </c>
      <c r="N1374" t="s">
        <v>307</v>
      </c>
      <c r="O1374" t="s">
        <v>307</v>
      </c>
      <c r="Q1374" t="s">
        <v>49</v>
      </c>
      <c r="R1374">
        <v>4</v>
      </c>
      <c r="S1374">
        <v>0</v>
      </c>
      <c r="T1374" t="s">
        <v>439</v>
      </c>
      <c r="U1374" t="s">
        <v>4042</v>
      </c>
      <c r="V1374">
        <v>1002658741</v>
      </c>
      <c r="W1374">
        <v>29904101805293</v>
      </c>
      <c r="X1374">
        <v>36260</v>
      </c>
      <c r="Y1374" t="s">
        <v>153</v>
      </c>
      <c r="Z1374">
        <v>0</v>
      </c>
      <c r="AA1374">
        <v>0</v>
      </c>
      <c r="AB1374">
        <v>0</v>
      </c>
      <c r="AC1374" t="s">
        <v>4043</v>
      </c>
      <c r="AD1374" t="s">
        <v>470</v>
      </c>
      <c r="AE1374" t="s">
        <v>54</v>
      </c>
      <c r="AF1374">
        <v>69</v>
      </c>
      <c r="AG1374">
        <v>175</v>
      </c>
      <c r="AJ1374" t="s">
        <v>3642</v>
      </c>
    </row>
    <row r="1375" spans="1:36" ht="18.75" customHeight="1" x14ac:dyDescent="0.3">
      <c r="A1375" s="1">
        <v>2017131806702</v>
      </c>
      <c r="B1375" t="s">
        <v>106</v>
      </c>
      <c r="C1375" t="s">
        <v>4044</v>
      </c>
      <c r="D1375" t="s">
        <v>1375</v>
      </c>
      <c r="E1375" t="s">
        <v>335</v>
      </c>
      <c r="F1375">
        <v>157</v>
      </c>
      <c r="G1375">
        <v>42915</v>
      </c>
      <c r="H1375">
        <v>43663</v>
      </c>
      <c r="I1375">
        <v>45658</v>
      </c>
      <c r="J1375">
        <v>45839</v>
      </c>
      <c r="K1375">
        <v>45840</v>
      </c>
      <c r="L1375" t="s">
        <v>135</v>
      </c>
      <c r="M1375" t="s">
        <v>46</v>
      </c>
      <c r="N1375" t="s">
        <v>307</v>
      </c>
      <c r="O1375" t="s">
        <v>307</v>
      </c>
      <c r="Q1375" t="s">
        <v>49</v>
      </c>
      <c r="R1375">
        <v>4</v>
      </c>
      <c r="S1375">
        <v>0</v>
      </c>
      <c r="T1375" t="s">
        <v>439</v>
      </c>
      <c r="U1375" t="s">
        <v>4045</v>
      </c>
      <c r="V1375">
        <v>1280937478</v>
      </c>
      <c r="W1375">
        <v>30105200203896</v>
      </c>
      <c r="X1375">
        <v>37031</v>
      </c>
      <c r="Y1375" t="s">
        <v>153</v>
      </c>
      <c r="Z1375">
        <v>0</v>
      </c>
      <c r="AA1375">
        <v>0</v>
      </c>
      <c r="AB1375">
        <v>0</v>
      </c>
      <c r="AC1375" t="s">
        <v>4046</v>
      </c>
      <c r="AD1375" t="s">
        <v>4047</v>
      </c>
      <c r="AE1375" t="s">
        <v>4048</v>
      </c>
      <c r="AF1375">
        <v>75</v>
      </c>
      <c r="AG1375">
        <v>181</v>
      </c>
      <c r="AJ1375" t="s">
        <v>4049</v>
      </c>
    </row>
    <row r="1376" spans="1:36" ht="18.75" customHeight="1" x14ac:dyDescent="0.3">
      <c r="A1376" s="1">
        <v>2017131807338</v>
      </c>
      <c r="B1376" t="s">
        <v>106</v>
      </c>
      <c r="C1376" t="s">
        <v>4050</v>
      </c>
      <c r="D1376" t="s">
        <v>1375</v>
      </c>
      <c r="E1376" t="s">
        <v>335</v>
      </c>
      <c r="F1376">
        <v>157</v>
      </c>
      <c r="G1376">
        <v>42915</v>
      </c>
      <c r="H1376">
        <v>43663</v>
      </c>
      <c r="I1376">
        <v>45658</v>
      </c>
      <c r="J1376">
        <v>45326</v>
      </c>
      <c r="K1376">
        <v>45327</v>
      </c>
      <c r="L1376" t="s">
        <v>135</v>
      </c>
      <c r="M1376" t="s">
        <v>46</v>
      </c>
      <c r="N1376" t="s">
        <v>307</v>
      </c>
      <c r="O1376" t="s">
        <v>307</v>
      </c>
      <c r="Q1376" t="s">
        <v>49</v>
      </c>
      <c r="R1376">
        <v>0</v>
      </c>
      <c r="S1376">
        <v>0</v>
      </c>
      <c r="T1376" t="s">
        <v>439</v>
      </c>
      <c r="U1376" t="s">
        <v>4051</v>
      </c>
      <c r="V1376">
        <v>1055846321</v>
      </c>
      <c r="W1376">
        <v>29909201301596</v>
      </c>
      <c r="X1376">
        <v>36423</v>
      </c>
      <c r="Y1376" t="s">
        <v>51</v>
      </c>
      <c r="Z1376">
        <v>0</v>
      </c>
      <c r="AA1376">
        <v>0</v>
      </c>
      <c r="AB1376">
        <v>0</v>
      </c>
      <c r="AC1376" t="s">
        <v>4052</v>
      </c>
      <c r="AD1376" t="s">
        <v>4053</v>
      </c>
      <c r="AE1376" t="s">
        <v>64</v>
      </c>
      <c r="AF1376">
        <v>75</v>
      </c>
      <c r="AG1376">
        <v>175</v>
      </c>
      <c r="AJ1376" t="s">
        <v>4054</v>
      </c>
    </row>
    <row r="1377" spans="1:36" ht="18.75" customHeight="1" x14ac:dyDescent="0.3">
      <c r="A1377" s="1">
        <v>2019135200419</v>
      </c>
      <c r="B1377" t="s">
        <v>125</v>
      </c>
      <c r="C1377" t="s">
        <v>4055</v>
      </c>
      <c r="D1377" t="s">
        <v>1375</v>
      </c>
      <c r="E1377" t="s">
        <v>335</v>
      </c>
      <c r="G1377">
        <v>43692</v>
      </c>
      <c r="H1377">
        <v>44482</v>
      </c>
      <c r="I1377">
        <v>44482</v>
      </c>
      <c r="J1377">
        <v>45222</v>
      </c>
      <c r="K1377">
        <v>45223</v>
      </c>
      <c r="L1377" t="s">
        <v>135</v>
      </c>
      <c r="M1377" t="s">
        <v>335</v>
      </c>
      <c r="N1377" t="s">
        <v>127</v>
      </c>
      <c r="O1377" t="s">
        <v>336</v>
      </c>
      <c r="P1377" t="s">
        <v>49</v>
      </c>
      <c r="R1377">
        <v>1</v>
      </c>
      <c r="S1377">
        <v>0</v>
      </c>
      <c r="T1377" t="s">
        <v>439</v>
      </c>
      <c r="W1377">
        <v>29808012707319</v>
      </c>
      <c r="X1377">
        <v>36008</v>
      </c>
      <c r="Y1377" t="s">
        <v>51</v>
      </c>
      <c r="Z1377">
        <v>0</v>
      </c>
      <c r="AA1377">
        <v>0</v>
      </c>
      <c r="AB1377">
        <v>0</v>
      </c>
      <c r="AC1377" t="s">
        <v>4056</v>
      </c>
      <c r="AD1377" t="s">
        <v>391</v>
      </c>
      <c r="AE1377" t="s">
        <v>234</v>
      </c>
      <c r="AG1377" t="s">
        <v>787</v>
      </c>
    </row>
    <row r="1378" spans="1:36" ht="18.75" customHeight="1" x14ac:dyDescent="0.3">
      <c r="A1378" s="1">
        <v>2021135200034</v>
      </c>
      <c r="B1378" t="s">
        <v>125</v>
      </c>
      <c r="C1378" t="s">
        <v>4057</v>
      </c>
      <c r="D1378" t="s">
        <v>1375</v>
      </c>
      <c r="E1378" t="s">
        <v>335</v>
      </c>
      <c r="G1378">
        <v>44205</v>
      </c>
      <c r="H1378">
        <v>45197</v>
      </c>
      <c r="I1378">
        <v>45197</v>
      </c>
      <c r="J1378">
        <v>45587</v>
      </c>
      <c r="K1378">
        <v>45588</v>
      </c>
      <c r="L1378" t="s">
        <v>135</v>
      </c>
      <c r="M1378" t="s">
        <v>335</v>
      </c>
      <c r="N1378" t="s">
        <v>127</v>
      </c>
      <c r="O1378" t="s">
        <v>336</v>
      </c>
      <c r="P1378" t="s">
        <v>49</v>
      </c>
      <c r="R1378">
        <v>2</v>
      </c>
      <c r="S1378">
        <v>0</v>
      </c>
      <c r="T1378" t="s">
        <v>439</v>
      </c>
      <c r="W1378">
        <v>30210061400159</v>
      </c>
      <c r="X1378">
        <v>37535</v>
      </c>
      <c r="Y1378" t="s">
        <v>51</v>
      </c>
      <c r="Z1378">
        <v>0</v>
      </c>
      <c r="AA1378">
        <v>0</v>
      </c>
      <c r="AB1378">
        <v>0</v>
      </c>
      <c r="AC1378" t="s">
        <v>4058</v>
      </c>
      <c r="AD1378" t="s">
        <v>1618</v>
      </c>
      <c r="AE1378" t="s">
        <v>176</v>
      </c>
      <c r="AG1378" t="s">
        <v>787</v>
      </c>
    </row>
    <row r="1379" spans="1:36" ht="18.75" customHeight="1" x14ac:dyDescent="0.3">
      <c r="A1379" s="1">
        <v>2017135200546</v>
      </c>
      <c r="B1379" t="s">
        <v>106</v>
      </c>
      <c r="C1379" t="s">
        <v>4059</v>
      </c>
      <c r="D1379" t="s">
        <v>1375</v>
      </c>
      <c r="E1379" t="s">
        <v>335</v>
      </c>
      <c r="L1379" t="s">
        <v>135</v>
      </c>
      <c r="AG1379" t="s">
        <v>787</v>
      </c>
    </row>
    <row r="1380" spans="1:36" ht="18.75" customHeight="1" x14ac:dyDescent="0.3">
      <c r="A1380" s="1">
        <v>2017135200752</v>
      </c>
      <c r="B1380" t="s">
        <v>106</v>
      </c>
      <c r="C1380" t="s">
        <v>4060</v>
      </c>
      <c r="D1380" t="s">
        <v>1375</v>
      </c>
      <c r="E1380" t="s">
        <v>335</v>
      </c>
      <c r="L1380" t="s">
        <v>135</v>
      </c>
      <c r="AG1380" t="s">
        <v>787</v>
      </c>
    </row>
    <row r="1381" spans="1:36" ht="18.75" customHeight="1" x14ac:dyDescent="0.3">
      <c r="A1381" s="1">
        <v>2017135201411</v>
      </c>
      <c r="B1381" t="s">
        <v>106</v>
      </c>
      <c r="C1381" t="s">
        <v>4061</v>
      </c>
      <c r="D1381" t="s">
        <v>1375</v>
      </c>
      <c r="E1381" t="s">
        <v>335</v>
      </c>
      <c r="L1381" t="s">
        <v>135</v>
      </c>
      <c r="AG1381" t="s">
        <v>787</v>
      </c>
    </row>
    <row r="1382" spans="1:36" ht="18.75" customHeight="1" x14ac:dyDescent="0.3">
      <c r="A1382" s="1">
        <v>2021135200042</v>
      </c>
      <c r="B1382" t="s">
        <v>125</v>
      </c>
      <c r="C1382" t="s">
        <v>4062</v>
      </c>
      <c r="D1382" t="s">
        <v>1375</v>
      </c>
      <c r="E1382" t="s">
        <v>335</v>
      </c>
      <c r="G1382">
        <v>44205</v>
      </c>
      <c r="H1382">
        <v>45197</v>
      </c>
      <c r="I1382">
        <v>45196</v>
      </c>
      <c r="J1382">
        <v>45322</v>
      </c>
      <c r="K1382">
        <v>45323</v>
      </c>
      <c r="L1382" t="s">
        <v>135</v>
      </c>
      <c r="M1382" t="s">
        <v>335</v>
      </c>
      <c r="N1382" t="s">
        <v>127</v>
      </c>
      <c r="O1382" t="s">
        <v>336</v>
      </c>
      <c r="P1382" t="s">
        <v>49</v>
      </c>
      <c r="R1382">
        <v>0</v>
      </c>
      <c r="S1382">
        <v>0</v>
      </c>
      <c r="T1382" t="s">
        <v>439</v>
      </c>
      <c r="W1382">
        <v>29703041700076</v>
      </c>
      <c r="X1382">
        <v>35493</v>
      </c>
      <c r="Y1382" t="s">
        <v>51</v>
      </c>
      <c r="Z1382">
        <v>0</v>
      </c>
      <c r="AA1382">
        <v>0</v>
      </c>
      <c r="AB1382">
        <v>0</v>
      </c>
      <c r="AC1382" t="s">
        <v>4063</v>
      </c>
      <c r="AD1382" t="s">
        <v>4064</v>
      </c>
      <c r="AE1382" t="s">
        <v>176</v>
      </c>
      <c r="AG1382" t="s">
        <v>787</v>
      </c>
    </row>
    <row r="1383" spans="1:36" ht="18.75" customHeight="1" x14ac:dyDescent="0.3">
      <c r="A1383" s="1">
        <v>2017135202807</v>
      </c>
      <c r="B1383" t="s">
        <v>106</v>
      </c>
      <c r="C1383" t="s">
        <v>4065</v>
      </c>
      <c r="D1383" t="s">
        <v>1375</v>
      </c>
      <c r="E1383" t="s">
        <v>335</v>
      </c>
      <c r="L1383" t="s">
        <v>135</v>
      </c>
      <c r="AG1383" t="s">
        <v>787</v>
      </c>
    </row>
    <row r="1384" spans="1:36" ht="18.75" customHeight="1" x14ac:dyDescent="0.3">
      <c r="A1384" s="1">
        <v>2018131801172</v>
      </c>
      <c r="B1384" t="s">
        <v>106</v>
      </c>
      <c r="C1384" t="s">
        <v>4066</v>
      </c>
      <c r="D1384" t="s">
        <v>1375</v>
      </c>
      <c r="E1384" t="s">
        <v>335</v>
      </c>
      <c r="G1384">
        <v>43279</v>
      </c>
      <c r="H1384">
        <v>44117</v>
      </c>
      <c r="I1384">
        <v>46023</v>
      </c>
      <c r="L1384" t="s">
        <v>135</v>
      </c>
      <c r="M1384" t="s">
        <v>335</v>
      </c>
      <c r="N1384" t="s">
        <v>127</v>
      </c>
      <c r="O1384" t="s">
        <v>307</v>
      </c>
      <c r="P1384" t="s">
        <v>49</v>
      </c>
      <c r="R1384">
        <v>0</v>
      </c>
      <c r="S1384">
        <v>0</v>
      </c>
      <c r="T1384">
        <v>0</v>
      </c>
      <c r="W1384" t="s">
        <v>4067</v>
      </c>
      <c r="X1384">
        <v>37374</v>
      </c>
      <c r="Y1384" t="s">
        <v>153</v>
      </c>
      <c r="Z1384">
        <v>0</v>
      </c>
      <c r="AD1384" t="s">
        <v>4068</v>
      </c>
      <c r="AE1384" t="s">
        <v>176</v>
      </c>
      <c r="AG1384" t="s">
        <v>787</v>
      </c>
    </row>
    <row r="1385" spans="1:36" ht="18.75" customHeight="1" x14ac:dyDescent="0.3">
      <c r="A1385" s="1">
        <v>2018131812129</v>
      </c>
      <c r="B1385" t="s">
        <v>106</v>
      </c>
      <c r="C1385" t="s">
        <v>4069</v>
      </c>
      <c r="D1385" t="s">
        <v>1375</v>
      </c>
      <c r="E1385" t="s">
        <v>335</v>
      </c>
      <c r="G1385">
        <v>43279</v>
      </c>
      <c r="H1385">
        <v>44117</v>
      </c>
      <c r="I1385">
        <v>46023</v>
      </c>
      <c r="L1385" t="s">
        <v>135</v>
      </c>
      <c r="M1385" t="s">
        <v>46</v>
      </c>
      <c r="N1385" t="s">
        <v>127</v>
      </c>
      <c r="O1385" t="s">
        <v>307</v>
      </c>
      <c r="P1385" t="s">
        <v>49</v>
      </c>
      <c r="R1385">
        <v>3</v>
      </c>
      <c r="S1385">
        <v>0</v>
      </c>
      <c r="T1385">
        <v>0</v>
      </c>
      <c r="W1385">
        <v>30007201200937</v>
      </c>
      <c r="X1385">
        <v>36709</v>
      </c>
      <c r="Y1385" t="s">
        <v>153</v>
      </c>
      <c r="Z1385">
        <v>0</v>
      </c>
      <c r="AD1385" t="s">
        <v>155</v>
      </c>
      <c r="AE1385" t="s">
        <v>118</v>
      </c>
      <c r="AG1385" t="s">
        <v>787</v>
      </c>
    </row>
    <row r="1386" spans="1:36" ht="18.75" customHeight="1" x14ac:dyDescent="0.3">
      <c r="A1386" s="1">
        <v>2018132401012</v>
      </c>
      <c r="B1386" t="s">
        <v>106</v>
      </c>
      <c r="C1386" t="s">
        <v>4070</v>
      </c>
      <c r="D1386" t="s">
        <v>1375</v>
      </c>
      <c r="E1386" t="s">
        <v>335</v>
      </c>
      <c r="G1386">
        <v>43279</v>
      </c>
      <c r="I1386">
        <v>46023</v>
      </c>
      <c r="J1386">
        <v>45586</v>
      </c>
      <c r="K1386">
        <v>45587</v>
      </c>
      <c r="L1386" t="s">
        <v>135</v>
      </c>
      <c r="M1386" t="s">
        <v>1171</v>
      </c>
      <c r="N1386" t="s">
        <v>127</v>
      </c>
      <c r="O1386" t="s">
        <v>1297</v>
      </c>
      <c r="P1386" t="s">
        <v>49</v>
      </c>
      <c r="R1386">
        <v>1</v>
      </c>
      <c r="S1386">
        <v>0</v>
      </c>
      <c r="T1386">
        <v>0</v>
      </c>
      <c r="W1386">
        <v>30202101600293</v>
      </c>
      <c r="X1386">
        <v>37288</v>
      </c>
      <c r="Y1386" t="s">
        <v>153</v>
      </c>
      <c r="Z1386">
        <v>0</v>
      </c>
      <c r="AA1386">
        <v>0</v>
      </c>
      <c r="AB1386">
        <v>0</v>
      </c>
      <c r="AC1386" t="s">
        <v>4071</v>
      </c>
      <c r="AD1386" t="s">
        <v>4072</v>
      </c>
      <c r="AE1386" t="s">
        <v>73</v>
      </c>
      <c r="AG1386" t="s">
        <v>787</v>
      </c>
      <c r="AJ1386" t="s">
        <v>4073</v>
      </c>
    </row>
    <row r="1387" spans="1:36" ht="18.75" customHeight="1" x14ac:dyDescent="0.3">
      <c r="A1387" s="1">
        <v>2018135200073</v>
      </c>
      <c r="B1387" t="s">
        <v>125</v>
      </c>
      <c r="C1387" t="s">
        <v>4074</v>
      </c>
      <c r="D1387" t="s">
        <v>1375</v>
      </c>
      <c r="E1387" t="s">
        <v>335</v>
      </c>
      <c r="G1387">
        <v>43279</v>
      </c>
      <c r="H1387">
        <v>44482</v>
      </c>
      <c r="I1387">
        <v>44482</v>
      </c>
      <c r="J1387">
        <v>44500</v>
      </c>
      <c r="K1387">
        <v>44501</v>
      </c>
      <c r="L1387" t="s">
        <v>135</v>
      </c>
      <c r="M1387" t="s">
        <v>335</v>
      </c>
      <c r="N1387" t="s">
        <v>127</v>
      </c>
      <c r="P1387" t="s">
        <v>49</v>
      </c>
      <c r="R1387">
        <v>0</v>
      </c>
      <c r="W1387">
        <v>29809151403037</v>
      </c>
      <c r="X1387">
        <v>36053</v>
      </c>
      <c r="Y1387">
        <v>1</v>
      </c>
      <c r="Z1387">
        <v>1</v>
      </c>
      <c r="AA1387">
        <v>0</v>
      </c>
      <c r="AD1387" t="s">
        <v>4075</v>
      </c>
      <c r="AE1387" t="s">
        <v>176</v>
      </c>
      <c r="AG1387" t="s">
        <v>787</v>
      </c>
    </row>
    <row r="1388" spans="1:36" ht="18.75" customHeight="1" x14ac:dyDescent="0.3">
      <c r="A1388" s="1">
        <v>2021135200258</v>
      </c>
      <c r="B1388" t="s">
        <v>125</v>
      </c>
      <c r="C1388" t="s">
        <v>4076</v>
      </c>
      <c r="D1388" t="s">
        <v>1375</v>
      </c>
      <c r="E1388" t="s">
        <v>335</v>
      </c>
      <c r="G1388">
        <v>44205</v>
      </c>
      <c r="H1388">
        <v>45197</v>
      </c>
      <c r="I1388">
        <v>45197</v>
      </c>
      <c r="J1388">
        <v>45304</v>
      </c>
      <c r="K1388">
        <v>45323</v>
      </c>
      <c r="L1388" t="s">
        <v>135</v>
      </c>
      <c r="M1388" t="s">
        <v>335</v>
      </c>
      <c r="N1388" t="s">
        <v>127</v>
      </c>
      <c r="O1388" t="s">
        <v>336</v>
      </c>
      <c r="P1388" t="s">
        <v>49</v>
      </c>
      <c r="R1388">
        <v>1</v>
      </c>
      <c r="S1388">
        <v>0</v>
      </c>
      <c r="T1388" t="s">
        <v>439</v>
      </c>
      <c r="W1388">
        <v>30212121301972</v>
      </c>
      <c r="X1388">
        <v>37602</v>
      </c>
      <c r="Y1388" t="s">
        <v>153</v>
      </c>
      <c r="Z1388">
        <v>0</v>
      </c>
      <c r="AA1388">
        <v>0</v>
      </c>
      <c r="AB1388">
        <v>0</v>
      </c>
      <c r="AC1388" t="s">
        <v>4077</v>
      </c>
      <c r="AD1388" t="s">
        <v>4078</v>
      </c>
      <c r="AE1388" t="s">
        <v>64</v>
      </c>
      <c r="AG1388" t="s">
        <v>787</v>
      </c>
    </row>
    <row r="1389" spans="1:36" ht="18.75" customHeight="1" x14ac:dyDescent="0.3">
      <c r="A1389" s="1">
        <v>2018135200966</v>
      </c>
      <c r="B1389" t="s">
        <v>125</v>
      </c>
      <c r="C1389" t="s">
        <v>4079</v>
      </c>
      <c r="D1389" t="s">
        <v>1375</v>
      </c>
      <c r="E1389" t="s">
        <v>335</v>
      </c>
      <c r="G1389">
        <v>43279</v>
      </c>
      <c r="H1389">
        <v>44117</v>
      </c>
      <c r="I1389">
        <v>44117</v>
      </c>
      <c r="K1389">
        <v>45419</v>
      </c>
      <c r="L1389" t="s">
        <v>135</v>
      </c>
      <c r="M1389" t="s">
        <v>335</v>
      </c>
      <c r="N1389" t="s">
        <v>127</v>
      </c>
      <c r="P1389" t="s">
        <v>49</v>
      </c>
      <c r="R1389">
        <v>7</v>
      </c>
      <c r="W1389">
        <v>30101011355256</v>
      </c>
      <c r="X1389">
        <v>36892</v>
      </c>
      <c r="Y1389" t="s">
        <v>153</v>
      </c>
      <c r="Z1389">
        <v>0</v>
      </c>
      <c r="AA1389">
        <v>0</v>
      </c>
      <c r="AB1389">
        <v>0</v>
      </c>
      <c r="AG1389" t="s">
        <v>787</v>
      </c>
    </row>
    <row r="1390" spans="1:36" ht="18.75" customHeight="1" x14ac:dyDescent="0.3">
      <c r="A1390" s="1">
        <v>2021135200381</v>
      </c>
      <c r="B1390" t="s">
        <v>125</v>
      </c>
      <c r="C1390" t="s">
        <v>4080</v>
      </c>
      <c r="D1390" t="s">
        <v>1375</v>
      </c>
      <c r="E1390" t="s">
        <v>335</v>
      </c>
      <c r="G1390">
        <v>44205</v>
      </c>
      <c r="H1390">
        <v>45197</v>
      </c>
      <c r="I1390">
        <v>45196</v>
      </c>
      <c r="J1390">
        <v>45322</v>
      </c>
      <c r="K1390">
        <v>45323</v>
      </c>
      <c r="L1390" t="s">
        <v>135</v>
      </c>
      <c r="M1390" t="s">
        <v>335</v>
      </c>
      <c r="N1390" t="s">
        <v>127</v>
      </c>
      <c r="O1390" t="s">
        <v>336</v>
      </c>
      <c r="P1390" t="s">
        <v>49</v>
      </c>
      <c r="R1390">
        <v>0</v>
      </c>
      <c r="S1390">
        <v>0</v>
      </c>
      <c r="T1390" t="s">
        <v>439</v>
      </c>
      <c r="W1390">
        <v>30302161303675</v>
      </c>
      <c r="X1390">
        <v>37668</v>
      </c>
      <c r="Y1390" t="s">
        <v>153</v>
      </c>
      <c r="Z1390">
        <v>0</v>
      </c>
      <c r="AA1390">
        <v>0</v>
      </c>
      <c r="AB1390">
        <v>0</v>
      </c>
      <c r="AC1390" t="s">
        <v>4081</v>
      </c>
      <c r="AD1390" t="s">
        <v>3940</v>
      </c>
      <c r="AE1390" t="s">
        <v>64</v>
      </c>
      <c r="AG1390" t="s">
        <v>787</v>
      </c>
    </row>
    <row r="1391" spans="1:36" ht="18.75" customHeight="1" x14ac:dyDescent="0.3">
      <c r="A1391" s="1">
        <v>2021135200399</v>
      </c>
      <c r="B1391" t="s">
        <v>125</v>
      </c>
      <c r="C1391" t="s">
        <v>4082</v>
      </c>
      <c r="D1391" t="s">
        <v>1375</v>
      </c>
      <c r="E1391" t="s">
        <v>335</v>
      </c>
      <c r="G1391">
        <v>44205</v>
      </c>
      <c r="H1391">
        <v>45197</v>
      </c>
      <c r="I1391">
        <v>45197</v>
      </c>
      <c r="J1391">
        <v>45213</v>
      </c>
      <c r="K1391">
        <v>45213</v>
      </c>
      <c r="L1391" t="s">
        <v>135</v>
      </c>
      <c r="M1391" t="s">
        <v>335</v>
      </c>
      <c r="N1391" t="s">
        <v>127</v>
      </c>
      <c r="O1391" t="s">
        <v>336</v>
      </c>
      <c r="P1391" t="s">
        <v>49</v>
      </c>
      <c r="R1391">
        <v>0</v>
      </c>
      <c r="S1391">
        <v>0</v>
      </c>
      <c r="T1391" t="s">
        <v>439</v>
      </c>
      <c r="W1391">
        <v>30303011320713</v>
      </c>
      <c r="X1391">
        <v>37681</v>
      </c>
      <c r="Y1391" t="s">
        <v>153</v>
      </c>
      <c r="Z1391">
        <v>0</v>
      </c>
      <c r="AA1391">
        <v>0</v>
      </c>
      <c r="AB1391">
        <v>0</v>
      </c>
      <c r="AC1391" t="s">
        <v>4083</v>
      </c>
      <c r="AD1391" t="s">
        <v>3940</v>
      </c>
      <c r="AE1391" t="s">
        <v>64</v>
      </c>
      <c r="AG1391" t="s">
        <v>787</v>
      </c>
    </row>
    <row r="1392" spans="1:36" ht="18.75" customHeight="1" x14ac:dyDescent="0.3">
      <c r="A1392" s="1">
        <v>2021135201280</v>
      </c>
      <c r="B1392" t="s">
        <v>125</v>
      </c>
      <c r="C1392" t="s">
        <v>4084</v>
      </c>
      <c r="D1392" t="s">
        <v>1375</v>
      </c>
      <c r="E1392" t="s">
        <v>335</v>
      </c>
      <c r="G1392">
        <v>44546</v>
      </c>
      <c r="I1392">
        <v>45199</v>
      </c>
      <c r="J1392">
        <v>45588</v>
      </c>
      <c r="K1392">
        <v>45589</v>
      </c>
      <c r="L1392" t="s">
        <v>135</v>
      </c>
      <c r="M1392" t="s">
        <v>335</v>
      </c>
      <c r="N1392" t="s">
        <v>127</v>
      </c>
      <c r="O1392" t="s">
        <v>336</v>
      </c>
      <c r="P1392" t="s">
        <v>49</v>
      </c>
      <c r="R1392">
        <v>0</v>
      </c>
      <c r="S1392">
        <v>0</v>
      </c>
      <c r="T1392" t="s">
        <v>439</v>
      </c>
      <c r="W1392" t="s">
        <v>4085</v>
      </c>
      <c r="X1392">
        <v>38464</v>
      </c>
      <c r="Y1392" t="s">
        <v>153</v>
      </c>
      <c r="Z1392">
        <v>0</v>
      </c>
      <c r="AA1392">
        <v>0</v>
      </c>
      <c r="AB1392">
        <v>0</v>
      </c>
      <c r="AC1392" t="s">
        <v>4086</v>
      </c>
      <c r="AD1392" t="s">
        <v>4087</v>
      </c>
      <c r="AE1392" t="s">
        <v>1127</v>
      </c>
      <c r="AG1392" t="s">
        <v>787</v>
      </c>
    </row>
    <row r="1393" spans="1:40" ht="18.75" customHeight="1" x14ac:dyDescent="0.3">
      <c r="A1393" s="1">
        <v>2021135201537</v>
      </c>
      <c r="B1393" t="s">
        <v>125</v>
      </c>
      <c r="C1393" t="s">
        <v>4088</v>
      </c>
      <c r="D1393" t="s">
        <v>1375</v>
      </c>
      <c r="E1393" t="s">
        <v>335</v>
      </c>
      <c r="G1393">
        <v>44546</v>
      </c>
      <c r="I1393">
        <v>45565</v>
      </c>
      <c r="J1393">
        <v>45839</v>
      </c>
      <c r="K1393">
        <v>45840</v>
      </c>
      <c r="L1393" t="s">
        <v>135</v>
      </c>
      <c r="M1393" t="s">
        <v>335</v>
      </c>
      <c r="N1393" t="s">
        <v>127</v>
      </c>
      <c r="O1393" t="s">
        <v>336</v>
      </c>
      <c r="P1393" t="s">
        <v>49</v>
      </c>
      <c r="R1393">
        <v>0</v>
      </c>
      <c r="S1393">
        <v>0</v>
      </c>
      <c r="T1393" t="s">
        <v>439</v>
      </c>
      <c r="W1393">
        <v>30312221300072</v>
      </c>
      <c r="X1393">
        <v>37977</v>
      </c>
      <c r="Y1393" t="s">
        <v>153</v>
      </c>
      <c r="Z1393">
        <v>0</v>
      </c>
      <c r="AA1393">
        <v>0</v>
      </c>
      <c r="AB1393">
        <v>0</v>
      </c>
      <c r="AD1393" t="s">
        <v>408</v>
      </c>
      <c r="AE1393" t="s">
        <v>64</v>
      </c>
      <c r="AG1393" t="s">
        <v>787</v>
      </c>
    </row>
    <row r="1394" spans="1:40" ht="18.75" customHeight="1" x14ac:dyDescent="0.3">
      <c r="A1394" s="1">
        <v>2018135202087</v>
      </c>
      <c r="B1394" t="s">
        <v>125</v>
      </c>
      <c r="C1394" t="s">
        <v>4089</v>
      </c>
      <c r="D1394" t="s">
        <v>1375</v>
      </c>
      <c r="E1394" t="s">
        <v>335</v>
      </c>
      <c r="G1394">
        <v>43279</v>
      </c>
      <c r="H1394">
        <v>44117</v>
      </c>
      <c r="I1394">
        <v>44025</v>
      </c>
      <c r="K1394">
        <v>45321</v>
      </c>
      <c r="L1394" t="s">
        <v>135</v>
      </c>
      <c r="M1394" t="s">
        <v>335</v>
      </c>
      <c r="N1394" t="s">
        <v>127</v>
      </c>
      <c r="Q1394" t="s">
        <v>49</v>
      </c>
      <c r="R1394">
        <v>4</v>
      </c>
      <c r="S1394" t="s">
        <v>439</v>
      </c>
      <c r="T1394">
        <v>0</v>
      </c>
      <c r="W1394">
        <v>29905051203951</v>
      </c>
      <c r="X1394">
        <v>36285</v>
      </c>
      <c r="Y1394" t="s">
        <v>153</v>
      </c>
      <c r="Z1394">
        <v>0</v>
      </c>
      <c r="AA1394">
        <v>0</v>
      </c>
      <c r="AB1394">
        <v>0</v>
      </c>
      <c r="AD1394" t="s">
        <v>155</v>
      </c>
      <c r="AE1394" t="s">
        <v>118</v>
      </c>
      <c r="AG1394" t="s">
        <v>787</v>
      </c>
    </row>
    <row r="1395" spans="1:40" ht="18.75" customHeight="1" x14ac:dyDescent="0.3">
      <c r="A1395" s="1">
        <v>2018135202417</v>
      </c>
      <c r="B1395" t="s">
        <v>106</v>
      </c>
      <c r="C1395" t="s">
        <v>4090</v>
      </c>
      <c r="D1395" t="s">
        <v>1375</v>
      </c>
      <c r="E1395" t="s">
        <v>335</v>
      </c>
      <c r="G1395">
        <v>43279</v>
      </c>
      <c r="H1395">
        <v>44117</v>
      </c>
      <c r="I1395">
        <v>46023</v>
      </c>
      <c r="J1395">
        <v>45969</v>
      </c>
      <c r="K1395">
        <v>45970</v>
      </c>
      <c r="L1395" t="s">
        <v>135</v>
      </c>
      <c r="M1395" t="s">
        <v>335</v>
      </c>
      <c r="N1395" t="s">
        <v>127</v>
      </c>
      <c r="O1395" t="s">
        <v>3562</v>
      </c>
      <c r="P1395" t="s">
        <v>49</v>
      </c>
      <c r="R1395">
        <v>2</v>
      </c>
      <c r="S1395">
        <v>0</v>
      </c>
      <c r="T1395" t="s">
        <v>439</v>
      </c>
      <c r="U1395" t="s">
        <v>439</v>
      </c>
      <c r="W1395">
        <v>29907052800913</v>
      </c>
      <c r="X1395">
        <v>36346</v>
      </c>
      <c r="Y1395" t="s">
        <v>153</v>
      </c>
      <c r="Z1395">
        <v>0</v>
      </c>
      <c r="AA1395">
        <v>0</v>
      </c>
      <c r="AB1395">
        <v>0</v>
      </c>
      <c r="AC1395" t="s">
        <v>4091</v>
      </c>
      <c r="AD1395" t="s">
        <v>3998</v>
      </c>
      <c r="AE1395" t="s">
        <v>3884</v>
      </c>
      <c r="AG1395" t="s">
        <v>787</v>
      </c>
      <c r="AJ1395" t="s">
        <v>4092</v>
      </c>
    </row>
    <row r="1396" spans="1:40" ht="18.75" customHeight="1" x14ac:dyDescent="0.3">
      <c r="A1396" s="1">
        <v>2018135202615</v>
      </c>
      <c r="B1396" t="s">
        <v>106</v>
      </c>
      <c r="C1396" t="s">
        <v>4093</v>
      </c>
      <c r="D1396" t="s">
        <v>1375</v>
      </c>
      <c r="E1396" t="s">
        <v>335</v>
      </c>
      <c r="G1396">
        <v>43279</v>
      </c>
      <c r="I1396">
        <v>46023</v>
      </c>
      <c r="J1396">
        <v>44416</v>
      </c>
      <c r="K1396">
        <v>44417</v>
      </c>
      <c r="L1396" t="s">
        <v>135</v>
      </c>
      <c r="M1396" t="s">
        <v>335</v>
      </c>
      <c r="N1396" t="s">
        <v>127</v>
      </c>
      <c r="O1396" t="s">
        <v>3562</v>
      </c>
      <c r="P1396" t="s">
        <v>49</v>
      </c>
      <c r="R1396">
        <v>0</v>
      </c>
      <c r="S1396">
        <v>0</v>
      </c>
      <c r="T1396" t="s">
        <v>439</v>
      </c>
      <c r="W1396">
        <v>299012127000432</v>
      </c>
      <c r="X1396">
        <v>36181</v>
      </c>
      <c r="Y1396" t="s">
        <v>153</v>
      </c>
      <c r="Z1396">
        <v>0</v>
      </c>
      <c r="AA1396">
        <v>0</v>
      </c>
      <c r="AB1396">
        <v>0</v>
      </c>
      <c r="AC1396" t="s">
        <v>4094</v>
      </c>
      <c r="AD1396" t="s">
        <v>2950</v>
      </c>
      <c r="AE1396" t="s">
        <v>2950</v>
      </c>
      <c r="AG1396" t="s">
        <v>787</v>
      </c>
    </row>
    <row r="1397" spans="1:40" ht="18.75" customHeight="1" x14ac:dyDescent="0.3">
      <c r="A1397" s="1">
        <v>2018135202681</v>
      </c>
      <c r="B1397" t="s">
        <v>106</v>
      </c>
      <c r="C1397" t="s">
        <v>4095</v>
      </c>
      <c r="D1397" t="s">
        <v>1375</v>
      </c>
      <c r="E1397" t="s">
        <v>335</v>
      </c>
      <c r="G1397">
        <v>43279</v>
      </c>
      <c r="I1397">
        <v>46023</v>
      </c>
      <c r="J1397">
        <v>45969</v>
      </c>
      <c r="K1397">
        <v>45970</v>
      </c>
      <c r="L1397" t="s">
        <v>135</v>
      </c>
      <c r="M1397" t="s">
        <v>335</v>
      </c>
      <c r="N1397" t="s">
        <v>127</v>
      </c>
      <c r="O1397" t="s">
        <v>3562</v>
      </c>
      <c r="P1397" t="s">
        <v>49</v>
      </c>
      <c r="R1397">
        <v>1</v>
      </c>
      <c r="S1397">
        <v>0</v>
      </c>
      <c r="T1397" t="s">
        <v>439</v>
      </c>
      <c r="W1397">
        <v>29807022800299</v>
      </c>
      <c r="X1397">
        <v>35978</v>
      </c>
      <c r="Y1397" t="s">
        <v>153</v>
      </c>
      <c r="Z1397">
        <v>0</v>
      </c>
      <c r="AA1397">
        <v>0</v>
      </c>
      <c r="AB1397">
        <v>0</v>
      </c>
      <c r="AC1397" t="s">
        <v>4096</v>
      </c>
      <c r="AD1397" t="s">
        <v>3994</v>
      </c>
      <c r="AE1397" t="s">
        <v>3884</v>
      </c>
      <c r="AG1397" t="s">
        <v>787</v>
      </c>
      <c r="AJ1397" t="s">
        <v>4092</v>
      </c>
    </row>
    <row r="1398" spans="1:40" ht="18.75" customHeight="1" x14ac:dyDescent="0.3">
      <c r="A1398" s="1">
        <v>2019130403521</v>
      </c>
      <c r="B1398" t="s">
        <v>125</v>
      </c>
      <c r="C1398" t="s">
        <v>4097</v>
      </c>
      <c r="D1398" t="s">
        <v>1375</v>
      </c>
      <c r="E1398" t="s">
        <v>335</v>
      </c>
      <c r="G1398">
        <v>43692</v>
      </c>
      <c r="I1398">
        <v>44481</v>
      </c>
      <c r="J1398">
        <v>44500</v>
      </c>
      <c r="K1398">
        <v>44501</v>
      </c>
      <c r="L1398" t="s">
        <v>135</v>
      </c>
      <c r="M1398" t="s">
        <v>335</v>
      </c>
      <c r="N1398" t="s">
        <v>127</v>
      </c>
      <c r="O1398" t="s">
        <v>78</v>
      </c>
      <c r="P1398" t="s">
        <v>49</v>
      </c>
      <c r="R1398">
        <v>4</v>
      </c>
      <c r="S1398">
        <v>0</v>
      </c>
      <c r="T1398" t="s">
        <v>439</v>
      </c>
      <c r="W1398">
        <v>30103212200679</v>
      </c>
      <c r="X1398">
        <v>36981</v>
      </c>
      <c r="Y1398" t="s">
        <v>103</v>
      </c>
      <c r="Z1398">
        <v>1</v>
      </c>
      <c r="AA1398">
        <v>0</v>
      </c>
      <c r="AB1398">
        <v>1</v>
      </c>
      <c r="AC1398" t="s">
        <v>4098</v>
      </c>
      <c r="AD1398" t="s">
        <v>4099</v>
      </c>
      <c r="AE1398" t="s">
        <v>1520</v>
      </c>
      <c r="AG1398" t="s">
        <v>787</v>
      </c>
    </row>
    <row r="1399" spans="1:40" ht="18.75" customHeight="1" x14ac:dyDescent="0.3">
      <c r="A1399" s="1">
        <v>2023138308039</v>
      </c>
      <c r="B1399" t="s">
        <v>125</v>
      </c>
      <c r="C1399" t="s">
        <v>4100</v>
      </c>
      <c r="D1399" t="s">
        <v>1375</v>
      </c>
      <c r="E1399" t="s">
        <v>335</v>
      </c>
      <c r="G1399">
        <v>44941</v>
      </c>
      <c r="I1399">
        <v>45926</v>
      </c>
      <c r="J1399">
        <v>45950</v>
      </c>
      <c r="K1399">
        <v>45951</v>
      </c>
      <c r="L1399" t="s">
        <v>135</v>
      </c>
      <c r="M1399" t="s">
        <v>335</v>
      </c>
      <c r="N1399" t="s">
        <v>127</v>
      </c>
      <c r="O1399" t="s">
        <v>336</v>
      </c>
      <c r="P1399" t="s">
        <v>49</v>
      </c>
      <c r="R1399">
        <v>0</v>
      </c>
      <c r="S1399">
        <v>0</v>
      </c>
      <c r="T1399" t="s">
        <v>439</v>
      </c>
      <c r="W1399">
        <v>30409141602519</v>
      </c>
      <c r="X1399">
        <v>38244</v>
      </c>
      <c r="Y1399" t="s">
        <v>153</v>
      </c>
      <c r="Z1399">
        <v>0</v>
      </c>
      <c r="AA1399">
        <v>0</v>
      </c>
      <c r="AB1399">
        <v>0</v>
      </c>
      <c r="AC1399" t="s">
        <v>4101</v>
      </c>
      <c r="AD1399" t="s">
        <v>402</v>
      </c>
      <c r="AE1399" t="s">
        <v>73</v>
      </c>
      <c r="AG1399" t="s">
        <v>787</v>
      </c>
    </row>
    <row r="1400" spans="1:40" ht="18.75" customHeight="1" x14ac:dyDescent="0.3">
      <c r="A1400" s="1">
        <v>2019135200617</v>
      </c>
      <c r="B1400" t="s">
        <v>125</v>
      </c>
      <c r="C1400" t="s">
        <v>4102</v>
      </c>
      <c r="D1400" t="s">
        <v>1375</v>
      </c>
      <c r="E1400" t="s">
        <v>335</v>
      </c>
      <c r="G1400">
        <v>43692</v>
      </c>
      <c r="H1400">
        <v>44482</v>
      </c>
      <c r="I1400">
        <v>44482</v>
      </c>
      <c r="J1400">
        <v>44500</v>
      </c>
      <c r="K1400">
        <v>44501</v>
      </c>
      <c r="L1400" t="s">
        <v>135</v>
      </c>
      <c r="M1400" t="s">
        <v>335</v>
      </c>
      <c r="N1400" t="s">
        <v>127</v>
      </c>
      <c r="O1400" t="s">
        <v>3562</v>
      </c>
      <c r="P1400" t="s">
        <v>49</v>
      </c>
      <c r="R1400">
        <v>0</v>
      </c>
      <c r="S1400">
        <v>0</v>
      </c>
      <c r="T1400" t="s">
        <v>439</v>
      </c>
      <c r="W1400">
        <v>29805172800618</v>
      </c>
      <c r="X1400">
        <v>35932</v>
      </c>
      <c r="Y1400" t="s">
        <v>153</v>
      </c>
      <c r="Z1400">
        <v>0</v>
      </c>
      <c r="AA1400">
        <v>0</v>
      </c>
      <c r="AB1400">
        <v>0</v>
      </c>
      <c r="AC1400" t="s">
        <v>4103</v>
      </c>
      <c r="AD1400" t="s">
        <v>3994</v>
      </c>
      <c r="AE1400" t="s">
        <v>3884</v>
      </c>
      <c r="AG1400" t="s">
        <v>787</v>
      </c>
    </row>
    <row r="1401" spans="1:40" ht="18.75" customHeight="1" x14ac:dyDescent="0.3">
      <c r="A1401" s="1">
        <v>2019135200724</v>
      </c>
      <c r="B1401" t="s">
        <v>125</v>
      </c>
      <c r="C1401" t="s">
        <v>4104</v>
      </c>
      <c r="D1401" t="s">
        <v>1375</v>
      </c>
      <c r="E1401" t="s">
        <v>335</v>
      </c>
      <c r="G1401">
        <v>43692</v>
      </c>
      <c r="I1401">
        <v>44482</v>
      </c>
      <c r="J1401">
        <v>44500</v>
      </c>
      <c r="K1401">
        <v>44501</v>
      </c>
      <c r="L1401" t="s">
        <v>135</v>
      </c>
      <c r="M1401" t="s">
        <v>335</v>
      </c>
      <c r="N1401" t="s">
        <v>127</v>
      </c>
      <c r="O1401" t="s">
        <v>3562</v>
      </c>
      <c r="P1401" t="s">
        <v>49</v>
      </c>
      <c r="R1401">
        <v>0</v>
      </c>
      <c r="S1401">
        <v>0</v>
      </c>
      <c r="T1401" t="s">
        <v>439</v>
      </c>
      <c r="W1401">
        <v>29808162800694</v>
      </c>
      <c r="X1401">
        <v>36023</v>
      </c>
      <c r="Y1401" t="s">
        <v>153</v>
      </c>
      <c r="Z1401">
        <v>0</v>
      </c>
      <c r="AA1401">
        <v>0</v>
      </c>
      <c r="AB1401">
        <v>0</v>
      </c>
      <c r="AC1401" t="s">
        <v>4015</v>
      </c>
      <c r="AD1401" t="s">
        <v>3994</v>
      </c>
      <c r="AE1401" t="s">
        <v>3884</v>
      </c>
      <c r="AG1401" t="s">
        <v>787</v>
      </c>
    </row>
    <row r="1402" spans="1:40" ht="18.75" customHeight="1" x14ac:dyDescent="0.3">
      <c r="A1402" s="1">
        <v>2014135200964</v>
      </c>
      <c r="B1402" t="s">
        <v>106</v>
      </c>
      <c r="C1402" t="s">
        <v>4105</v>
      </c>
      <c r="D1402" t="s">
        <v>3845</v>
      </c>
      <c r="E1402" t="s">
        <v>335</v>
      </c>
      <c r="F1402">
        <v>151</v>
      </c>
      <c r="G1402">
        <v>41665</v>
      </c>
      <c r="H1402">
        <v>42326</v>
      </c>
      <c r="I1402">
        <v>44197</v>
      </c>
      <c r="J1402">
        <v>44508</v>
      </c>
      <c r="L1402" t="s">
        <v>135</v>
      </c>
      <c r="M1402" t="s">
        <v>335</v>
      </c>
      <c r="N1402" t="s">
        <v>127</v>
      </c>
      <c r="O1402" t="s">
        <v>336</v>
      </c>
      <c r="P1402" t="s">
        <v>49</v>
      </c>
      <c r="R1402">
        <v>4</v>
      </c>
      <c r="S1402">
        <v>1</v>
      </c>
      <c r="U1402" t="s">
        <v>4106</v>
      </c>
      <c r="V1402" t="s">
        <v>4107</v>
      </c>
      <c r="W1402">
        <v>29711081202012</v>
      </c>
      <c r="X1402">
        <v>35742</v>
      </c>
      <c r="Y1402" t="s">
        <v>103</v>
      </c>
      <c r="AE1402">
        <v>74</v>
      </c>
      <c r="AF1402">
        <v>175</v>
      </c>
      <c r="AG1402">
        <v>-1</v>
      </c>
      <c r="AN1402" t="s">
        <v>145</v>
      </c>
    </row>
    <row r="1403" spans="1:40" ht="18.75" customHeight="1" x14ac:dyDescent="0.3">
      <c r="A1403" s="1">
        <v>2015135200251</v>
      </c>
      <c r="B1403" t="s">
        <v>106</v>
      </c>
      <c r="C1403" t="s">
        <v>4108</v>
      </c>
      <c r="D1403" t="s">
        <v>3845</v>
      </c>
      <c r="E1403" t="s">
        <v>335</v>
      </c>
      <c r="F1403">
        <v>153</v>
      </c>
      <c r="G1403">
        <v>42030</v>
      </c>
      <c r="H1403">
        <v>43231</v>
      </c>
      <c r="I1403">
        <v>44378</v>
      </c>
      <c r="J1403">
        <v>45622</v>
      </c>
      <c r="L1403" t="s">
        <v>135</v>
      </c>
      <c r="M1403" t="s">
        <v>335</v>
      </c>
      <c r="N1403" t="s">
        <v>127</v>
      </c>
      <c r="O1403" t="s">
        <v>336</v>
      </c>
      <c r="R1403">
        <v>0</v>
      </c>
      <c r="S1403">
        <v>0</v>
      </c>
      <c r="U1403" t="s">
        <v>4109</v>
      </c>
      <c r="V1403" t="s">
        <v>4110</v>
      </c>
      <c r="W1403">
        <v>29503011811559</v>
      </c>
      <c r="X1403">
        <v>34769</v>
      </c>
      <c r="Y1403" t="s">
        <v>103</v>
      </c>
      <c r="AE1403">
        <v>70</v>
      </c>
      <c r="AF1403">
        <v>177</v>
      </c>
      <c r="AG1403">
        <v>-7</v>
      </c>
      <c r="AN1403" t="s">
        <v>145</v>
      </c>
    </row>
    <row r="1404" spans="1:40" ht="18.75" customHeight="1" x14ac:dyDescent="0.3">
      <c r="A1404" s="1">
        <v>2021135200232</v>
      </c>
      <c r="B1404" t="s">
        <v>125</v>
      </c>
      <c r="C1404" t="s">
        <v>4111</v>
      </c>
      <c r="D1404" t="s">
        <v>1375</v>
      </c>
      <c r="E1404" t="s">
        <v>335</v>
      </c>
      <c r="G1404">
        <v>44205</v>
      </c>
      <c r="H1404">
        <v>45197</v>
      </c>
      <c r="I1404">
        <v>45197</v>
      </c>
      <c r="J1404">
        <v>45213</v>
      </c>
      <c r="K1404">
        <v>45214</v>
      </c>
      <c r="L1404" t="s">
        <v>135</v>
      </c>
      <c r="M1404" t="s">
        <v>335</v>
      </c>
      <c r="N1404" t="s">
        <v>127</v>
      </c>
      <c r="P1404" t="s">
        <v>49</v>
      </c>
      <c r="R1404">
        <v>0</v>
      </c>
      <c r="S1404">
        <v>0</v>
      </c>
      <c r="T1404" t="s">
        <v>439</v>
      </c>
      <c r="W1404">
        <v>30207151304271</v>
      </c>
      <c r="X1404">
        <v>37452</v>
      </c>
      <c r="Y1404" t="s">
        <v>153</v>
      </c>
      <c r="Z1404">
        <v>0</v>
      </c>
      <c r="AA1404">
        <v>0</v>
      </c>
      <c r="AB1404">
        <v>0</v>
      </c>
      <c r="AC1404" t="s">
        <v>4112</v>
      </c>
      <c r="AD1404" t="s">
        <v>4113</v>
      </c>
      <c r="AE1404" t="s">
        <v>64</v>
      </c>
      <c r="AG1404" t="s">
        <v>787</v>
      </c>
    </row>
    <row r="1405" spans="1:40" ht="18.75" customHeight="1" x14ac:dyDescent="0.3">
      <c r="A1405" s="1">
        <v>2015135200699</v>
      </c>
      <c r="B1405" t="s">
        <v>106</v>
      </c>
      <c r="C1405" t="s">
        <v>4114</v>
      </c>
      <c r="D1405" t="s">
        <v>3845</v>
      </c>
      <c r="E1405" t="s">
        <v>335</v>
      </c>
      <c r="F1405">
        <v>153</v>
      </c>
      <c r="G1405">
        <v>42030</v>
      </c>
      <c r="H1405">
        <v>42501</v>
      </c>
      <c r="I1405">
        <v>44378</v>
      </c>
      <c r="J1405">
        <v>44510</v>
      </c>
      <c r="L1405" t="s">
        <v>135</v>
      </c>
      <c r="M1405" t="s">
        <v>335</v>
      </c>
      <c r="N1405" t="s">
        <v>127</v>
      </c>
      <c r="O1405" t="s">
        <v>336</v>
      </c>
      <c r="P1405" t="s">
        <v>49</v>
      </c>
      <c r="R1405">
        <v>5</v>
      </c>
      <c r="S1405">
        <v>0</v>
      </c>
      <c r="U1405" t="s">
        <v>4115</v>
      </c>
      <c r="V1405" t="s">
        <v>4116</v>
      </c>
      <c r="W1405">
        <v>29012271600256</v>
      </c>
      <c r="X1405">
        <v>33234</v>
      </c>
      <c r="Y1405" t="s">
        <v>103</v>
      </c>
      <c r="AE1405">
        <v>68</v>
      </c>
      <c r="AF1405">
        <v>170</v>
      </c>
      <c r="AG1405">
        <v>-2</v>
      </c>
      <c r="AN1405" t="s">
        <v>145</v>
      </c>
    </row>
    <row r="1406" spans="1:40" ht="18.75" customHeight="1" x14ac:dyDescent="0.3">
      <c r="A1406" s="1">
        <v>2015135201978</v>
      </c>
      <c r="B1406" t="s">
        <v>106</v>
      </c>
      <c r="C1406" t="s">
        <v>4117</v>
      </c>
      <c r="D1406" t="s">
        <v>3845</v>
      </c>
      <c r="E1406" t="s">
        <v>335</v>
      </c>
      <c r="F1406">
        <v>154</v>
      </c>
      <c r="G1406">
        <v>42224</v>
      </c>
      <c r="H1406">
        <v>42790</v>
      </c>
      <c r="I1406">
        <v>44743</v>
      </c>
      <c r="J1406">
        <v>44861</v>
      </c>
      <c r="L1406" t="s">
        <v>135</v>
      </c>
      <c r="M1406" t="s">
        <v>335</v>
      </c>
      <c r="N1406" t="s">
        <v>127</v>
      </c>
      <c r="O1406" t="s">
        <v>336</v>
      </c>
      <c r="P1406" t="s">
        <v>49</v>
      </c>
      <c r="R1406">
        <v>3</v>
      </c>
      <c r="S1406">
        <v>0</v>
      </c>
      <c r="U1406" t="s">
        <v>4118</v>
      </c>
      <c r="V1406" t="s">
        <v>4119</v>
      </c>
      <c r="W1406">
        <v>29909021201356</v>
      </c>
      <c r="X1406">
        <v>36424</v>
      </c>
      <c r="Y1406" t="s">
        <v>550</v>
      </c>
      <c r="AE1406">
        <v>75</v>
      </c>
      <c r="AF1406">
        <v>180</v>
      </c>
      <c r="AG1406">
        <v>-5</v>
      </c>
      <c r="AN1406" t="s">
        <v>145</v>
      </c>
    </row>
    <row r="1407" spans="1:40" ht="18.75" customHeight="1" x14ac:dyDescent="0.3">
      <c r="A1407" s="1">
        <v>2017135202964</v>
      </c>
      <c r="B1407" t="s">
        <v>106</v>
      </c>
      <c r="C1407" t="s">
        <v>4120</v>
      </c>
      <c r="D1407" t="s">
        <v>3845</v>
      </c>
      <c r="E1407" t="s">
        <v>335</v>
      </c>
      <c r="G1407">
        <v>42915</v>
      </c>
      <c r="H1407">
        <v>43663</v>
      </c>
      <c r="I1407">
        <v>43663</v>
      </c>
      <c r="J1407">
        <v>45587</v>
      </c>
      <c r="L1407" t="s">
        <v>135</v>
      </c>
      <c r="M1407" t="s">
        <v>335</v>
      </c>
      <c r="N1407" t="s">
        <v>127</v>
      </c>
      <c r="O1407" t="s">
        <v>336</v>
      </c>
      <c r="R1407">
        <v>3</v>
      </c>
      <c r="S1407">
        <v>0</v>
      </c>
      <c r="U1407" t="s">
        <v>4121</v>
      </c>
      <c r="V1407" t="s">
        <v>4122</v>
      </c>
      <c r="W1407">
        <v>29904260102252</v>
      </c>
      <c r="X1407">
        <v>36276</v>
      </c>
      <c r="Y1407" t="s">
        <v>550</v>
      </c>
      <c r="AE1407">
        <v>75</v>
      </c>
      <c r="AF1407">
        <v>180</v>
      </c>
      <c r="AG1407">
        <v>-5</v>
      </c>
      <c r="AN1407" t="s">
        <v>145</v>
      </c>
    </row>
    <row r="1408" spans="1:40" ht="18.75" customHeight="1" x14ac:dyDescent="0.3">
      <c r="A1408" s="1">
        <v>2018135201485</v>
      </c>
      <c r="B1408" t="s">
        <v>106</v>
      </c>
      <c r="C1408" t="s">
        <v>4123</v>
      </c>
      <c r="D1408" t="s">
        <v>3845</v>
      </c>
      <c r="E1408" t="s">
        <v>335</v>
      </c>
      <c r="F1408">
        <v>158</v>
      </c>
      <c r="G1408">
        <v>43279</v>
      </c>
      <c r="H1408">
        <v>44117</v>
      </c>
      <c r="I1408">
        <v>45587</v>
      </c>
      <c r="J1408">
        <v>45971</v>
      </c>
      <c r="L1408" t="s">
        <v>135</v>
      </c>
      <c r="M1408" t="s">
        <v>335</v>
      </c>
      <c r="N1408" t="s">
        <v>127</v>
      </c>
      <c r="O1408" t="s">
        <v>336</v>
      </c>
      <c r="R1408">
        <v>3</v>
      </c>
      <c r="S1408">
        <v>0</v>
      </c>
      <c r="U1408" t="s">
        <v>4124</v>
      </c>
      <c r="V1408" t="s">
        <v>4125</v>
      </c>
      <c r="W1408">
        <v>30101221602078</v>
      </c>
      <c r="X1408">
        <v>36913</v>
      </c>
      <c r="Y1408" t="s">
        <v>103</v>
      </c>
      <c r="AE1408">
        <v>69</v>
      </c>
      <c r="AF1408">
        <v>173</v>
      </c>
      <c r="AG1408">
        <v>-4</v>
      </c>
      <c r="AN1408" t="s">
        <v>145</v>
      </c>
    </row>
    <row r="1409" spans="1:40" ht="18.75" customHeight="1" x14ac:dyDescent="0.3">
      <c r="A1409" s="1">
        <v>2021135200183</v>
      </c>
      <c r="B1409" t="s">
        <v>125</v>
      </c>
      <c r="C1409" t="s">
        <v>4126</v>
      </c>
      <c r="D1409" t="s">
        <v>3845</v>
      </c>
      <c r="E1409" t="s">
        <v>335</v>
      </c>
      <c r="F1409">
        <v>160</v>
      </c>
      <c r="G1409">
        <v>44205</v>
      </c>
      <c r="H1409">
        <v>45197</v>
      </c>
      <c r="I1409">
        <v>45197</v>
      </c>
      <c r="J1409">
        <v>45213</v>
      </c>
      <c r="L1409" t="s">
        <v>135</v>
      </c>
      <c r="M1409" t="s">
        <v>335</v>
      </c>
      <c r="N1409" t="s">
        <v>127</v>
      </c>
      <c r="O1409" t="s">
        <v>336</v>
      </c>
      <c r="R1409">
        <v>1</v>
      </c>
      <c r="S1409">
        <v>0</v>
      </c>
      <c r="U1409" t="s">
        <v>4127</v>
      </c>
      <c r="V1409" t="s">
        <v>4128</v>
      </c>
      <c r="W1409">
        <v>30208021302419</v>
      </c>
      <c r="X1409">
        <v>37489</v>
      </c>
      <c r="Y1409" t="s">
        <v>550</v>
      </c>
      <c r="AE1409">
        <v>69</v>
      </c>
      <c r="AF1409">
        <v>178</v>
      </c>
      <c r="AG1409">
        <v>-9</v>
      </c>
      <c r="AN1409" t="s">
        <v>145</v>
      </c>
    </row>
    <row r="1410" spans="1:40" ht="18.75" customHeight="1" x14ac:dyDescent="0.3">
      <c r="A1410" s="1">
        <v>2018135202045</v>
      </c>
      <c r="B1410" t="s">
        <v>106</v>
      </c>
      <c r="C1410" t="s">
        <v>4129</v>
      </c>
      <c r="D1410" t="s">
        <v>3845</v>
      </c>
      <c r="E1410" t="s">
        <v>335</v>
      </c>
      <c r="F1410">
        <v>158</v>
      </c>
      <c r="G1410">
        <v>43279</v>
      </c>
      <c r="H1410">
        <v>44117</v>
      </c>
      <c r="I1410">
        <v>44117</v>
      </c>
      <c r="J1410">
        <v>44419</v>
      </c>
      <c r="L1410" t="s">
        <v>135</v>
      </c>
      <c r="M1410" t="s">
        <v>335</v>
      </c>
      <c r="N1410" t="s">
        <v>127</v>
      </c>
      <c r="O1410" t="s">
        <v>336</v>
      </c>
      <c r="Q1410" t="s">
        <v>49</v>
      </c>
      <c r="R1410">
        <v>0</v>
      </c>
      <c r="S1410">
        <v>0</v>
      </c>
      <c r="U1410" t="s">
        <v>4130</v>
      </c>
      <c r="V1410" t="s">
        <v>4131</v>
      </c>
      <c r="W1410">
        <v>30002011204896</v>
      </c>
      <c r="X1410">
        <v>36557</v>
      </c>
      <c r="Y1410" t="s">
        <v>550</v>
      </c>
      <c r="AE1410">
        <v>64</v>
      </c>
      <c r="AF1410">
        <v>171</v>
      </c>
      <c r="AG1410">
        <v>-7</v>
      </c>
      <c r="AN1410" t="s">
        <v>145</v>
      </c>
    </row>
    <row r="1411" spans="1:40" ht="18.75" customHeight="1" x14ac:dyDescent="0.3">
      <c r="A1411" s="1">
        <v>1998135200653</v>
      </c>
      <c r="B1411" t="s">
        <v>210</v>
      </c>
      <c r="C1411" t="s">
        <v>4132</v>
      </c>
      <c r="D1411" t="s">
        <v>4133</v>
      </c>
      <c r="E1411" t="s">
        <v>335</v>
      </c>
      <c r="AG1411" t="s">
        <v>787</v>
      </c>
    </row>
    <row r="1412" spans="1:40" ht="18.75" customHeight="1" x14ac:dyDescent="0.3">
      <c r="A1412" s="1">
        <v>2001135200078</v>
      </c>
      <c r="B1412" t="s">
        <v>210</v>
      </c>
      <c r="C1412" t="s">
        <v>4134</v>
      </c>
      <c r="D1412" t="s">
        <v>4133</v>
      </c>
      <c r="E1412" t="s">
        <v>335</v>
      </c>
      <c r="AG1412" t="s">
        <v>787</v>
      </c>
    </row>
    <row r="1413" spans="1:40" ht="18.75" customHeight="1" x14ac:dyDescent="0.3">
      <c r="A1413" s="1">
        <v>2001135200424</v>
      </c>
      <c r="B1413" t="s">
        <v>210</v>
      </c>
      <c r="C1413" t="s">
        <v>4135</v>
      </c>
      <c r="D1413" t="s">
        <v>4133</v>
      </c>
      <c r="E1413" t="s">
        <v>335</v>
      </c>
      <c r="AG1413" t="s">
        <v>787</v>
      </c>
    </row>
    <row r="1414" spans="1:40" ht="18.75" customHeight="1" x14ac:dyDescent="0.3">
      <c r="A1414" s="1">
        <v>2004135200444</v>
      </c>
      <c r="B1414" t="s">
        <v>210</v>
      </c>
      <c r="C1414" t="s">
        <v>4136</v>
      </c>
      <c r="D1414" t="s">
        <v>4133</v>
      </c>
      <c r="E1414" t="s">
        <v>335</v>
      </c>
      <c r="AG1414" t="s">
        <v>787</v>
      </c>
    </row>
    <row r="1415" spans="1:40" ht="18.75" customHeight="1" x14ac:dyDescent="0.3">
      <c r="A1415" s="1">
        <v>2006131800476</v>
      </c>
      <c r="B1415" t="s">
        <v>57</v>
      </c>
      <c r="C1415" t="s">
        <v>4137</v>
      </c>
      <c r="D1415" t="s">
        <v>4133</v>
      </c>
      <c r="E1415" t="s">
        <v>335</v>
      </c>
      <c r="AG1415" t="s">
        <v>787</v>
      </c>
    </row>
    <row r="1416" spans="1:40" ht="18.75" customHeight="1" x14ac:dyDescent="0.3">
      <c r="A1416" s="1">
        <v>2006135200127</v>
      </c>
      <c r="B1416" t="s">
        <v>57</v>
      </c>
      <c r="C1416" t="s">
        <v>4138</v>
      </c>
      <c r="D1416" t="s">
        <v>4133</v>
      </c>
      <c r="E1416" t="s">
        <v>335</v>
      </c>
      <c r="AG1416" t="s">
        <v>787</v>
      </c>
    </row>
    <row r="1417" spans="1:40" ht="18.75" customHeight="1" x14ac:dyDescent="0.3">
      <c r="A1417" s="1">
        <v>2007135200414</v>
      </c>
      <c r="B1417" t="s">
        <v>57</v>
      </c>
      <c r="C1417" t="s">
        <v>4139</v>
      </c>
      <c r="D1417" t="s">
        <v>4133</v>
      </c>
      <c r="E1417" t="s">
        <v>335</v>
      </c>
      <c r="AG1417" t="s">
        <v>787</v>
      </c>
    </row>
    <row r="1418" spans="1:40" ht="18.75" customHeight="1" x14ac:dyDescent="0.3">
      <c r="A1418" s="1">
        <v>2007138315525</v>
      </c>
      <c r="B1418" t="s">
        <v>57</v>
      </c>
      <c r="C1418" t="s">
        <v>4140</v>
      </c>
      <c r="D1418" t="s">
        <v>4133</v>
      </c>
      <c r="E1418" t="s">
        <v>335</v>
      </c>
      <c r="AG1418" t="s">
        <v>787</v>
      </c>
    </row>
    <row r="1419" spans="1:40" ht="18.75" customHeight="1" x14ac:dyDescent="0.3">
      <c r="A1419" s="1">
        <v>2010135200540</v>
      </c>
      <c r="B1419" t="s">
        <v>75</v>
      </c>
      <c r="C1419" t="s">
        <v>4141</v>
      </c>
      <c r="D1419" t="s">
        <v>4133</v>
      </c>
      <c r="E1419" t="s">
        <v>335</v>
      </c>
      <c r="AG1419" t="s">
        <v>787</v>
      </c>
    </row>
    <row r="1420" spans="1:40" ht="18.75" customHeight="1" x14ac:dyDescent="0.3">
      <c r="A1420" s="1">
        <v>2010135200582</v>
      </c>
      <c r="B1420" t="s">
        <v>75</v>
      </c>
      <c r="C1420" t="s">
        <v>4142</v>
      </c>
      <c r="D1420" t="s">
        <v>4133</v>
      </c>
      <c r="E1420" t="s">
        <v>335</v>
      </c>
      <c r="AG1420" t="s">
        <v>787</v>
      </c>
    </row>
    <row r="1421" spans="1:40" ht="18.75" customHeight="1" x14ac:dyDescent="0.3">
      <c r="A1421" s="1">
        <v>2011135200069</v>
      </c>
      <c r="B1421" t="s">
        <v>75</v>
      </c>
      <c r="C1421" t="s">
        <v>4143</v>
      </c>
      <c r="D1421" t="s">
        <v>4133</v>
      </c>
      <c r="E1421" t="s">
        <v>335</v>
      </c>
      <c r="AG1421" t="s">
        <v>787</v>
      </c>
    </row>
    <row r="1422" spans="1:40" ht="18.75" customHeight="1" x14ac:dyDescent="0.3">
      <c r="A1422" s="1">
        <v>2011135200275</v>
      </c>
      <c r="B1422" t="s">
        <v>75</v>
      </c>
      <c r="C1422" t="s">
        <v>4144</v>
      </c>
      <c r="D1422" t="s">
        <v>4133</v>
      </c>
      <c r="E1422" t="s">
        <v>335</v>
      </c>
      <c r="AG1422" t="s">
        <v>787</v>
      </c>
    </row>
    <row r="1423" spans="1:40" ht="18.75" customHeight="1" x14ac:dyDescent="0.3">
      <c r="A1423" s="1">
        <v>2011135200655</v>
      </c>
      <c r="B1423" t="s">
        <v>75</v>
      </c>
      <c r="C1423" t="s">
        <v>4145</v>
      </c>
      <c r="D1423" t="s">
        <v>4133</v>
      </c>
      <c r="E1423" t="s">
        <v>335</v>
      </c>
      <c r="AG1423" t="s">
        <v>787</v>
      </c>
    </row>
    <row r="1424" spans="1:40" ht="18.75" customHeight="1" x14ac:dyDescent="0.3">
      <c r="A1424" s="1">
        <v>2011135201645</v>
      </c>
      <c r="B1424" t="s">
        <v>75</v>
      </c>
      <c r="C1424" t="s">
        <v>4146</v>
      </c>
      <c r="D1424" t="s">
        <v>4133</v>
      </c>
      <c r="E1424" t="s">
        <v>335</v>
      </c>
      <c r="AG1424" t="s">
        <v>787</v>
      </c>
    </row>
    <row r="1425" spans="1:33" ht="18.75" customHeight="1" x14ac:dyDescent="0.3">
      <c r="A1425" s="1">
        <v>2012130402402</v>
      </c>
      <c r="B1425" t="s">
        <v>75</v>
      </c>
      <c r="C1425" t="s">
        <v>4147</v>
      </c>
      <c r="D1425" t="s">
        <v>4133</v>
      </c>
      <c r="E1425" t="s">
        <v>335</v>
      </c>
      <c r="AG1425" t="s">
        <v>787</v>
      </c>
    </row>
    <row r="1426" spans="1:33" ht="18.75" customHeight="1" x14ac:dyDescent="0.3">
      <c r="A1426" s="1">
        <v>2012135200306</v>
      </c>
      <c r="B1426" t="s">
        <v>75</v>
      </c>
      <c r="C1426" t="s">
        <v>4148</v>
      </c>
      <c r="D1426" t="s">
        <v>4133</v>
      </c>
      <c r="E1426" t="s">
        <v>335</v>
      </c>
      <c r="AG1426" t="s">
        <v>787</v>
      </c>
    </row>
    <row r="1427" spans="1:33" ht="18.75" customHeight="1" x14ac:dyDescent="0.3">
      <c r="A1427" s="1">
        <v>2012135201916</v>
      </c>
      <c r="B1427" t="s">
        <v>75</v>
      </c>
      <c r="C1427" t="s">
        <v>4149</v>
      </c>
      <c r="D1427" t="s">
        <v>4133</v>
      </c>
      <c r="E1427" t="s">
        <v>335</v>
      </c>
      <c r="AG1427" t="s">
        <v>787</v>
      </c>
    </row>
    <row r="1428" spans="1:33" ht="18.75" customHeight="1" x14ac:dyDescent="0.3">
      <c r="A1428" s="1">
        <v>2012135201932</v>
      </c>
      <c r="B1428" t="s">
        <v>75</v>
      </c>
      <c r="C1428" t="s">
        <v>4150</v>
      </c>
      <c r="D1428" t="s">
        <v>4133</v>
      </c>
      <c r="E1428" t="s">
        <v>335</v>
      </c>
      <c r="AG1428" t="s">
        <v>787</v>
      </c>
    </row>
    <row r="1429" spans="1:33" ht="18.75" customHeight="1" x14ac:dyDescent="0.3">
      <c r="A1429" s="1">
        <v>2013135202152</v>
      </c>
      <c r="B1429" t="s">
        <v>75</v>
      </c>
      <c r="C1429" t="s">
        <v>4151</v>
      </c>
      <c r="D1429" t="s">
        <v>4133</v>
      </c>
      <c r="E1429" t="s">
        <v>335</v>
      </c>
      <c r="AG1429" t="s">
        <v>787</v>
      </c>
    </row>
    <row r="1430" spans="1:33" ht="18.75" customHeight="1" x14ac:dyDescent="0.3">
      <c r="A1430" s="1">
        <v>2014135201045</v>
      </c>
      <c r="B1430" t="s">
        <v>75</v>
      </c>
      <c r="C1430" t="s">
        <v>4152</v>
      </c>
      <c r="D1430" t="s">
        <v>4133</v>
      </c>
      <c r="E1430" t="s">
        <v>335</v>
      </c>
      <c r="AG1430" t="s">
        <v>787</v>
      </c>
    </row>
    <row r="1431" spans="1:33" ht="18.75" customHeight="1" x14ac:dyDescent="0.3">
      <c r="A1431" s="1">
        <v>2014135201706</v>
      </c>
      <c r="B1431" t="s">
        <v>106</v>
      </c>
      <c r="C1431" t="s">
        <v>4153</v>
      </c>
      <c r="D1431" t="s">
        <v>4133</v>
      </c>
      <c r="E1431" t="s">
        <v>335</v>
      </c>
      <c r="AG1431" t="s">
        <v>787</v>
      </c>
    </row>
    <row r="1432" spans="1:33" ht="18.75" customHeight="1" x14ac:dyDescent="0.3">
      <c r="A1432" s="1">
        <v>2015131806871</v>
      </c>
      <c r="B1432" t="s">
        <v>106</v>
      </c>
      <c r="C1432" t="s">
        <v>4154</v>
      </c>
      <c r="D1432" t="s">
        <v>4133</v>
      </c>
      <c r="E1432" t="s">
        <v>335</v>
      </c>
      <c r="AG1432" t="s">
        <v>787</v>
      </c>
    </row>
    <row r="1433" spans="1:33" ht="18.75" customHeight="1" x14ac:dyDescent="0.3">
      <c r="A1433" s="1">
        <v>2015135200772</v>
      </c>
      <c r="B1433" t="s">
        <v>106</v>
      </c>
      <c r="C1433" t="s">
        <v>4155</v>
      </c>
      <c r="D1433" t="s">
        <v>4133</v>
      </c>
      <c r="E1433" t="s">
        <v>335</v>
      </c>
      <c r="AG1433" t="s">
        <v>787</v>
      </c>
    </row>
    <row r="1434" spans="1:33" ht="18.75" customHeight="1" x14ac:dyDescent="0.3">
      <c r="A1434" s="1">
        <v>2015135202322</v>
      </c>
      <c r="B1434" t="s">
        <v>106</v>
      </c>
      <c r="C1434" t="s">
        <v>4156</v>
      </c>
      <c r="D1434" t="s">
        <v>4133</v>
      </c>
      <c r="E1434" t="s">
        <v>335</v>
      </c>
      <c r="AG1434" t="s">
        <v>787</v>
      </c>
    </row>
    <row r="1435" spans="1:33" ht="18.75" customHeight="1" x14ac:dyDescent="0.3">
      <c r="A1435" s="1">
        <v>2015135202405</v>
      </c>
      <c r="B1435" t="s">
        <v>106</v>
      </c>
      <c r="C1435" t="s">
        <v>4157</v>
      </c>
      <c r="D1435" t="s">
        <v>4133</v>
      </c>
      <c r="E1435" t="s">
        <v>335</v>
      </c>
      <c r="AG1435" t="s">
        <v>787</v>
      </c>
    </row>
    <row r="1436" spans="1:33" ht="18.75" customHeight="1" x14ac:dyDescent="0.3">
      <c r="A1436" s="1">
        <v>2015135202413</v>
      </c>
      <c r="B1436" t="s">
        <v>106</v>
      </c>
      <c r="C1436" t="s">
        <v>4158</v>
      </c>
      <c r="D1436" t="s">
        <v>4133</v>
      </c>
      <c r="E1436" t="s">
        <v>335</v>
      </c>
      <c r="AG1436" t="s">
        <v>787</v>
      </c>
    </row>
    <row r="1437" spans="1:33" ht="18.75" customHeight="1" x14ac:dyDescent="0.3">
      <c r="A1437" s="1">
        <v>2015135202504</v>
      </c>
      <c r="B1437" t="s">
        <v>106</v>
      </c>
      <c r="C1437" t="s">
        <v>4159</v>
      </c>
      <c r="D1437" t="s">
        <v>4133</v>
      </c>
      <c r="E1437" t="s">
        <v>335</v>
      </c>
      <c r="AG1437" t="s">
        <v>787</v>
      </c>
    </row>
    <row r="1438" spans="1:33" ht="18.75" customHeight="1" x14ac:dyDescent="0.3">
      <c r="A1438" s="1">
        <v>2015135202588</v>
      </c>
      <c r="B1438" t="s">
        <v>106</v>
      </c>
      <c r="C1438" t="s">
        <v>4160</v>
      </c>
      <c r="D1438" t="s">
        <v>4133</v>
      </c>
      <c r="E1438" t="s">
        <v>335</v>
      </c>
      <c r="AG1438" t="s">
        <v>787</v>
      </c>
    </row>
    <row r="1439" spans="1:33" ht="18.75" customHeight="1" x14ac:dyDescent="0.3">
      <c r="A1439" s="1">
        <v>2016131802934</v>
      </c>
      <c r="B1439" t="s">
        <v>106</v>
      </c>
      <c r="C1439" t="s">
        <v>4161</v>
      </c>
      <c r="D1439" t="s">
        <v>4133</v>
      </c>
      <c r="E1439" t="s">
        <v>335</v>
      </c>
      <c r="AG1439" t="s">
        <v>787</v>
      </c>
    </row>
    <row r="1440" spans="1:33" ht="18.75" customHeight="1" x14ac:dyDescent="0.3">
      <c r="A1440" s="1">
        <v>2016135200621</v>
      </c>
      <c r="B1440" t="s">
        <v>106</v>
      </c>
      <c r="C1440" t="s">
        <v>4162</v>
      </c>
      <c r="D1440" t="s">
        <v>4133</v>
      </c>
      <c r="E1440" t="s">
        <v>335</v>
      </c>
      <c r="AG1440" t="s">
        <v>787</v>
      </c>
    </row>
    <row r="1441" spans="1:33" ht="18.75" customHeight="1" x14ac:dyDescent="0.3">
      <c r="A1441" s="1">
        <v>2016135200887</v>
      </c>
      <c r="B1441" t="s">
        <v>106</v>
      </c>
      <c r="C1441" t="s">
        <v>4163</v>
      </c>
      <c r="D1441" t="s">
        <v>4133</v>
      </c>
      <c r="E1441" t="s">
        <v>335</v>
      </c>
      <c r="AG1441" t="s">
        <v>787</v>
      </c>
    </row>
    <row r="1442" spans="1:33" ht="18.75" customHeight="1" x14ac:dyDescent="0.3">
      <c r="A1442" s="1">
        <v>2016135201017</v>
      </c>
      <c r="B1442" t="s">
        <v>106</v>
      </c>
      <c r="C1442" t="s">
        <v>4164</v>
      </c>
      <c r="D1442" t="s">
        <v>4133</v>
      </c>
      <c r="E1442" t="s">
        <v>335</v>
      </c>
      <c r="AG1442" t="s">
        <v>787</v>
      </c>
    </row>
    <row r="1443" spans="1:33" ht="18.75" customHeight="1" x14ac:dyDescent="0.3">
      <c r="A1443" s="1">
        <v>2016135201215</v>
      </c>
      <c r="B1443" t="s">
        <v>106</v>
      </c>
      <c r="C1443" t="s">
        <v>4165</v>
      </c>
      <c r="D1443" t="s">
        <v>4133</v>
      </c>
      <c r="E1443" t="s">
        <v>335</v>
      </c>
      <c r="AG1443" t="s">
        <v>787</v>
      </c>
    </row>
    <row r="1444" spans="1:33" ht="18.75" customHeight="1" x14ac:dyDescent="0.3">
      <c r="A1444" s="1">
        <v>2016135202015</v>
      </c>
      <c r="B1444" t="s">
        <v>106</v>
      </c>
      <c r="C1444" t="s">
        <v>4166</v>
      </c>
      <c r="D1444" t="s">
        <v>4133</v>
      </c>
      <c r="E1444" t="s">
        <v>335</v>
      </c>
      <c r="AG1444" t="s">
        <v>787</v>
      </c>
    </row>
    <row r="1445" spans="1:33" ht="18.75" customHeight="1" x14ac:dyDescent="0.3">
      <c r="A1445" s="1">
        <v>2017131805176</v>
      </c>
      <c r="B1445" t="s">
        <v>106</v>
      </c>
      <c r="C1445" t="s">
        <v>4167</v>
      </c>
      <c r="D1445" t="s">
        <v>4133</v>
      </c>
      <c r="E1445" t="s">
        <v>335</v>
      </c>
      <c r="AG1445" t="s">
        <v>787</v>
      </c>
    </row>
    <row r="1446" spans="1:33" ht="18.75" customHeight="1" x14ac:dyDescent="0.3">
      <c r="A1446" s="1">
        <v>2017131808526</v>
      </c>
      <c r="B1446" t="s">
        <v>106</v>
      </c>
      <c r="C1446" t="s">
        <v>4168</v>
      </c>
      <c r="D1446" t="s">
        <v>4133</v>
      </c>
      <c r="E1446" t="s">
        <v>335</v>
      </c>
      <c r="AG1446" t="s">
        <v>787</v>
      </c>
    </row>
    <row r="1447" spans="1:33" ht="18.75" customHeight="1" x14ac:dyDescent="0.3">
      <c r="A1447" s="1">
        <v>2017131809714</v>
      </c>
      <c r="B1447" t="s">
        <v>106</v>
      </c>
      <c r="C1447" t="s">
        <v>4169</v>
      </c>
      <c r="D1447" t="s">
        <v>4133</v>
      </c>
      <c r="E1447" t="s">
        <v>335</v>
      </c>
      <c r="AG1447" t="s">
        <v>787</v>
      </c>
    </row>
    <row r="1448" spans="1:33" ht="18.75" customHeight="1" x14ac:dyDescent="0.3">
      <c r="A1448" s="1">
        <v>2017135200033</v>
      </c>
      <c r="B1448" t="s">
        <v>106</v>
      </c>
      <c r="C1448" t="s">
        <v>4170</v>
      </c>
      <c r="D1448" t="s">
        <v>4133</v>
      </c>
      <c r="E1448" t="s">
        <v>335</v>
      </c>
      <c r="AG1448" t="s">
        <v>787</v>
      </c>
    </row>
    <row r="1449" spans="1:33" ht="18.75" customHeight="1" x14ac:dyDescent="0.3">
      <c r="A1449" s="1">
        <v>2017135200041</v>
      </c>
      <c r="B1449" t="s">
        <v>106</v>
      </c>
      <c r="C1449" t="s">
        <v>4171</v>
      </c>
      <c r="D1449" t="s">
        <v>4133</v>
      </c>
      <c r="E1449" t="s">
        <v>335</v>
      </c>
      <c r="AG1449" t="s">
        <v>787</v>
      </c>
    </row>
    <row r="1450" spans="1:33" ht="18.75" customHeight="1" x14ac:dyDescent="0.3">
      <c r="A1450" s="1">
        <v>2017135200207</v>
      </c>
      <c r="B1450" t="s">
        <v>106</v>
      </c>
      <c r="C1450" t="s">
        <v>4172</v>
      </c>
      <c r="D1450" t="s">
        <v>4133</v>
      </c>
      <c r="E1450" t="s">
        <v>335</v>
      </c>
      <c r="AG1450" t="s">
        <v>787</v>
      </c>
    </row>
    <row r="1451" spans="1:33" ht="18.75" customHeight="1" x14ac:dyDescent="0.3">
      <c r="A1451" s="1">
        <v>2017135200794</v>
      </c>
      <c r="B1451" t="s">
        <v>106</v>
      </c>
      <c r="C1451" t="s">
        <v>4173</v>
      </c>
      <c r="D1451" t="s">
        <v>4133</v>
      </c>
      <c r="E1451" t="s">
        <v>335</v>
      </c>
      <c r="AG1451" t="s">
        <v>787</v>
      </c>
    </row>
    <row r="1452" spans="1:33" ht="18.75" customHeight="1" x14ac:dyDescent="0.3">
      <c r="A1452" s="1">
        <v>2017135201312</v>
      </c>
      <c r="B1452" t="s">
        <v>106</v>
      </c>
      <c r="C1452" t="s">
        <v>4174</v>
      </c>
      <c r="D1452" t="s">
        <v>4133</v>
      </c>
      <c r="E1452" t="s">
        <v>335</v>
      </c>
      <c r="AG1452" t="s">
        <v>787</v>
      </c>
    </row>
    <row r="1453" spans="1:33" ht="18.75" customHeight="1" x14ac:dyDescent="0.3">
      <c r="A1453" s="1">
        <v>2017135202120</v>
      </c>
      <c r="B1453" t="s">
        <v>106</v>
      </c>
      <c r="C1453" t="s">
        <v>4175</v>
      </c>
      <c r="D1453" t="s">
        <v>4133</v>
      </c>
      <c r="E1453" t="s">
        <v>335</v>
      </c>
      <c r="AG1453" t="s">
        <v>787</v>
      </c>
    </row>
    <row r="1454" spans="1:33" ht="18.75" customHeight="1" x14ac:dyDescent="0.3">
      <c r="A1454" s="1">
        <v>2017135202724</v>
      </c>
      <c r="B1454" t="s">
        <v>106</v>
      </c>
      <c r="C1454" t="s">
        <v>4176</v>
      </c>
      <c r="D1454" t="s">
        <v>4133</v>
      </c>
      <c r="E1454" t="s">
        <v>335</v>
      </c>
      <c r="AG1454" t="s">
        <v>787</v>
      </c>
    </row>
    <row r="1455" spans="1:33" ht="18.75" customHeight="1" x14ac:dyDescent="0.3">
      <c r="A1455" s="1">
        <v>2017135202914</v>
      </c>
      <c r="B1455" t="s">
        <v>106</v>
      </c>
      <c r="C1455" t="s">
        <v>4177</v>
      </c>
      <c r="D1455" t="s">
        <v>4133</v>
      </c>
      <c r="E1455" t="s">
        <v>335</v>
      </c>
      <c r="AG1455" t="s">
        <v>787</v>
      </c>
    </row>
    <row r="1456" spans="1:33" ht="18.75" customHeight="1" x14ac:dyDescent="0.3">
      <c r="A1456" s="1">
        <v>2017135203251</v>
      </c>
      <c r="B1456" t="s">
        <v>106</v>
      </c>
      <c r="C1456" t="s">
        <v>4178</v>
      </c>
      <c r="D1456" t="s">
        <v>4133</v>
      </c>
      <c r="E1456" t="s">
        <v>335</v>
      </c>
      <c r="AG1456" t="s">
        <v>787</v>
      </c>
    </row>
    <row r="1457" spans="1:33" ht="18.75" customHeight="1" x14ac:dyDescent="0.3">
      <c r="A1457" s="1">
        <v>2018130403268</v>
      </c>
      <c r="B1457" t="s">
        <v>106</v>
      </c>
      <c r="C1457" t="s">
        <v>4179</v>
      </c>
      <c r="D1457" t="s">
        <v>4133</v>
      </c>
      <c r="E1457" t="s">
        <v>335</v>
      </c>
      <c r="AG1457" t="s">
        <v>787</v>
      </c>
    </row>
    <row r="1458" spans="1:33" ht="18.75" customHeight="1" x14ac:dyDescent="0.3">
      <c r="A1458" s="1">
        <v>2018135200586</v>
      </c>
      <c r="B1458" t="s">
        <v>106</v>
      </c>
      <c r="C1458" t="s">
        <v>4180</v>
      </c>
      <c r="D1458" t="s">
        <v>4133</v>
      </c>
      <c r="E1458" t="s">
        <v>335</v>
      </c>
      <c r="AG1458" t="s">
        <v>787</v>
      </c>
    </row>
    <row r="1459" spans="1:33" ht="18.75" customHeight="1" x14ac:dyDescent="0.3">
      <c r="A1459" s="1">
        <v>2018135201104</v>
      </c>
      <c r="B1459" t="s">
        <v>106</v>
      </c>
      <c r="C1459" t="s">
        <v>4181</v>
      </c>
      <c r="D1459" t="s">
        <v>4133</v>
      </c>
      <c r="E1459" t="s">
        <v>335</v>
      </c>
      <c r="AG1459" t="s">
        <v>787</v>
      </c>
    </row>
    <row r="1460" spans="1:33" ht="18.75" customHeight="1" x14ac:dyDescent="0.3">
      <c r="A1460" s="1">
        <v>2018135202318</v>
      </c>
      <c r="B1460" t="s">
        <v>125</v>
      </c>
      <c r="C1460" t="s">
        <v>4182</v>
      </c>
      <c r="D1460" t="s">
        <v>4133</v>
      </c>
      <c r="E1460" t="s">
        <v>335</v>
      </c>
      <c r="AG1460" t="s">
        <v>787</v>
      </c>
    </row>
    <row r="1461" spans="1:33" ht="18.75" customHeight="1" x14ac:dyDescent="0.3">
      <c r="A1461" s="1">
        <v>2018135202756</v>
      </c>
      <c r="B1461" t="s">
        <v>125</v>
      </c>
      <c r="C1461" t="s">
        <v>4183</v>
      </c>
      <c r="D1461" t="s">
        <v>4133</v>
      </c>
      <c r="E1461" t="s">
        <v>335</v>
      </c>
      <c r="AG1461" t="s">
        <v>787</v>
      </c>
    </row>
    <row r="1462" spans="1:33" ht="18.75" customHeight="1" x14ac:dyDescent="0.3">
      <c r="A1462" s="1">
        <v>2019130400056</v>
      </c>
      <c r="B1462" t="s">
        <v>125</v>
      </c>
      <c r="C1462" t="s">
        <v>4184</v>
      </c>
      <c r="D1462" t="s">
        <v>4133</v>
      </c>
      <c r="E1462" t="s">
        <v>335</v>
      </c>
      <c r="AG1462" t="s">
        <v>787</v>
      </c>
    </row>
    <row r="1463" spans="1:33" ht="18.75" customHeight="1" x14ac:dyDescent="0.3">
      <c r="A1463" s="1">
        <v>2019131802144</v>
      </c>
      <c r="B1463" t="s">
        <v>125</v>
      </c>
      <c r="C1463" t="s">
        <v>4185</v>
      </c>
      <c r="D1463" t="s">
        <v>4133</v>
      </c>
      <c r="E1463" t="s">
        <v>335</v>
      </c>
      <c r="AG1463" t="s">
        <v>787</v>
      </c>
    </row>
    <row r="1464" spans="1:33" ht="18.75" customHeight="1" x14ac:dyDescent="0.3">
      <c r="A1464" s="1">
        <v>2019132400939</v>
      </c>
      <c r="B1464" t="s">
        <v>125</v>
      </c>
      <c r="C1464" t="s">
        <v>4186</v>
      </c>
      <c r="D1464" t="s">
        <v>4133</v>
      </c>
      <c r="E1464" t="s">
        <v>335</v>
      </c>
      <c r="AG1464" t="s">
        <v>787</v>
      </c>
    </row>
    <row r="1465" spans="1:33" ht="18.75" customHeight="1" x14ac:dyDescent="0.3">
      <c r="A1465" s="1">
        <v>2019135200229</v>
      </c>
      <c r="B1465" t="s">
        <v>125</v>
      </c>
      <c r="C1465" t="s">
        <v>4187</v>
      </c>
      <c r="D1465" t="s">
        <v>4133</v>
      </c>
      <c r="E1465" t="s">
        <v>335</v>
      </c>
      <c r="AG1465" t="s">
        <v>787</v>
      </c>
    </row>
    <row r="1466" spans="1:33" ht="18.75" customHeight="1" x14ac:dyDescent="0.3">
      <c r="A1466" s="1">
        <v>2019135200336</v>
      </c>
      <c r="B1466" t="s">
        <v>125</v>
      </c>
      <c r="C1466" t="s">
        <v>4188</v>
      </c>
      <c r="D1466" t="s">
        <v>4133</v>
      </c>
      <c r="E1466" t="s">
        <v>335</v>
      </c>
      <c r="AG1466" t="s">
        <v>787</v>
      </c>
    </row>
    <row r="1467" spans="1:33" ht="18.75" customHeight="1" x14ac:dyDescent="0.3">
      <c r="A1467" s="1">
        <v>2019135200401</v>
      </c>
      <c r="B1467" t="s">
        <v>125</v>
      </c>
      <c r="C1467" t="s">
        <v>4189</v>
      </c>
      <c r="D1467" t="s">
        <v>4133</v>
      </c>
      <c r="E1467" t="s">
        <v>335</v>
      </c>
      <c r="AG1467" t="s">
        <v>787</v>
      </c>
    </row>
    <row r="1468" spans="1:33" ht="18.75" customHeight="1" x14ac:dyDescent="0.3">
      <c r="A1468" s="1">
        <v>2019135200592</v>
      </c>
      <c r="B1468" t="s">
        <v>125</v>
      </c>
      <c r="C1468" t="s">
        <v>4190</v>
      </c>
      <c r="D1468" t="s">
        <v>4133</v>
      </c>
      <c r="E1468" t="s">
        <v>335</v>
      </c>
      <c r="AG1468" t="s">
        <v>787</v>
      </c>
    </row>
    <row r="1469" spans="1:33" ht="18.75" customHeight="1" x14ac:dyDescent="0.3">
      <c r="A1469" s="1">
        <v>2021135200282</v>
      </c>
      <c r="B1469" t="s">
        <v>125</v>
      </c>
      <c r="C1469" t="s">
        <v>4191</v>
      </c>
      <c r="D1469" t="s">
        <v>4133</v>
      </c>
      <c r="E1469" t="s">
        <v>335</v>
      </c>
      <c r="AG1469" t="s">
        <v>787</v>
      </c>
    </row>
    <row r="1470" spans="1:33" ht="18.75" customHeight="1" x14ac:dyDescent="0.3">
      <c r="A1470" s="1">
        <v>2021135200331</v>
      </c>
      <c r="B1470" t="s">
        <v>125</v>
      </c>
      <c r="C1470" t="s">
        <v>4192</v>
      </c>
      <c r="D1470" t="s">
        <v>4133</v>
      </c>
      <c r="E1470" t="s">
        <v>335</v>
      </c>
      <c r="AG1470" t="s">
        <v>787</v>
      </c>
    </row>
    <row r="1471" spans="1:33" ht="18.75" customHeight="1" x14ac:dyDescent="0.3">
      <c r="A1471" s="1">
        <v>2021135200464</v>
      </c>
      <c r="B1471" t="s">
        <v>125</v>
      </c>
      <c r="C1471" t="s">
        <v>4193</v>
      </c>
      <c r="D1471" t="s">
        <v>4133</v>
      </c>
      <c r="E1471" t="s">
        <v>335</v>
      </c>
      <c r="AG1471" t="s">
        <v>787</v>
      </c>
    </row>
    <row r="1472" spans="1:33" ht="18.75" customHeight="1" x14ac:dyDescent="0.3">
      <c r="A1472" s="1">
        <v>2021135200472</v>
      </c>
      <c r="B1472" t="s">
        <v>125</v>
      </c>
      <c r="C1472" t="s">
        <v>4194</v>
      </c>
      <c r="D1472" t="s">
        <v>4133</v>
      </c>
      <c r="E1472" t="s">
        <v>335</v>
      </c>
      <c r="AG1472" t="s">
        <v>787</v>
      </c>
    </row>
    <row r="1473" spans="1:40" ht="18.75" customHeight="1" x14ac:dyDescent="0.3">
      <c r="A1473" s="1">
        <v>2021135200604</v>
      </c>
      <c r="B1473" t="s">
        <v>125</v>
      </c>
      <c r="C1473" t="s">
        <v>4195</v>
      </c>
      <c r="D1473" t="s">
        <v>4133</v>
      </c>
      <c r="E1473" t="s">
        <v>335</v>
      </c>
      <c r="AG1473" t="s">
        <v>787</v>
      </c>
    </row>
    <row r="1474" spans="1:40" ht="18.75" customHeight="1" x14ac:dyDescent="0.3">
      <c r="A1474" s="1">
        <v>2021135200919</v>
      </c>
      <c r="B1474" t="s">
        <v>125</v>
      </c>
      <c r="C1474" t="s">
        <v>4196</v>
      </c>
      <c r="D1474" t="s">
        <v>4133</v>
      </c>
      <c r="E1474" t="s">
        <v>335</v>
      </c>
      <c r="AG1474" t="s">
        <v>787</v>
      </c>
    </row>
    <row r="1475" spans="1:40" ht="18.75" customHeight="1" x14ac:dyDescent="0.3">
      <c r="A1475" s="1">
        <v>2021135201446</v>
      </c>
      <c r="B1475" t="s">
        <v>125</v>
      </c>
      <c r="C1475" t="s">
        <v>4197</v>
      </c>
      <c r="D1475" t="s">
        <v>4133</v>
      </c>
      <c r="E1475" t="s">
        <v>335</v>
      </c>
      <c r="AG1475" t="s">
        <v>787</v>
      </c>
    </row>
    <row r="1476" spans="1:40" ht="18.75" customHeight="1" x14ac:dyDescent="0.3">
      <c r="A1476" s="1">
        <v>2023135200022</v>
      </c>
      <c r="B1476" t="s">
        <v>125</v>
      </c>
      <c r="C1476" t="s">
        <v>4198</v>
      </c>
      <c r="D1476" t="s">
        <v>4133</v>
      </c>
      <c r="E1476" t="s">
        <v>335</v>
      </c>
      <c r="AG1476" t="s">
        <v>787</v>
      </c>
    </row>
    <row r="1477" spans="1:40" ht="18.75" customHeight="1" x14ac:dyDescent="0.3">
      <c r="A1477" s="1">
        <v>2023138302263</v>
      </c>
      <c r="B1477" t="s">
        <v>125</v>
      </c>
      <c r="C1477" t="s">
        <v>4199</v>
      </c>
      <c r="D1477" t="s">
        <v>4133</v>
      </c>
      <c r="E1477" t="s">
        <v>335</v>
      </c>
      <c r="AG1477" t="s">
        <v>787</v>
      </c>
    </row>
    <row r="1478" spans="1:40" ht="18.75" customHeight="1" x14ac:dyDescent="0.3">
      <c r="A1478" s="1">
        <v>2018135202061</v>
      </c>
      <c r="B1478" t="s">
        <v>106</v>
      </c>
      <c r="C1478" t="s">
        <v>4200</v>
      </c>
      <c r="D1478" t="s">
        <v>3845</v>
      </c>
      <c r="E1478" t="s">
        <v>335</v>
      </c>
      <c r="F1478">
        <v>158</v>
      </c>
      <c r="G1478">
        <v>43279</v>
      </c>
      <c r="H1478">
        <v>44117</v>
      </c>
      <c r="I1478">
        <v>44117</v>
      </c>
      <c r="J1478">
        <v>44419</v>
      </c>
      <c r="L1478" t="s">
        <v>135</v>
      </c>
      <c r="M1478" t="s">
        <v>335</v>
      </c>
      <c r="N1478" t="s">
        <v>127</v>
      </c>
      <c r="O1478" t="s">
        <v>336</v>
      </c>
      <c r="Q1478" t="s">
        <v>49</v>
      </c>
      <c r="R1478">
        <v>1</v>
      </c>
      <c r="S1478">
        <v>0</v>
      </c>
      <c r="U1478" t="s">
        <v>4201</v>
      </c>
      <c r="V1478" t="s">
        <v>4202</v>
      </c>
      <c r="W1478">
        <v>29906231200639</v>
      </c>
      <c r="X1478">
        <v>36334</v>
      </c>
      <c r="Y1478" t="s">
        <v>550</v>
      </c>
      <c r="AE1478">
        <v>69</v>
      </c>
      <c r="AF1478">
        <v>174</v>
      </c>
      <c r="AG1478">
        <v>-5</v>
      </c>
      <c r="AN1478" t="s">
        <v>145</v>
      </c>
    </row>
    <row r="1479" spans="1:40" ht="18.75" customHeight="1" x14ac:dyDescent="0.3">
      <c r="A1479" s="1">
        <v>2021135200539</v>
      </c>
      <c r="B1479" t="s">
        <v>125</v>
      </c>
      <c r="C1479" t="s">
        <v>4203</v>
      </c>
      <c r="D1479" t="s">
        <v>3845</v>
      </c>
      <c r="E1479" t="s">
        <v>335</v>
      </c>
      <c r="F1479">
        <v>160</v>
      </c>
      <c r="G1479">
        <v>44205</v>
      </c>
      <c r="H1479">
        <v>45197</v>
      </c>
      <c r="I1479">
        <v>45197</v>
      </c>
      <c r="J1479">
        <v>45213</v>
      </c>
      <c r="L1479" t="s">
        <v>135</v>
      </c>
      <c r="M1479" t="s">
        <v>335</v>
      </c>
      <c r="N1479" t="s">
        <v>127</v>
      </c>
      <c r="O1479" t="s">
        <v>336</v>
      </c>
      <c r="R1479">
        <v>0</v>
      </c>
      <c r="S1479">
        <v>0</v>
      </c>
      <c r="U1479" t="s">
        <v>4204</v>
      </c>
      <c r="V1479" t="s">
        <v>4205</v>
      </c>
      <c r="W1479">
        <v>30210011350754</v>
      </c>
      <c r="X1479">
        <v>37530</v>
      </c>
      <c r="Y1479" t="s">
        <v>550</v>
      </c>
      <c r="AE1479">
        <v>68</v>
      </c>
      <c r="AF1479">
        <v>173</v>
      </c>
      <c r="AG1479">
        <v>-5</v>
      </c>
      <c r="AN1479" t="s">
        <v>145</v>
      </c>
    </row>
    <row r="1480" spans="1:40" ht="18.75" customHeight="1" x14ac:dyDescent="0.3">
      <c r="A1480" s="1">
        <v>2019135200146</v>
      </c>
      <c r="B1480" t="s">
        <v>125</v>
      </c>
      <c r="C1480" t="s">
        <v>4206</v>
      </c>
      <c r="D1480" t="s">
        <v>3845</v>
      </c>
      <c r="E1480" t="s">
        <v>335</v>
      </c>
      <c r="F1480">
        <v>159</v>
      </c>
      <c r="G1480">
        <v>43692</v>
      </c>
      <c r="H1480">
        <v>44482</v>
      </c>
      <c r="I1480">
        <v>45975</v>
      </c>
      <c r="J1480">
        <v>44500</v>
      </c>
      <c r="L1480" t="s">
        <v>135</v>
      </c>
      <c r="M1480" t="s">
        <v>335</v>
      </c>
      <c r="N1480" t="s">
        <v>127</v>
      </c>
      <c r="O1480" t="s">
        <v>336</v>
      </c>
      <c r="R1480">
        <v>1</v>
      </c>
      <c r="S1480">
        <v>0</v>
      </c>
      <c r="U1480" t="s">
        <v>4207</v>
      </c>
      <c r="V1480" t="s">
        <v>4208</v>
      </c>
      <c r="W1480">
        <v>30008011308657</v>
      </c>
      <c r="X1480">
        <v>36739</v>
      </c>
      <c r="Y1480" t="s">
        <v>550</v>
      </c>
      <c r="AE1480">
        <v>71</v>
      </c>
      <c r="AF1480">
        <v>178</v>
      </c>
      <c r="AG1480">
        <v>-7</v>
      </c>
      <c r="AN1480" t="s">
        <v>145</v>
      </c>
    </row>
    <row r="1481" spans="1:40" ht="18.75" customHeight="1" x14ac:dyDescent="0.3">
      <c r="A1481" s="1">
        <v>2021135200779</v>
      </c>
      <c r="B1481" t="s">
        <v>125</v>
      </c>
      <c r="C1481" t="s">
        <v>4209</v>
      </c>
      <c r="D1481" t="s">
        <v>3845</v>
      </c>
      <c r="E1481" t="s">
        <v>335</v>
      </c>
      <c r="F1481">
        <v>160</v>
      </c>
      <c r="G1481">
        <v>44205</v>
      </c>
      <c r="H1481">
        <v>45198</v>
      </c>
      <c r="I1481">
        <v>45198</v>
      </c>
      <c r="J1481">
        <v>45321</v>
      </c>
      <c r="L1481" t="s">
        <v>135</v>
      </c>
      <c r="M1481" t="s">
        <v>335</v>
      </c>
      <c r="N1481" t="s">
        <v>127</v>
      </c>
      <c r="O1481" t="s">
        <v>336</v>
      </c>
      <c r="R1481">
        <v>0</v>
      </c>
      <c r="S1481">
        <v>0</v>
      </c>
      <c r="U1481" t="s">
        <v>4210</v>
      </c>
      <c r="V1481" t="s">
        <v>4211</v>
      </c>
      <c r="W1481">
        <v>30209301612436</v>
      </c>
      <c r="X1481">
        <v>37529</v>
      </c>
      <c r="Y1481" t="s">
        <v>1392</v>
      </c>
      <c r="AE1481">
        <v>74</v>
      </c>
      <c r="AF1481">
        <v>182</v>
      </c>
      <c r="AG1481">
        <v>-8</v>
      </c>
      <c r="AN1481" t="s">
        <v>145</v>
      </c>
    </row>
    <row r="1482" spans="1:40" ht="18.75" customHeight="1" x14ac:dyDescent="0.3">
      <c r="A1482" s="1">
        <v>2021135200828</v>
      </c>
      <c r="B1482" t="s">
        <v>125</v>
      </c>
      <c r="C1482" t="s">
        <v>4212</v>
      </c>
      <c r="D1482" t="s">
        <v>3845</v>
      </c>
      <c r="E1482" t="s">
        <v>335</v>
      </c>
      <c r="F1482">
        <v>160</v>
      </c>
      <c r="G1482">
        <v>44205</v>
      </c>
      <c r="H1482">
        <v>45198</v>
      </c>
      <c r="I1482">
        <v>45198</v>
      </c>
      <c r="J1482">
        <v>45321</v>
      </c>
      <c r="L1482" t="s">
        <v>135</v>
      </c>
      <c r="M1482" t="s">
        <v>335</v>
      </c>
      <c r="N1482" t="s">
        <v>127</v>
      </c>
      <c r="O1482" t="s">
        <v>336</v>
      </c>
      <c r="R1482">
        <v>1</v>
      </c>
      <c r="S1482">
        <v>0</v>
      </c>
      <c r="U1482" t="s">
        <v>4213</v>
      </c>
      <c r="V1482" t="s">
        <v>4214</v>
      </c>
      <c r="W1482">
        <v>30104251701576</v>
      </c>
      <c r="X1482">
        <v>37006</v>
      </c>
      <c r="Y1482" t="s">
        <v>550</v>
      </c>
      <c r="AE1482">
        <v>69</v>
      </c>
      <c r="AF1482">
        <v>174</v>
      </c>
      <c r="AG1482">
        <v>-5</v>
      </c>
      <c r="AN1482" t="s">
        <v>145</v>
      </c>
    </row>
    <row r="1483" spans="1:40" ht="18.75" customHeight="1" x14ac:dyDescent="0.3">
      <c r="A1483" s="1">
        <v>2021135201412</v>
      </c>
      <c r="B1483" t="s">
        <v>125</v>
      </c>
      <c r="C1483" t="s">
        <v>4215</v>
      </c>
      <c r="D1483" t="s">
        <v>3845</v>
      </c>
      <c r="E1483" t="s">
        <v>335</v>
      </c>
      <c r="F1483">
        <v>160</v>
      </c>
      <c r="G1483">
        <v>44546</v>
      </c>
      <c r="H1483">
        <v>45566</v>
      </c>
      <c r="I1483">
        <v>45566</v>
      </c>
      <c r="J1483">
        <v>45584</v>
      </c>
      <c r="L1483" t="s">
        <v>135</v>
      </c>
      <c r="M1483" t="s">
        <v>335</v>
      </c>
      <c r="N1483" t="s">
        <v>127</v>
      </c>
      <c r="O1483" t="s">
        <v>336</v>
      </c>
      <c r="R1483">
        <v>0</v>
      </c>
      <c r="S1483">
        <v>0</v>
      </c>
      <c r="U1483" t="s">
        <v>4216</v>
      </c>
      <c r="V1483" t="s">
        <v>4217</v>
      </c>
      <c r="W1483">
        <v>30509111300059</v>
      </c>
      <c r="X1483">
        <v>38606</v>
      </c>
      <c r="Y1483" t="s">
        <v>550</v>
      </c>
      <c r="AE1483">
        <v>73</v>
      </c>
      <c r="AF1483">
        <v>178</v>
      </c>
      <c r="AG1483">
        <v>-5</v>
      </c>
      <c r="AN1483" t="s">
        <v>145</v>
      </c>
    </row>
    <row r="1484" spans="1:40" ht="18.75" customHeight="1" x14ac:dyDescent="0.3">
      <c r="A1484" s="1">
        <v>2021135201701</v>
      </c>
      <c r="B1484" t="s">
        <v>125</v>
      </c>
      <c r="C1484" t="s">
        <v>4218</v>
      </c>
      <c r="D1484" t="s">
        <v>3845</v>
      </c>
      <c r="E1484" t="s">
        <v>335</v>
      </c>
      <c r="F1484">
        <v>160</v>
      </c>
      <c r="G1484">
        <v>44546</v>
      </c>
      <c r="H1484">
        <v>45584</v>
      </c>
      <c r="I1484">
        <v>45566</v>
      </c>
      <c r="J1484">
        <v>45584</v>
      </c>
      <c r="L1484" t="s">
        <v>135</v>
      </c>
      <c r="M1484" t="s">
        <v>335</v>
      </c>
      <c r="N1484" t="s">
        <v>127</v>
      </c>
      <c r="O1484" t="s">
        <v>336</v>
      </c>
      <c r="R1484">
        <v>0</v>
      </c>
      <c r="S1484">
        <v>0</v>
      </c>
      <c r="U1484" t="s">
        <v>4219</v>
      </c>
      <c r="V1484" t="s">
        <v>4220</v>
      </c>
      <c r="W1484">
        <v>29805292800131</v>
      </c>
      <c r="X1484">
        <v>35944</v>
      </c>
      <c r="Y1484" t="s">
        <v>550</v>
      </c>
      <c r="AE1484">
        <v>75</v>
      </c>
      <c r="AF1484">
        <v>180</v>
      </c>
      <c r="AG1484">
        <v>-5</v>
      </c>
      <c r="AN1484" t="s">
        <v>145</v>
      </c>
    </row>
    <row r="1485" spans="1:40" ht="18.75" customHeight="1" x14ac:dyDescent="0.3">
      <c r="A1485" s="1">
        <v>2023138307081</v>
      </c>
      <c r="B1485" t="s">
        <v>125</v>
      </c>
      <c r="C1485" t="s">
        <v>4221</v>
      </c>
      <c r="D1485" t="s">
        <v>3845</v>
      </c>
      <c r="E1485" t="s">
        <v>335</v>
      </c>
      <c r="F1485">
        <v>162</v>
      </c>
      <c r="G1485">
        <v>44941</v>
      </c>
      <c r="H1485">
        <v>45976</v>
      </c>
      <c r="I1485">
        <v>45976</v>
      </c>
      <c r="J1485">
        <v>45953</v>
      </c>
      <c r="L1485" t="s">
        <v>135</v>
      </c>
      <c r="M1485" t="s">
        <v>335</v>
      </c>
      <c r="N1485" t="s">
        <v>127</v>
      </c>
      <c r="O1485" t="s">
        <v>336</v>
      </c>
      <c r="R1485">
        <v>0</v>
      </c>
      <c r="S1485">
        <v>0</v>
      </c>
      <c r="U1485" t="s">
        <v>4222</v>
      </c>
      <c r="V1485" t="s">
        <v>4223</v>
      </c>
      <c r="W1485">
        <v>30311121601435</v>
      </c>
      <c r="X1485">
        <v>37937</v>
      </c>
      <c r="Y1485" t="s">
        <v>550</v>
      </c>
      <c r="AE1485">
        <v>79</v>
      </c>
      <c r="AF1485">
        <v>180</v>
      </c>
      <c r="AG1485">
        <v>-1</v>
      </c>
      <c r="AN1485" t="s">
        <v>145</v>
      </c>
    </row>
    <row r="1486" spans="1:40" ht="18.75" customHeight="1" x14ac:dyDescent="0.3">
      <c r="A1486" s="1">
        <v>2001138302201</v>
      </c>
      <c r="B1486" t="s">
        <v>210</v>
      </c>
      <c r="C1486" t="s">
        <v>4224</v>
      </c>
      <c r="D1486" t="s">
        <v>341</v>
      </c>
      <c r="E1486" t="s">
        <v>43</v>
      </c>
      <c r="G1486">
        <v>36911</v>
      </c>
      <c r="H1486">
        <v>37381</v>
      </c>
      <c r="I1486">
        <v>44743</v>
      </c>
      <c r="J1486">
        <v>44977</v>
      </c>
      <c r="K1486">
        <v>44977</v>
      </c>
      <c r="L1486" t="s">
        <v>135</v>
      </c>
      <c r="M1486" t="s">
        <v>342</v>
      </c>
      <c r="N1486" t="s">
        <v>127</v>
      </c>
      <c r="O1486" t="s">
        <v>4225</v>
      </c>
      <c r="P1486" t="s">
        <v>49</v>
      </c>
      <c r="R1486">
        <v>31</v>
      </c>
      <c r="S1486">
        <v>2</v>
      </c>
      <c r="T1486">
        <v>0</v>
      </c>
      <c r="U1486" t="s">
        <v>4226</v>
      </c>
      <c r="W1486">
        <v>28203070102611</v>
      </c>
      <c r="X1486">
        <v>30017</v>
      </c>
      <c r="Y1486" t="s">
        <v>103</v>
      </c>
      <c r="Z1486">
        <v>3</v>
      </c>
      <c r="AA1486">
        <v>1</v>
      </c>
      <c r="AB1486">
        <v>2</v>
      </c>
      <c r="AC1486" t="s">
        <v>4227</v>
      </c>
      <c r="AD1486" t="s">
        <v>4228</v>
      </c>
      <c r="AE1486" t="s">
        <v>176</v>
      </c>
      <c r="AF1486">
        <v>76</v>
      </c>
      <c r="AG1486">
        <v>179</v>
      </c>
      <c r="AH1486">
        <f>IF([2]!Table1[[#This Row],[الوزن]]&lt;&gt;"",[2]!Table1[[#This Row],[الوزن]]-([2]!Table1[[#This Row],[الطول]]-100),"")</f>
        <v>278</v>
      </c>
      <c r="AJ1486" t="s">
        <v>4229</v>
      </c>
    </row>
    <row r="1487" spans="1:40" ht="18.75" customHeight="1" x14ac:dyDescent="0.3">
      <c r="A1487" s="1">
        <v>2011130402917</v>
      </c>
      <c r="B1487" t="s">
        <v>75</v>
      </c>
      <c r="C1487" t="s">
        <v>4230</v>
      </c>
      <c r="D1487" t="s">
        <v>3845</v>
      </c>
      <c r="E1487" t="s">
        <v>335</v>
      </c>
      <c r="F1487">
        <v>146</v>
      </c>
      <c r="G1487">
        <v>40748</v>
      </c>
      <c r="H1487">
        <v>41222</v>
      </c>
      <c r="I1487">
        <v>43101</v>
      </c>
      <c r="J1487">
        <v>44861</v>
      </c>
      <c r="L1487" t="s">
        <v>135</v>
      </c>
      <c r="M1487" t="s">
        <v>158</v>
      </c>
      <c r="N1487" t="s">
        <v>78</v>
      </c>
      <c r="O1487" t="s">
        <v>1782</v>
      </c>
      <c r="P1487" t="s">
        <v>49</v>
      </c>
      <c r="R1487">
        <v>1</v>
      </c>
      <c r="S1487">
        <v>0</v>
      </c>
      <c r="U1487" t="s">
        <v>4231</v>
      </c>
      <c r="V1487" t="s">
        <v>4232</v>
      </c>
      <c r="W1487">
        <v>28902111700833</v>
      </c>
      <c r="X1487">
        <v>32550</v>
      </c>
      <c r="Y1487" t="s">
        <v>103</v>
      </c>
      <c r="AE1487">
        <v>64</v>
      </c>
      <c r="AF1487">
        <v>171</v>
      </c>
      <c r="AG1487">
        <v>-7</v>
      </c>
      <c r="AN1487" t="s">
        <v>145</v>
      </c>
    </row>
    <row r="1488" spans="1:40" ht="18.75" customHeight="1" x14ac:dyDescent="0.3">
      <c r="A1488" s="1">
        <v>2011138311532</v>
      </c>
      <c r="B1488" t="s">
        <v>75</v>
      </c>
      <c r="C1488" t="s">
        <v>4233</v>
      </c>
      <c r="D1488" t="s">
        <v>341</v>
      </c>
      <c r="E1488" t="s">
        <v>43</v>
      </c>
      <c r="F1488">
        <v>146</v>
      </c>
      <c r="G1488">
        <v>40748</v>
      </c>
      <c r="H1488">
        <v>41045</v>
      </c>
      <c r="I1488">
        <v>44927</v>
      </c>
      <c r="J1488">
        <v>41963</v>
      </c>
      <c r="K1488">
        <v>45977</v>
      </c>
      <c r="L1488" t="s">
        <v>135</v>
      </c>
      <c r="M1488" t="s">
        <v>342</v>
      </c>
      <c r="N1488" t="s">
        <v>127</v>
      </c>
      <c r="O1488" t="s">
        <v>4225</v>
      </c>
      <c r="P1488" t="s">
        <v>49</v>
      </c>
      <c r="R1488">
        <v>3</v>
      </c>
      <c r="S1488">
        <v>0</v>
      </c>
      <c r="T1488">
        <v>0</v>
      </c>
      <c r="U1488" t="s">
        <v>4234</v>
      </c>
      <c r="V1488" t="s">
        <v>4235</v>
      </c>
      <c r="W1488">
        <v>29401041601519</v>
      </c>
      <c r="X1488">
        <v>35434</v>
      </c>
      <c r="Y1488" t="s">
        <v>103</v>
      </c>
      <c r="Z1488">
        <v>2</v>
      </c>
      <c r="AA1488">
        <v>0</v>
      </c>
      <c r="AB1488">
        <v>2</v>
      </c>
      <c r="AC1488" t="s">
        <v>3133</v>
      </c>
      <c r="AD1488" t="s">
        <v>217</v>
      </c>
      <c r="AE1488" t="s">
        <v>73</v>
      </c>
      <c r="AF1488">
        <v>83</v>
      </c>
      <c r="AG1488">
        <v>180</v>
      </c>
      <c r="AH1488">
        <f>IF([2]!Table1[[#This Row],[الوزن]]&lt;&gt;"",[2]!Table1[[#This Row],[الوزن]]-([2]!Table1[[#This Row],[الطول]]-100),"")</f>
        <v>0</v>
      </c>
      <c r="AJ1488" t="s">
        <v>4236</v>
      </c>
    </row>
    <row r="1489" spans="1:40" ht="18.75" customHeight="1" x14ac:dyDescent="0.3">
      <c r="A1489" s="1">
        <v>2007138313339</v>
      </c>
      <c r="B1489" t="s">
        <v>57</v>
      </c>
      <c r="C1489" t="s">
        <v>4237</v>
      </c>
      <c r="D1489" t="s">
        <v>1363</v>
      </c>
      <c r="E1489" t="s">
        <v>43</v>
      </c>
      <c r="F1489">
        <v>138</v>
      </c>
      <c r="G1489">
        <v>39284</v>
      </c>
      <c r="H1489">
        <v>39759</v>
      </c>
      <c r="I1489">
        <v>45292</v>
      </c>
      <c r="L1489" t="s">
        <v>45</v>
      </c>
      <c r="M1489" t="s">
        <v>342</v>
      </c>
      <c r="N1489" t="s">
        <v>127</v>
      </c>
      <c r="O1489" t="s">
        <v>4225</v>
      </c>
      <c r="P1489" t="s">
        <v>49</v>
      </c>
      <c r="R1489">
        <v>11</v>
      </c>
      <c r="U1489" t="s">
        <v>4238</v>
      </c>
      <c r="W1489">
        <v>29112051800712</v>
      </c>
      <c r="X1489">
        <v>33577</v>
      </c>
      <c r="Y1489" t="s">
        <v>338</v>
      </c>
      <c r="Z1489">
        <v>3</v>
      </c>
      <c r="AA1489">
        <v>2</v>
      </c>
      <c r="AB1489">
        <v>1</v>
      </c>
      <c r="AD1489" t="s">
        <v>1427</v>
      </c>
      <c r="AE1489" t="s">
        <v>1412</v>
      </c>
      <c r="AF1489">
        <v>70</v>
      </c>
      <c r="AG1489">
        <v>170</v>
      </c>
      <c r="AH1489">
        <f>IF([2]!Table1[[#This Row],[الوزن]]&lt;&gt;"",[2]!Table1[[#This Row],[الوزن]]-([2]!Table1[[#This Row],[الطول]]-100),"")</f>
        <v>-5</v>
      </c>
      <c r="AJ1489" t="s">
        <v>4239</v>
      </c>
    </row>
    <row r="1490" spans="1:40" ht="18.75" customHeight="1" x14ac:dyDescent="0.3">
      <c r="A1490" s="1">
        <v>2008138303619</v>
      </c>
      <c r="B1490" t="s">
        <v>57</v>
      </c>
      <c r="C1490" t="s">
        <v>4240</v>
      </c>
      <c r="D1490" t="s">
        <v>1363</v>
      </c>
      <c r="E1490" t="s">
        <v>43</v>
      </c>
      <c r="F1490">
        <v>139</v>
      </c>
      <c r="G1490">
        <v>39504</v>
      </c>
      <c r="H1490">
        <v>39952</v>
      </c>
      <c r="I1490">
        <v>45474</v>
      </c>
      <c r="L1490" t="s">
        <v>45</v>
      </c>
      <c r="M1490" t="s">
        <v>342</v>
      </c>
      <c r="N1490" t="s">
        <v>127</v>
      </c>
      <c r="O1490" t="s">
        <v>4225</v>
      </c>
      <c r="P1490" t="s">
        <v>49</v>
      </c>
      <c r="R1490">
        <v>13</v>
      </c>
      <c r="U1490" t="s">
        <v>4241</v>
      </c>
      <c r="W1490">
        <v>29009291502471</v>
      </c>
      <c r="X1490">
        <v>33145</v>
      </c>
      <c r="Y1490" t="s">
        <v>103</v>
      </c>
      <c r="Z1490">
        <v>3</v>
      </c>
      <c r="AA1490">
        <v>1</v>
      </c>
      <c r="AB1490">
        <v>2</v>
      </c>
      <c r="AD1490" t="s">
        <v>4242</v>
      </c>
      <c r="AE1490" t="s">
        <v>1458</v>
      </c>
      <c r="AF1490">
        <v>81</v>
      </c>
      <c r="AG1490">
        <v>186</v>
      </c>
      <c r="AH1490">
        <f>IF([2]!Table1[[#This Row],[الوزن]]&lt;&gt;"",[2]!Table1[[#This Row],[الوزن]]-([2]!Table1[[#This Row],[الطول]]-100),"")</f>
        <v>285</v>
      </c>
      <c r="AJ1490" t="s">
        <v>4243</v>
      </c>
    </row>
    <row r="1491" spans="1:40" ht="18.75" customHeight="1" x14ac:dyDescent="0.3">
      <c r="A1491" s="1">
        <v>2013135201188</v>
      </c>
      <c r="B1491" t="s">
        <v>75</v>
      </c>
      <c r="C1491" t="s">
        <v>4244</v>
      </c>
      <c r="D1491" t="s">
        <v>3845</v>
      </c>
      <c r="E1491" t="s">
        <v>335</v>
      </c>
      <c r="G1491">
        <v>41510</v>
      </c>
      <c r="H1491">
        <v>41982</v>
      </c>
      <c r="I1491">
        <v>45839</v>
      </c>
      <c r="J1491">
        <v>45969</v>
      </c>
      <c r="L1491" t="s">
        <v>135</v>
      </c>
      <c r="M1491" t="s">
        <v>335</v>
      </c>
      <c r="N1491" t="s">
        <v>127</v>
      </c>
      <c r="O1491" t="s">
        <v>4245</v>
      </c>
      <c r="R1491">
        <v>5</v>
      </c>
      <c r="S1491">
        <v>2</v>
      </c>
      <c r="U1491" t="s">
        <v>4246</v>
      </c>
      <c r="V1491" t="s">
        <v>4247</v>
      </c>
      <c r="W1491">
        <v>29407051301392</v>
      </c>
      <c r="X1491">
        <v>34520</v>
      </c>
      <c r="Y1491" t="s">
        <v>103</v>
      </c>
      <c r="AE1491">
        <v>75</v>
      </c>
      <c r="AF1491">
        <v>180</v>
      </c>
      <c r="AG1491">
        <v>-5</v>
      </c>
      <c r="AN1491" t="s">
        <v>145</v>
      </c>
    </row>
    <row r="1492" spans="1:40" ht="18.75" customHeight="1" x14ac:dyDescent="0.3">
      <c r="A1492" s="1">
        <v>2014131802318</v>
      </c>
      <c r="B1492" t="s">
        <v>75</v>
      </c>
      <c r="C1492" t="s">
        <v>4248</v>
      </c>
      <c r="D1492" t="s">
        <v>3845</v>
      </c>
      <c r="E1492" t="s">
        <v>335</v>
      </c>
      <c r="G1492">
        <v>41665</v>
      </c>
      <c r="H1492">
        <v>42135</v>
      </c>
      <c r="I1492">
        <v>45969</v>
      </c>
      <c r="J1492">
        <v>45973</v>
      </c>
      <c r="L1492" t="s">
        <v>135</v>
      </c>
      <c r="M1492" t="s">
        <v>335</v>
      </c>
      <c r="N1492" t="s">
        <v>127</v>
      </c>
      <c r="O1492" t="s">
        <v>1868</v>
      </c>
      <c r="R1492">
        <v>3</v>
      </c>
      <c r="S1492">
        <v>0</v>
      </c>
      <c r="U1492" t="s">
        <v>4249</v>
      </c>
      <c r="V1492" t="s">
        <v>4250</v>
      </c>
      <c r="W1492">
        <v>29704241701634</v>
      </c>
      <c r="X1492">
        <v>35544</v>
      </c>
      <c r="Y1492" t="s">
        <v>51</v>
      </c>
      <c r="AE1492">
        <v>76</v>
      </c>
      <c r="AF1492">
        <v>179</v>
      </c>
      <c r="AG1492">
        <v>-3</v>
      </c>
      <c r="AN1492" t="s">
        <v>145</v>
      </c>
    </row>
    <row r="1493" spans="1:40" ht="18.75" customHeight="1" x14ac:dyDescent="0.3">
      <c r="A1493" s="1">
        <v>2008138308312</v>
      </c>
      <c r="B1493" t="s">
        <v>57</v>
      </c>
      <c r="C1493" t="s">
        <v>4251</v>
      </c>
      <c r="D1493" t="s">
        <v>1363</v>
      </c>
      <c r="E1493" t="s">
        <v>43</v>
      </c>
      <c r="F1493">
        <v>139</v>
      </c>
      <c r="G1493">
        <v>39655</v>
      </c>
      <c r="H1493">
        <v>40123</v>
      </c>
      <c r="I1493">
        <v>45658</v>
      </c>
      <c r="L1493" t="s">
        <v>45</v>
      </c>
      <c r="M1493" t="s">
        <v>342</v>
      </c>
      <c r="N1493" t="s">
        <v>127</v>
      </c>
      <c r="O1493" t="s">
        <v>4225</v>
      </c>
      <c r="P1493" t="s">
        <v>49</v>
      </c>
      <c r="R1493">
        <v>2</v>
      </c>
      <c r="U1493" t="s">
        <v>4252</v>
      </c>
      <c r="W1493">
        <v>286043025014074</v>
      </c>
      <c r="X1493">
        <v>31528</v>
      </c>
      <c r="Y1493" t="s">
        <v>338</v>
      </c>
      <c r="Z1493">
        <v>2</v>
      </c>
      <c r="AA1493">
        <v>1</v>
      </c>
      <c r="AB1493">
        <v>1</v>
      </c>
      <c r="AE1493" t="s">
        <v>4253</v>
      </c>
      <c r="AF1493">
        <v>69</v>
      </c>
      <c r="AG1493">
        <v>168</v>
      </c>
      <c r="AH1493">
        <f>IF([2]!Table1[[#This Row],[الوزن]]&lt;&gt;"",[2]!Table1[[#This Row],[الوزن]]-([2]!Table1[[#This Row],[الطول]]-100),"")</f>
        <v>1</v>
      </c>
      <c r="AJ1493" t="s">
        <v>4254</v>
      </c>
    </row>
    <row r="1494" spans="1:40" ht="18.75" customHeight="1" x14ac:dyDescent="0.3">
      <c r="A1494" s="1">
        <v>2012134702189</v>
      </c>
      <c r="B1494" t="s">
        <v>57</v>
      </c>
      <c r="C1494" t="s">
        <v>4255</v>
      </c>
      <c r="D1494" t="s">
        <v>1363</v>
      </c>
      <c r="E1494" t="s">
        <v>43</v>
      </c>
      <c r="F1494">
        <v>147</v>
      </c>
      <c r="G1494">
        <v>40936</v>
      </c>
      <c r="H1494">
        <v>41133</v>
      </c>
      <c r="I1494">
        <v>44927</v>
      </c>
      <c r="L1494" t="s">
        <v>1420</v>
      </c>
      <c r="M1494" t="s">
        <v>342</v>
      </c>
      <c r="N1494" t="s">
        <v>127</v>
      </c>
      <c r="O1494" t="s">
        <v>4225</v>
      </c>
      <c r="P1494" t="s">
        <v>49</v>
      </c>
      <c r="R1494">
        <v>1</v>
      </c>
      <c r="U1494" t="s">
        <v>4256</v>
      </c>
      <c r="W1494">
        <v>2910302401191</v>
      </c>
      <c r="X1494">
        <v>33300</v>
      </c>
      <c r="Y1494" t="s">
        <v>338</v>
      </c>
      <c r="Z1494">
        <v>3</v>
      </c>
      <c r="AA1494">
        <v>1</v>
      </c>
      <c r="AB1494">
        <v>2</v>
      </c>
      <c r="AD1494" t="s">
        <v>4257</v>
      </c>
      <c r="AE1494" t="s">
        <v>1423</v>
      </c>
      <c r="AF1494">
        <v>69</v>
      </c>
      <c r="AG1494">
        <v>168</v>
      </c>
      <c r="AH1494">
        <f>IF([2]!Table1[[#This Row],[الوزن]]&lt;&gt;"",[2]!Table1[[#This Row],[الوزن]]-([2]!Table1[[#This Row],[الطول]]-100),"")</f>
        <v>282</v>
      </c>
      <c r="AJ1494" t="s">
        <v>4258</v>
      </c>
    </row>
    <row r="1495" spans="1:40" ht="18.75" customHeight="1" x14ac:dyDescent="0.3">
      <c r="A1495" s="1">
        <v>2015134711960</v>
      </c>
      <c r="B1495" t="s">
        <v>75</v>
      </c>
      <c r="C1495" t="s">
        <v>4259</v>
      </c>
      <c r="D1495" t="s">
        <v>3845</v>
      </c>
      <c r="E1495" t="s">
        <v>335</v>
      </c>
      <c r="G1495">
        <v>42369</v>
      </c>
      <c r="H1495">
        <v>42932</v>
      </c>
      <c r="I1495">
        <v>45240</v>
      </c>
      <c r="J1495">
        <v>45973</v>
      </c>
      <c r="L1495" t="s">
        <v>135</v>
      </c>
      <c r="M1495" t="s">
        <v>335</v>
      </c>
      <c r="N1495" t="s">
        <v>47</v>
      </c>
      <c r="O1495" t="s">
        <v>2118</v>
      </c>
      <c r="U1495" t="s">
        <v>4260</v>
      </c>
      <c r="V1495" t="s">
        <v>4261</v>
      </c>
      <c r="W1495">
        <v>29409101403399</v>
      </c>
      <c r="X1495">
        <v>34587</v>
      </c>
      <c r="Y1495" t="s">
        <v>103</v>
      </c>
      <c r="AE1495">
        <v>70</v>
      </c>
      <c r="AF1495">
        <v>176</v>
      </c>
      <c r="AG1495">
        <v>-6</v>
      </c>
      <c r="AN1495" t="s">
        <v>145</v>
      </c>
    </row>
    <row r="1496" spans="1:40" ht="18.75" customHeight="1" x14ac:dyDescent="0.3">
      <c r="A1496" s="1">
        <v>2012138305814</v>
      </c>
      <c r="B1496" t="s">
        <v>75</v>
      </c>
      <c r="C1496" t="s">
        <v>4262</v>
      </c>
      <c r="D1496" t="s">
        <v>1363</v>
      </c>
      <c r="E1496" t="s">
        <v>43</v>
      </c>
      <c r="F1496">
        <v>147</v>
      </c>
      <c r="G1496">
        <v>40936</v>
      </c>
      <c r="H1496">
        <v>41073</v>
      </c>
      <c r="I1496">
        <v>45108</v>
      </c>
      <c r="L1496" t="s">
        <v>45</v>
      </c>
      <c r="M1496" t="s">
        <v>342</v>
      </c>
      <c r="N1496" t="s">
        <v>127</v>
      </c>
      <c r="O1496" t="s">
        <v>4225</v>
      </c>
      <c r="P1496" t="s">
        <v>49</v>
      </c>
      <c r="R1496">
        <v>3</v>
      </c>
      <c r="U1496" t="s">
        <v>4263</v>
      </c>
      <c r="W1496">
        <v>29504011608458</v>
      </c>
      <c r="X1496">
        <v>34790</v>
      </c>
      <c r="Y1496" t="s">
        <v>4264</v>
      </c>
      <c r="Z1496">
        <v>2</v>
      </c>
      <c r="AB1496">
        <v>2</v>
      </c>
      <c r="AD1496" t="s">
        <v>4265</v>
      </c>
      <c r="AE1496" t="s">
        <v>4266</v>
      </c>
      <c r="AF1496">
        <v>80</v>
      </c>
      <c r="AG1496">
        <v>184</v>
      </c>
      <c r="AH1496">
        <f>IF([2]!Table1[[#This Row],[الوزن]]&lt;&gt;"",[2]!Table1[[#This Row],[الوزن]]-([2]!Table1[[#This Row],[الطول]]-100),"")</f>
        <v>-2</v>
      </c>
      <c r="AJ1496" t="s">
        <v>4267</v>
      </c>
    </row>
    <row r="1497" spans="1:40" ht="18.75" customHeight="1" x14ac:dyDescent="0.3">
      <c r="A1497" s="1">
        <v>2015138303044</v>
      </c>
      <c r="B1497" t="s">
        <v>106</v>
      </c>
      <c r="C1497" t="s">
        <v>4268</v>
      </c>
      <c r="D1497" t="s">
        <v>1363</v>
      </c>
      <c r="E1497" t="s">
        <v>43</v>
      </c>
      <c r="F1497">
        <v>153</v>
      </c>
      <c r="G1497">
        <v>42030</v>
      </c>
      <c r="H1497">
        <v>42790</v>
      </c>
      <c r="I1497">
        <v>44743</v>
      </c>
      <c r="L1497" t="s">
        <v>771</v>
      </c>
      <c r="M1497" t="s">
        <v>342</v>
      </c>
      <c r="N1497" t="s">
        <v>127</v>
      </c>
      <c r="O1497" t="s">
        <v>4225</v>
      </c>
      <c r="P1497" t="s">
        <v>49</v>
      </c>
      <c r="R1497">
        <v>9</v>
      </c>
      <c r="U1497" t="s">
        <v>4269</v>
      </c>
      <c r="W1497">
        <v>29305051303631</v>
      </c>
      <c r="X1497">
        <v>34094</v>
      </c>
      <c r="Y1497" t="s">
        <v>103</v>
      </c>
      <c r="Z1497">
        <v>2</v>
      </c>
      <c r="AA1497">
        <v>2</v>
      </c>
      <c r="AD1497" t="s">
        <v>4270</v>
      </c>
      <c r="AE1497" t="s">
        <v>1418</v>
      </c>
      <c r="AF1497">
        <v>70</v>
      </c>
      <c r="AG1497">
        <v>172</v>
      </c>
      <c r="AH1497">
        <f>IF([2]!Table1[[#This Row],[الوزن]]&lt;&gt;"",[2]!Table1[[#This Row],[الوزن]]-([2]!Table1[[#This Row],[الطول]]-100),"")</f>
        <v>-5</v>
      </c>
      <c r="AJ1497" t="s">
        <v>4271</v>
      </c>
    </row>
    <row r="1498" spans="1:40" ht="18.75" customHeight="1" x14ac:dyDescent="0.3">
      <c r="A1498" s="1">
        <v>2019138310182</v>
      </c>
      <c r="B1498" t="s">
        <v>125</v>
      </c>
      <c r="C1498" t="s">
        <v>4272</v>
      </c>
      <c r="D1498" t="s">
        <v>1545</v>
      </c>
      <c r="E1498" t="s">
        <v>43</v>
      </c>
      <c r="F1498">
        <v>159</v>
      </c>
      <c r="G1498">
        <v>43704</v>
      </c>
      <c r="H1498">
        <v>44482</v>
      </c>
      <c r="I1498">
        <v>44482</v>
      </c>
      <c r="L1498" t="s">
        <v>135</v>
      </c>
      <c r="M1498" t="s">
        <v>1546</v>
      </c>
      <c r="N1498" t="s">
        <v>127</v>
      </c>
      <c r="O1498" t="s">
        <v>4225</v>
      </c>
      <c r="P1498" t="s">
        <v>49</v>
      </c>
      <c r="R1498">
        <v>2</v>
      </c>
      <c r="S1498">
        <v>0</v>
      </c>
      <c r="T1498">
        <v>0</v>
      </c>
      <c r="U1498" t="s">
        <v>4273</v>
      </c>
      <c r="V1498" t="s">
        <v>4274</v>
      </c>
      <c r="W1498">
        <v>30102091300399</v>
      </c>
      <c r="X1498">
        <v>36931</v>
      </c>
      <c r="Y1498" t="s">
        <v>51</v>
      </c>
      <c r="Z1498">
        <v>0</v>
      </c>
      <c r="AA1498">
        <v>0</v>
      </c>
      <c r="AD1498" t="s">
        <v>746</v>
      </c>
      <c r="AE1498" t="s">
        <v>64</v>
      </c>
      <c r="AF1498">
        <v>70</v>
      </c>
      <c r="AG1498">
        <v>175</v>
      </c>
      <c r="AH1498">
        <f>IF([2]!Table1[[#This Row],[الوزن]]&lt;&gt;"",[2]!Table1[[#This Row],[الوزن]]-([2]!Table1[[#This Row],[الطول]]-100),"")</f>
        <v>285</v>
      </c>
      <c r="AJ1498" t="s">
        <v>280</v>
      </c>
    </row>
    <row r="1499" spans="1:40" ht="18.75" customHeight="1" x14ac:dyDescent="0.3">
      <c r="A1499" s="1">
        <v>2015135202190</v>
      </c>
      <c r="B1499" t="s">
        <v>106</v>
      </c>
      <c r="C1499" t="s">
        <v>4275</v>
      </c>
      <c r="D1499" t="s">
        <v>3845</v>
      </c>
      <c r="E1499" t="s">
        <v>335</v>
      </c>
      <c r="F1499">
        <v>156</v>
      </c>
      <c r="G1499">
        <v>42224</v>
      </c>
      <c r="H1499">
        <v>42790</v>
      </c>
      <c r="I1499">
        <v>42790</v>
      </c>
      <c r="J1499">
        <v>44873</v>
      </c>
      <c r="L1499" t="s">
        <v>135</v>
      </c>
      <c r="M1499" t="s">
        <v>335</v>
      </c>
      <c r="N1499" t="s">
        <v>127</v>
      </c>
      <c r="O1499" t="s">
        <v>3562</v>
      </c>
      <c r="P1499" t="s">
        <v>49</v>
      </c>
      <c r="R1499">
        <v>3</v>
      </c>
      <c r="S1499">
        <v>1</v>
      </c>
      <c r="U1499" t="s">
        <v>4276</v>
      </c>
      <c r="V1499" t="s">
        <v>4277</v>
      </c>
      <c r="W1499">
        <v>29804192800634</v>
      </c>
      <c r="X1499">
        <v>35904</v>
      </c>
      <c r="Y1499" t="s">
        <v>103</v>
      </c>
      <c r="AE1499">
        <v>71</v>
      </c>
      <c r="AF1499">
        <v>178</v>
      </c>
      <c r="AG1499">
        <v>-7</v>
      </c>
      <c r="AN1499" t="s">
        <v>145</v>
      </c>
    </row>
    <row r="1500" spans="1:40" ht="18.75" customHeight="1" x14ac:dyDescent="0.3">
      <c r="A1500" s="1">
        <v>2015135202398</v>
      </c>
      <c r="B1500" t="s">
        <v>106</v>
      </c>
      <c r="C1500" t="s">
        <v>4278</v>
      </c>
      <c r="D1500" t="s">
        <v>3845</v>
      </c>
      <c r="E1500" t="s">
        <v>335</v>
      </c>
      <c r="F1500">
        <v>154</v>
      </c>
      <c r="G1500">
        <v>42224</v>
      </c>
      <c r="H1500">
        <v>42790</v>
      </c>
      <c r="I1500">
        <v>44743</v>
      </c>
      <c r="J1500">
        <v>44861</v>
      </c>
      <c r="L1500" t="s">
        <v>1599</v>
      </c>
      <c r="M1500" t="s">
        <v>335</v>
      </c>
      <c r="N1500" t="s">
        <v>127</v>
      </c>
      <c r="O1500" t="s">
        <v>3562</v>
      </c>
      <c r="P1500" t="s">
        <v>49</v>
      </c>
      <c r="R1500">
        <v>4</v>
      </c>
      <c r="S1500">
        <v>0</v>
      </c>
      <c r="U1500" t="s">
        <v>4279</v>
      </c>
      <c r="V1500" t="s">
        <v>4280</v>
      </c>
      <c r="W1500">
        <v>29706102703412</v>
      </c>
      <c r="X1500">
        <v>35591</v>
      </c>
      <c r="Y1500" t="s">
        <v>103</v>
      </c>
      <c r="AE1500">
        <v>70</v>
      </c>
      <c r="AF1500">
        <v>174</v>
      </c>
      <c r="AG1500">
        <v>-4</v>
      </c>
      <c r="AN1500" t="s">
        <v>145</v>
      </c>
    </row>
    <row r="1501" spans="1:40" ht="18.75" customHeight="1" x14ac:dyDescent="0.3">
      <c r="A1501" s="1">
        <v>2015135202520</v>
      </c>
      <c r="B1501" t="s">
        <v>106</v>
      </c>
      <c r="C1501" t="s">
        <v>4281</v>
      </c>
      <c r="D1501" t="s">
        <v>3845</v>
      </c>
      <c r="E1501" t="s">
        <v>335</v>
      </c>
      <c r="F1501">
        <v>156</v>
      </c>
      <c r="G1501">
        <v>42224</v>
      </c>
      <c r="H1501">
        <v>42790</v>
      </c>
      <c r="I1501">
        <v>44743</v>
      </c>
      <c r="J1501">
        <v>44869</v>
      </c>
      <c r="L1501" t="s">
        <v>135</v>
      </c>
      <c r="M1501" t="s">
        <v>335</v>
      </c>
      <c r="N1501" t="s">
        <v>127</v>
      </c>
      <c r="O1501" t="s">
        <v>3562</v>
      </c>
      <c r="P1501" t="s">
        <v>49</v>
      </c>
      <c r="R1501">
        <v>2</v>
      </c>
      <c r="S1501">
        <v>0</v>
      </c>
      <c r="U1501" t="s">
        <v>4282</v>
      </c>
      <c r="V1501" t="s">
        <v>4283</v>
      </c>
      <c r="W1501">
        <v>29401312800293</v>
      </c>
      <c r="X1501">
        <v>34365</v>
      </c>
      <c r="Y1501" t="s">
        <v>103</v>
      </c>
      <c r="AE1501">
        <v>69</v>
      </c>
      <c r="AF1501">
        <v>173</v>
      </c>
      <c r="AG1501">
        <v>-4</v>
      </c>
      <c r="AN1501" t="s">
        <v>145</v>
      </c>
    </row>
    <row r="1502" spans="1:40" ht="18.75" customHeight="1" x14ac:dyDescent="0.3">
      <c r="A1502" s="1">
        <v>2015135202596</v>
      </c>
      <c r="B1502" t="s">
        <v>106</v>
      </c>
      <c r="C1502" t="s">
        <v>4284</v>
      </c>
      <c r="D1502" t="s">
        <v>3845</v>
      </c>
      <c r="E1502" t="s">
        <v>335</v>
      </c>
      <c r="F1502">
        <v>156</v>
      </c>
      <c r="G1502">
        <v>42224</v>
      </c>
      <c r="H1502">
        <v>42790</v>
      </c>
      <c r="I1502">
        <v>42790</v>
      </c>
      <c r="J1502">
        <v>45973</v>
      </c>
      <c r="L1502" t="s">
        <v>135</v>
      </c>
      <c r="M1502" t="s">
        <v>335</v>
      </c>
      <c r="N1502" t="s">
        <v>127</v>
      </c>
      <c r="O1502" t="s">
        <v>3562</v>
      </c>
      <c r="R1502">
        <v>3</v>
      </c>
      <c r="S1502">
        <v>0</v>
      </c>
      <c r="U1502" t="s">
        <v>4285</v>
      </c>
      <c r="V1502" t="s">
        <v>4286</v>
      </c>
      <c r="W1502">
        <v>29603102800694</v>
      </c>
      <c r="X1502">
        <v>35134</v>
      </c>
      <c r="Y1502" t="s">
        <v>103</v>
      </c>
      <c r="AE1502">
        <v>74</v>
      </c>
      <c r="AF1502">
        <v>176</v>
      </c>
      <c r="AG1502">
        <v>-2</v>
      </c>
      <c r="AN1502" t="s">
        <v>145</v>
      </c>
    </row>
    <row r="1503" spans="1:40" ht="18.75" customHeight="1" x14ac:dyDescent="0.3">
      <c r="A1503" s="1">
        <v>2015135202635</v>
      </c>
      <c r="B1503" t="s">
        <v>106</v>
      </c>
      <c r="C1503" t="s">
        <v>4287</v>
      </c>
      <c r="D1503" t="s">
        <v>3845</v>
      </c>
      <c r="E1503" t="s">
        <v>335</v>
      </c>
      <c r="F1503">
        <v>156</v>
      </c>
      <c r="G1503">
        <v>42224</v>
      </c>
      <c r="H1503">
        <v>42790</v>
      </c>
      <c r="I1503">
        <v>45474</v>
      </c>
      <c r="J1503">
        <v>45973</v>
      </c>
      <c r="L1503" t="s">
        <v>135</v>
      </c>
      <c r="M1503" t="s">
        <v>335</v>
      </c>
      <c r="N1503" t="s">
        <v>127</v>
      </c>
      <c r="O1503" t="s">
        <v>3562</v>
      </c>
      <c r="R1503">
        <v>1</v>
      </c>
      <c r="S1503">
        <v>1</v>
      </c>
      <c r="U1503" t="s">
        <v>4288</v>
      </c>
      <c r="V1503" t="s">
        <v>4289</v>
      </c>
      <c r="W1503">
        <v>29801172801112</v>
      </c>
      <c r="X1503">
        <v>35802</v>
      </c>
      <c r="Y1503" t="s">
        <v>550</v>
      </c>
      <c r="AE1503">
        <v>71</v>
      </c>
      <c r="AF1503">
        <v>178</v>
      </c>
      <c r="AG1503">
        <v>-7</v>
      </c>
      <c r="AN1503" t="s">
        <v>145</v>
      </c>
    </row>
    <row r="1504" spans="1:40" ht="18.75" customHeight="1" x14ac:dyDescent="0.3">
      <c r="A1504" s="1">
        <v>2016134702454</v>
      </c>
      <c r="B1504" t="s">
        <v>75</v>
      </c>
      <c r="C1504" t="s">
        <v>4290</v>
      </c>
      <c r="D1504" t="s">
        <v>3845</v>
      </c>
      <c r="E1504" t="s">
        <v>335</v>
      </c>
      <c r="F1504">
        <v>151</v>
      </c>
      <c r="G1504">
        <v>42575</v>
      </c>
      <c r="H1504">
        <v>43321</v>
      </c>
      <c r="I1504">
        <v>45292</v>
      </c>
      <c r="J1504">
        <v>44496</v>
      </c>
      <c r="L1504" t="s">
        <v>88</v>
      </c>
      <c r="M1504" t="s">
        <v>1546</v>
      </c>
      <c r="N1504" t="s">
        <v>47</v>
      </c>
      <c r="O1504" t="s">
        <v>4291</v>
      </c>
      <c r="Q1504" t="s">
        <v>49</v>
      </c>
      <c r="R1504">
        <v>2</v>
      </c>
      <c r="S1504">
        <v>0</v>
      </c>
      <c r="U1504" t="s">
        <v>4292</v>
      </c>
      <c r="V1504" t="s">
        <v>4293</v>
      </c>
      <c r="W1504">
        <v>29606011314257</v>
      </c>
      <c r="X1504">
        <v>35217</v>
      </c>
      <c r="Y1504" t="s">
        <v>550</v>
      </c>
      <c r="AE1504">
        <v>68</v>
      </c>
      <c r="AF1504">
        <v>174</v>
      </c>
      <c r="AG1504">
        <v>-6</v>
      </c>
      <c r="AN1504" t="s">
        <v>145</v>
      </c>
    </row>
    <row r="1505" spans="1:40" ht="18.75" customHeight="1" x14ac:dyDescent="0.3">
      <c r="A1505" s="1">
        <v>2016135200481</v>
      </c>
      <c r="B1505" t="s">
        <v>106</v>
      </c>
      <c r="C1505" t="s">
        <v>4294</v>
      </c>
      <c r="D1505" t="s">
        <v>3845</v>
      </c>
      <c r="E1505" t="s">
        <v>335</v>
      </c>
      <c r="G1505">
        <v>42575</v>
      </c>
      <c r="H1505">
        <v>43321</v>
      </c>
      <c r="I1505">
        <v>45292</v>
      </c>
      <c r="J1505">
        <v>45973</v>
      </c>
      <c r="L1505" t="s">
        <v>135</v>
      </c>
      <c r="M1505" t="s">
        <v>335</v>
      </c>
      <c r="N1505" t="s">
        <v>127</v>
      </c>
      <c r="O1505" t="s">
        <v>3562</v>
      </c>
      <c r="U1505" t="s">
        <v>4295</v>
      </c>
      <c r="V1505" t="s">
        <v>4296</v>
      </c>
      <c r="W1505">
        <v>29707202801639</v>
      </c>
      <c r="X1505">
        <v>35631</v>
      </c>
      <c r="Y1505" t="s">
        <v>103</v>
      </c>
      <c r="AE1505">
        <v>64</v>
      </c>
      <c r="AF1505">
        <v>171</v>
      </c>
      <c r="AG1505">
        <v>-7</v>
      </c>
      <c r="AN1505" t="s">
        <v>145</v>
      </c>
    </row>
    <row r="1506" spans="1:40" ht="18.75" customHeight="1" x14ac:dyDescent="0.3">
      <c r="A1506" s="1">
        <v>2018131804027</v>
      </c>
      <c r="B1506" t="s">
        <v>106</v>
      </c>
      <c r="C1506" t="s">
        <v>4297</v>
      </c>
      <c r="D1506" t="s">
        <v>2882</v>
      </c>
      <c r="E1506" t="s">
        <v>736</v>
      </c>
      <c r="F1506">
        <v>158</v>
      </c>
      <c r="G1506">
        <v>43279</v>
      </c>
      <c r="H1506">
        <v>44117</v>
      </c>
      <c r="I1506">
        <v>44135</v>
      </c>
      <c r="J1506">
        <v>44149</v>
      </c>
      <c r="K1506">
        <v>44149</v>
      </c>
      <c r="L1506" t="s">
        <v>135</v>
      </c>
      <c r="M1506" t="s">
        <v>554</v>
      </c>
      <c r="N1506" t="s">
        <v>727</v>
      </c>
      <c r="O1506" t="s">
        <v>608</v>
      </c>
      <c r="P1506" t="s">
        <v>49</v>
      </c>
      <c r="R1506">
        <v>0</v>
      </c>
      <c r="S1506">
        <v>0</v>
      </c>
      <c r="T1506">
        <v>0</v>
      </c>
      <c r="U1506" t="s">
        <v>4298</v>
      </c>
      <c r="V1506" t="s">
        <v>4299</v>
      </c>
      <c r="W1506">
        <v>30105261702593</v>
      </c>
      <c r="X1506">
        <v>37037</v>
      </c>
      <c r="AD1506" t="s">
        <v>4300</v>
      </c>
      <c r="AF1506">
        <v>80</v>
      </c>
      <c r="AG1506">
        <v>187</v>
      </c>
      <c r="AH1506">
        <v>-7</v>
      </c>
      <c r="AJ1506" t="s">
        <v>298</v>
      </c>
    </row>
    <row r="1507" spans="1:40" ht="18.75" customHeight="1" x14ac:dyDescent="0.3">
      <c r="A1507" s="1">
        <v>2018131803227</v>
      </c>
      <c r="B1507" t="s">
        <v>106</v>
      </c>
      <c r="C1507" t="s">
        <v>4301</v>
      </c>
      <c r="D1507" t="s">
        <v>3078</v>
      </c>
      <c r="E1507" t="s">
        <v>1354</v>
      </c>
      <c r="M1507" t="s">
        <v>3079</v>
      </c>
      <c r="N1507" t="s">
        <v>727</v>
      </c>
      <c r="O1507" t="s">
        <v>608</v>
      </c>
      <c r="AH1507" t="s">
        <v>787</v>
      </c>
    </row>
    <row r="1508" spans="1:40" ht="18.75" customHeight="1" x14ac:dyDescent="0.3">
      <c r="A1508" s="1">
        <v>2017131807437</v>
      </c>
      <c r="B1508" t="s">
        <v>106</v>
      </c>
      <c r="C1508" t="s">
        <v>4302</v>
      </c>
      <c r="D1508" t="s">
        <v>3107</v>
      </c>
      <c r="E1508" t="s">
        <v>1354</v>
      </c>
      <c r="F1508">
        <v>157</v>
      </c>
      <c r="G1508">
        <v>42915</v>
      </c>
      <c r="H1508">
        <v>43663</v>
      </c>
      <c r="I1508">
        <v>45658</v>
      </c>
      <c r="J1508">
        <v>44501</v>
      </c>
      <c r="K1508">
        <v>44501</v>
      </c>
      <c r="M1508" t="s">
        <v>4303</v>
      </c>
      <c r="N1508" t="s">
        <v>727</v>
      </c>
      <c r="O1508" t="s">
        <v>608</v>
      </c>
      <c r="Q1508" t="s">
        <v>49</v>
      </c>
      <c r="R1508">
        <v>1</v>
      </c>
      <c r="S1508">
        <v>0</v>
      </c>
      <c r="T1508">
        <v>0</v>
      </c>
      <c r="U1508" t="s">
        <v>4304</v>
      </c>
      <c r="V1508" t="s">
        <v>4305</v>
      </c>
      <c r="W1508">
        <v>27310311300556</v>
      </c>
      <c r="X1508">
        <v>34876</v>
      </c>
      <c r="Y1508" t="s">
        <v>51</v>
      </c>
      <c r="Z1508">
        <v>0</v>
      </c>
      <c r="AA1508">
        <v>0</v>
      </c>
      <c r="AB1508">
        <v>0</v>
      </c>
      <c r="AC1508" t="s">
        <v>4306</v>
      </c>
      <c r="AF1508">
        <v>78</v>
      </c>
      <c r="AG1508">
        <v>181</v>
      </c>
      <c r="AH1508">
        <v>-3</v>
      </c>
      <c r="AJ1508" t="s">
        <v>4307</v>
      </c>
    </row>
    <row r="1509" spans="1:40" ht="18.75" customHeight="1" x14ac:dyDescent="0.3">
      <c r="A1509" s="1">
        <v>2021138309049</v>
      </c>
      <c r="B1509" t="s">
        <v>125</v>
      </c>
      <c r="C1509" t="s">
        <v>4308</v>
      </c>
      <c r="D1509" t="s">
        <v>1545</v>
      </c>
      <c r="E1509" t="s">
        <v>43</v>
      </c>
      <c r="F1509">
        <v>161</v>
      </c>
      <c r="G1509">
        <v>44546</v>
      </c>
      <c r="H1509">
        <v>45581</v>
      </c>
      <c r="I1509">
        <v>45565</v>
      </c>
      <c r="L1509" t="s">
        <v>135</v>
      </c>
      <c r="M1509" t="s">
        <v>1546</v>
      </c>
      <c r="N1509" t="s">
        <v>127</v>
      </c>
      <c r="O1509" t="s">
        <v>4225</v>
      </c>
      <c r="P1509" t="s">
        <v>49</v>
      </c>
      <c r="R1509">
        <v>0</v>
      </c>
      <c r="S1509">
        <v>0</v>
      </c>
      <c r="T1509">
        <v>0</v>
      </c>
      <c r="U1509" t="s">
        <v>4309</v>
      </c>
      <c r="V1509" t="s">
        <v>4310</v>
      </c>
      <c r="W1509">
        <v>30501131808854</v>
      </c>
      <c r="X1509">
        <v>38365</v>
      </c>
      <c r="Y1509" t="s">
        <v>153</v>
      </c>
      <c r="Z1509">
        <v>0</v>
      </c>
      <c r="AA1509">
        <v>0</v>
      </c>
      <c r="AD1509" t="s">
        <v>738</v>
      </c>
      <c r="AE1509" t="s">
        <v>54</v>
      </c>
      <c r="AF1509">
        <v>60</v>
      </c>
      <c r="AG1509">
        <v>178</v>
      </c>
      <c r="AH1509">
        <f>IF([2]!Table1[[#This Row],[الوزن]]&lt;&gt;"",[2]!Table1[[#This Row],[الوزن]]-([2]!Table1[[#This Row],[الطول]]-100),"")</f>
        <v>282</v>
      </c>
      <c r="AJ1509" t="s">
        <v>280</v>
      </c>
    </row>
    <row r="1510" spans="1:40" ht="18.75" customHeight="1" x14ac:dyDescent="0.3">
      <c r="A1510" s="1">
        <v>2017135203011</v>
      </c>
      <c r="B1510" t="s">
        <v>106</v>
      </c>
      <c r="C1510" t="s">
        <v>4311</v>
      </c>
      <c r="D1510" t="s">
        <v>3845</v>
      </c>
      <c r="E1510" t="s">
        <v>335</v>
      </c>
      <c r="G1510">
        <v>42945</v>
      </c>
      <c r="H1510">
        <v>43751</v>
      </c>
      <c r="I1510">
        <v>43751</v>
      </c>
      <c r="J1510">
        <v>45971</v>
      </c>
      <c r="L1510" t="s">
        <v>135</v>
      </c>
      <c r="M1510" t="s">
        <v>335</v>
      </c>
      <c r="N1510" t="s">
        <v>127</v>
      </c>
      <c r="O1510" t="s">
        <v>3562</v>
      </c>
      <c r="R1510">
        <v>4</v>
      </c>
      <c r="S1510">
        <v>4</v>
      </c>
      <c r="U1510" t="s">
        <v>4312</v>
      </c>
      <c r="V1510" t="s">
        <v>4313</v>
      </c>
      <c r="W1510">
        <v>29809012802113</v>
      </c>
      <c r="X1510">
        <v>36039</v>
      </c>
      <c r="Y1510" t="s">
        <v>51</v>
      </c>
      <c r="AE1510">
        <v>70</v>
      </c>
      <c r="AF1510">
        <v>176</v>
      </c>
      <c r="AG1510">
        <v>-6</v>
      </c>
      <c r="AN1510" t="s">
        <v>145</v>
      </c>
    </row>
    <row r="1511" spans="1:40" ht="18.75" customHeight="1" x14ac:dyDescent="0.3">
      <c r="A1511" s="1">
        <v>2018131804233</v>
      </c>
      <c r="B1511" t="s">
        <v>125</v>
      </c>
      <c r="C1511" t="s">
        <v>4314</v>
      </c>
      <c r="D1511" t="s">
        <v>4315</v>
      </c>
      <c r="E1511" t="s">
        <v>850</v>
      </c>
      <c r="F1511">
        <v>157</v>
      </c>
      <c r="G1511">
        <v>43279</v>
      </c>
      <c r="H1511">
        <v>44117</v>
      </c>
      <c r="I1511">
        <v>44117</v>
      </c>
      <c r="K1511">
        <v>44459</v>
      </c>
      <c r="L1511" t="s">
        <v>135</v>
      </c>
      <c r="M1511" t="s">
        <v>4316</v>
      </c>
      <c r="N1511" t="s">
        <v>727</v>
      </c>
      <c r="O1511" t="s">
        <v>608</v>
      </c>
      <c r="Q1511" t="s">
        <v>49</v>
      </c>
      <c r="R1511">
        <v>3</v>
      </c>
      <c r="S1511">
        <v>1</v>
      </c>
      <c r="T1511">
        <v>0</v>
      </c>
      <c r="U1511" t="s">
        <v>4317</v>
      </c>
      <c r="W1511">
        <v>30208101703538</v>
      </c>
      <c r="X1511">
        <v>37478</v>
      </c>
      <c r="Y1511" t="s">
        <v>153</v>
      </c>
      <c r="Z1511">
        <v>0</v>
      </c>
      <c r="AF1511">
        <v>75</v>
      </c>
      <c r="AG1511">
        <v>178</v>
      </c>
      <c r="AH1511">
        <v>-3</v>
      </c>
    </row>
    <row r="1512" spans="1:40" ht="18.75" customHeight="1" x14ac:dyDescent="0.3">
      <c r="A1512" s="1">
        <v>2015131802879</v>
      </c>
      <c r="B1512" t="s">
        <v>106</v>
      </c>
      <c r="C1512" t="s">
        <v>4318</v>
      </c>
      <c r="D1512" t="s">
        <v>4319</v>
      </c>
      <c r="E1512" t="s">
        <v>718</v>
      </c>
      <c r="F1512">
        <v>153</v>
      </c>
      <c r="G1512">
        <v>42045</v>
      </c>
      <c r="H1512">
        <v>42501</v>
      </c>
      <c r="I1512">
        <v>44378</v>
      </c>
      <c r="J1512">
        <v>45187</v>
      </c>
      <c r="K1512">
        <v>45187</v>
      </c>
      <c r="L1512" t="s">
        <v>45</v>
      </c>
      <c r="M1512" t="s">
        <v>751</v>
      </c>
      <c r="N1512" t="s">
        <v>727</v>
      </c>
      <c r="O1512" t="s">
        <v>608</v>
      </c>
      <c r="P1512" t="s">
        <v>49</v>
      </c>
      <c r="R1512">
        <v>0</v>
      </c>
      <c r="S1512">
        <v>0</v>
      </c>
      <c r="T1512">
        <v>0</v>
      </c>
      <c r="U1512">
        <v>1010724394</v>
      </c>
      <c r="V1512" t="s">
        <v>4320</v>
      </c>
      <c r="W1512">
        <v>29607101603173</v>
      </c>
      <c r="AC1512" t="s">
        <v>4321</v>
      </c>
      <c r="AF1512">
        <v>69</v>
      </c>
      <c r="AG1512">
        <v>168</v>
      </c>
      <c r="AH1512">
        <v>1</v>
      </c>
    </row>
    <row r="1513" spans="1:40" ht="18.75" customHeight="1" x14ac:dyDescent="0.3">
      <c r="A1513" s="1">
        <v>2019138316164</v>
      </c>
      <c r="B1513" t="s">
        <v>125</v>
      </c>
      <c r="C1513" t="s">
        <v>4322</v>
      </c>
      <c r="D1513" t="s">
        <v>1719</v>
      </c>
      <c r="E1513" t="s">
        <v>447</v>
      </c>
      <c r="F1513">
        <v>159</v>
      </c>
      <c r="G1513">
        <v>43736</v>
      </c>
      <c r="H1513">
        <v>44482</v>
      </c>
      <c r="I1513">
        <v>44482</v>
      </c>
      <c r="K1513">
        <v>45245</v>
      </c>
      <c r="L1513" t="s">
        <v>135</v>
      </c>
      <c r="M1513" t="s">
        <v>812</v>
      </c>
      <c r="N1513" t="s">
        <v>127</v>
      </c>
      <c r="O1513" t="s">
        <v>4225</v>
      </c>
      <c r="P1513" t="s">
        <v>49</v>
      </c>
      <c r="R1513">
        <v>2</v>
      </c>
      <c r="S1513">
        <v>0</v>
      </c>
      <c r="T1513">
        <v>0</v>
      </c>
      <c r="U1513">
        <v>1094361422</v>
      </c>
      <c r="W1513">
        <v>30211201502417</v>
      </c>
      <c r="X1513">
        <v>37580</v>
      </c>
      <c r="Y1513" t="s">
        <v>153</v>
      </c>
      <c r="Z1513">
        <v>0</v>
      </c>
      <c r="AH1513">
        <f>IF([2]!Table1[[#This Row],[الوزن]]&lt;&gt;"",[2]!Table1[[#This Row],[الوزن]]-([2]!Table1[[#This Row],[الطول]]-100),"")</f>
        <v>272</v>
      </c>
    </row>
    <row r="1514" spans="1:40" ht="18.75" customHeight="1" x14ac:dyDescent="0.3">
      <c r="A1514" s="1">
        <v>2015135203081</v>
      </c>
      <c r="B1514" t="s">
        <v>106</v>
      </c>
      <c r="C1514" t="s">
        <v>4323</v>
      </c>
      <c r="D1514" t="s">
        <v>3465</v>
      </c>
      <c r="E1514" t="s">
        <v>335</v>
      </c>
      <c r="F1514">
        <v>155</v>
      </c>
      <c r="G1514">
        <v>42369</v>
      </c>
      <c r="H1514">
        <v>42932</v>
      </c>
      <c r="I1514">
        <v>44927</v>
      </c>
      <c r="J1514">
        <v>44861</v>
      </c>
      <c r="L1514" t="s">
        <v>3466</v>
      </c>
      <c r="M1514" t="s">
        <v>3471</v>
      </c>
      <c r="O1514" t="s">
        <v>4225</v>
      </c>
      <c r="P1514" t="s">
        <v>49</v>
      </c>
      <c r="U1514" t="s">
        <v>4324</v>
      </c>
      <c r="W1514">
        <v>29211141402633</v>
      </c>
      <c r="X1514">
        <v>33922</v>
      </c>
      <c r="Y1514" t="s">
        <v>338</v>
      </c>
      <c r="AB1514">
        <v>1</v>
      </c>
      <c r="AD1514">
        <v>78</v>
      </c>
      <c r="AF1514">
        <v>175</v>
      </c>
      <c r="AG1514">
        <v>3</v>
      </c>
    </row>
    <row r="1515" spans="1:40" ht="18.75" customHeight="1" x14ac:dyDescent="0.3">
      <c r="A1515" s="1">
        <v>2002135200224</v>
      </c>
      <c r="B1515" t="s">
        <v>210</v>
      </c>
      <c r="C1515" t="s">
        <v>4325</v>
      </c>
      <c r="D1515" t="s">
        <v>334</v>
      </c>
      <c r="E1515" t="s">
        <v>335</v>
      </c>
      <c r="F1515">
        <v>127</v>
      </c>
      <c r="G1515">
        <v>37328</v>
      </c>
      <c r="H1515">
        <v>37800</v>
      </c>
      <c r="I1515">
        <v>45108</v>
      </c>
      <c r="L1515" t="s">
        <v>45</v>
      </c>
      <c r="M1515" t="s">
        <v>335</v>
      </c>
      <c r="N1515" t="s">
        <v>127</v>
      </c>
      <c r="O1515" t="s">
        <v>4225</v>
      </c>
      <c r="P1515" t="s">
        <v>49</v>
      </c>
      <c r="R1515">
        <v>5</v>
      </c>
      <c r="U1515" t="s">
        <v>4326</v>
      </c>
      <c r="W1515" t="s">
        <v>4327</v>
      </c>
      <c r="X1515">
        <v>30343</v>
      </c>
      <c r="Y1515" t="s">
        <v>338</v>
      </c>
      <c r="AB1515">
        <v>1</v>
      </c>
      <c r="AF1515">
        <v>75</v>
      </c>
      <c r="AG1515">
        <v>170</v>
      </c>
      <c r="AH1515">
        <v>5</v>
      </c>
      <c r="AJ1515" t="s">
        <v>4328</v>
      </c>
    </row>
    <row r="1516" spans="1:40" ht="18.75" customHeight="1" x14ac:dyDescent="0.3">
      <c r="A1516" s="1">
        <v>2017135201560</v>
      </c>
      <c r="B1516" t="s">
        <v>106</v>
      </c>
      <c r="C1516" t="s">
        <v>4329</v>
      </c>
      <c r="D1516" t="s">
        <v>334</v>
      </c>
      <c r="E1516" t="s">
        <v>335</v>
      </c>
      <c r="F1516">
        <v>157</v>
      </c>
      <c r="G1516">
        <v>43645</v>
      </c>
      <c r="H1516">
        <v>43663</v>
      </c>
      <c r="I1516">
        <v>47119</v>
      </c>
      <c r="L1516" t="s">
        <v>45</v>
      </c>
      <c r="M1516" t="s">
        <v>335</v>
      </c>
      <c r="N1516" t="s">
        <v>127</v>
      </c>
      <c r="O1516" t="s">
        <v>4225</v>
      </c>
      <c r="P1516" t="s">
        <v>49</v>
      </c>
      <c r="R1516">
        <v>3</v>
      </c>
      <c r="U1516" t="s">
        <v>4330</v>
      </c>
      <c r="W1516">
        <v>29701221400311</v>
      </c>
      <c r="X1516">
        <v>35452</v>
      </c>
      <c r="Y1516" t="s">
        <v>103</v>
      </c>
      <c r="AB1516">
        <v>1</v>
      </c>
      <c r="AF1516">
        <v>82</v>
      </c>
      <c r="AG1516">
        <v>180</v>
      </c>
      <c r="AH1516">
        <v>2</v>
      </c>
      <c r="AJ1516" t="s">
        <v>4331</v>
      </c>
    </row>
    <row r="1517" spans="1:40" ht="18.75" customHeight="1" x14ac:dyDescent="0.3">
      <c r="A1517" s="1">
        <v>2018135202441</v>
      </c>
      <c r="B1517" t="s">
        <v>106</v>
      </c>
      <c r="C1517" t="s">
        <v>4332</v>
      </c>
      <c r="D1517" t="s">
        <v>3845</v>
      </c>
      <c r="E1517" t="s">
        <v>335</v>
      </c>
      <c r="F1517">
        <v>158</v>
      </c>
      <c r="G1517">
        <v>43279</v>
      </c>
      <c r="H1517">
        <v>44117</v>
      </c>
      <c r="I1517">
        <v>45229</v>
      </c>
      <c r="J1517">
        <v>44117</v>
      </c>
      <c r="L1517" t="s">
        <v>135</v>
      </c>
      <c r="M1517" t="s">
        <v>335</v>
      </c>
      <c r="N1517" t="s">
        <v>127</v>
      </c>
      <c r="O1517" t="s">
        <v>3562</v>
      </c>
      <c r="R1517">
        <v>0</v>
      </c>
      <c r="S1517">
        <v>0</v>
      </c>
      <c r="U1517" t="s">
        <v>4333</v>
      </c>
      <c r="V1517" t="s">
        <v>4334</v>
      </c>
      <c r="W1517">
        <v>29904152800512</v>
      </c>
      <c r="X1517">
        <v>36265</v>
      </c>
      <c r="Y1517" t="s">
        <v>51</v>
      </c>
      <c r="AE1517">
        <v>75</v>
      </c>
      <c r="AF1517">
        <v>180</v>
      </c>
      <c r="AG1517">
        <v>-5</v>
      </c>
      <c r="AN1517" t="s">
        <v>145</v>
      </c>
    </row>
    <row r="1518" spans="1:40" ht="18.75" customHeight="1" x14ac:dyDescent="0.3">
      <c r="A1518" s="1">
        <v>2018135202483</v>
      </c>
      <c r="B1518" t="s">
        <v>106</v>
      </c>
      <c r="C1518" t="s">
        <v>4335</v>
      </c>
      <c r="D1518" t="s">
        <v>3845</v>
      </c>
      <c r="E1518" t="s">
        <v>335</v>
      </c>
      <c r="F1518">
        <v>158</v>
      </c>
      <c r="G1518">
        <v>43279</v>
      </c>
      <c r="H1518">
        <v>44117</v>
      </c>
      <c r="I1518">
        <v>45587</v>
      </c>
      <c r="J1518">
        <v>45970</v>
      </c>
      <c r="L1518" t="s">
        <v>135</v>
      </c>
      <c r="M1518" t="s">
        <v>335</v>
      </c>
      <c r="N1518" t="s">
        <v>127</v>
      </c>
      <c r="O1518" t="s">
        <v>3562</v>
      </c>
      <c r="R1518">
        <v>1</v>
      </c>
      <c r="S1518">
        <v>1</v>
      </c>
      <c r="U1518" t="s">
        <v>4336</v>
      </c>
      <c r="V1518" t="s">
        <v>4337</v>
      </c>
      <c r="W1518">
        <v>29604142800596</v>
      </c>
      <c r="X1518">
        <v>35169</v>
      </c>
      <c r="Y1518" t="s">
        <v>51</v>
      </c>
      <c r="AE1518">
        <v>71</v>
      </c>
      <c r="AF1518">
        <v>178</v>
      </c>
      <c r="AG1518">
        <v>-7</v>
      </c>
      <c r="AN1518" t="s">
        <v>145</v>
      </c>
    </row>
    <row r="1519" spans="1:40" ht="18.75" customHeight="1" x14ac:dyDescent="0.3">
      <c r="A1519" s="1">
        <v>2018135202516</v>
      </c>
      <c r="B1519" t="s">
        <v>106</v>
      </c>
      <c r="C1519" t="s">
        <v>4338</v>
      </c>
      <c r="D1519" t="s">
        <v>3845</v>
      </c>
      <c r="E1519" t="s">
        <v>335</v>
      </c>
      <c r="F1519">
        <v>158</v>
      </c>
      <c r="G1519">
        <v>43279</v>
      </c>
      <c r="H1519">
        <v>44117</v>
      </c>
      <c r="I1519">
        <v>45229</v>
      </c>
      <c r="J1519">
        <v>44117</v>
      </c>
      <c r="L1519" t="s">
        <v>135</v>
      </c>
      <c r="M1519" t="s">
        <v>335</v>
      </c>
      <c r="N1519" t="s">
        <v>127</v>
      </c>
      <c r="O1519" t="s">
        <v>3562</v>
      </c>
      <c r="R1519">
        <v>1</v>
      </c>
      <c r="S1519">
        <v>0</v>
      </c>
      <c r="U1519" t="s">
        <v>4339</v>
      </c>
      <c r="V1519" t="s">
        <v>4340</v>
      </c>
      <c r="W1519">
        <v>29310242800239</v>
      </c>
      <c r="X1519">
        <v>34265</v>
      </c>
      <c r="Y1519" t="s">
        <v>550</v>
      </c>
      <c r="AE1519">
        <v>69</v>
      </c>
      <c r="AF1519">
        <v>177</v>
      </c>
      <c r="AG1519">
        <v>-8</v>
      </c>
      <c r="AN1519" t="s">
        <v>145</v>
      </c>
    </row>
    <row r="1520" spans="1:40" ht="18.75" customHeight="1" x14ac:dyDescent="0.3">
      <c r="A1520" s="1">
        <v>2018135202582</v>
      </c>
      <c r="B1520" t="s">
        <v>106</v>
      </c>
      <c r="C1520" t="s">
        <v>4341</v>
      </c>
      <c r="D1520" t="s">
        <v>3845</v>
      </c>
      <c r="E1520" t="s">
        <v>335</v>
      </c>
      <c r="F1520">
        <v>158</v>
      </c>
      <c r="G1520">
        <v>43279</v>
      </c>
      <c r="H1520">
        <v>44117</v>
      </c>
      <c r="I1520">
        <v>44117</v>
      </c>
      <c r="J1520">
        <v>44126</v>
      </c>
      <c r="L1520" t="s">
        <v>135</v>
      </c>
      <c r="M1520" t="s">
        <v>335</v>
      </c>
      <c r="N1520" t="s">
        <v>127</v>
      </c>
      <c r="O1520" t="s">
        <v>3562</v>
      </c>
      <c r="R1520">
        <v>1</v>
      </c>
      <c r="S1520">
        <v>0</v>
      </c>
      <c r="U1520" t="s">
        <v>4342</v>
      </c>
      <c r="V1520" t="s">
        <v>4343</v>
      </c>
      <c r="W1520">
        <v>29512022801031</v>
      </c>
      <c r="X1520">
        <v>35035</v>
      </c>
      <c r="Y1520" t="s">
        <v>550</v>
      </c>
      <c r="AE1520">
        <v>75</v>
      </c>
      <c r="AF1520">
        <v>181</v>
      </c>
      <c r="AG1520">
        <v>-6</v>
      </c>
      <c r="AN1520" t="s">
        <v>145</v>
      </c>
    </row>
    <row r="1521" spans="1:40" ht="18.75" customHeight="1" x14ac:dyDescent="0.3">
      <c r="A1521" s="1">
        <v>2018135202699</v>
      </c>
      <c r="B1521" t="s">
        <v>106</v>
      </c>
      <c r="C1521" t="s">
        <v>4344</v>
      </c>
      <c r="D1521" t="s">
        <v>3845</v>
      </c>
      <c r="E1521" t="s">
        <v>335</v>
      </c>
      <c r="F1521">
        <v>158</v>
      </c>
      <c r="G1521">
        <v>43279</v>
      </c>
      <c r="H1521">
        <v>44117</v>
      </c>
      <c r="I1521">
        <v>45229</v>
      </c>
      <c r="J1521">
        <v>44117</v>
      </c>
      <c r="L1521" t="s">
        <v>135</v>
      </c>
      <c r="M1521" t="s">
        <v>335</v>
      </c>
      <c r="N1521" t="s">
        <v>127</v>
      </c>
      <c r="O1521" t="s">
        <v>3562</v>
      </c>
      <c r="R1521">
        <v>1</v>
      </c>
      <c r="S1521">
        <v>0</v>
      </c>
      <c r="U1521" t="s">
        <v>4345</v>
      </c>
      <c r="V1521" t="s">
        <v>4346</v>
      </c>
      <c r="W1521">
        <v>30003202800991</v>
      </c>
      <c r="X1521">
        <v>36605</v>
      </c>
      <c r="Y1521" t="s">
        <v>103</v>
      </c>
      <c r="AE1521">
        <v>73</v>
      </c>
      <c r="AF1521">
        <v>175</v>
      </c>
      <c r="AG1521">
        <v>-2</v>
      </c>
      <c r="AN1521" t="s">
        <v>145</v>
      </c>
    </row>
    <row r="1522" spans="1:40" ht="18.75" customHeight="1" x14ac:dyDescent="0.3">
      <c r="A1522" s="1">
        <v>2003135200248</v>
      </c>
      <c r="B1522" t="s">
        <v>210</v>
      </c>
      <c r="C1522" t="s">
        <v>4347</v>
      </c>
      <c r="D1522" t="s">
        <v>1375</v>
      </c>
      <c r="E1522" t="s">
        <v>335</v>
      </c>
      <c r="F1522">
        <v>128</v>
      </c>
      <c r="G1522">
        <v>37640</v>
      </c>
      <c r="H1522">
        <v>38110</v>
      </c>
      <c r="I1522">
        <v>45474</v>
      </c>
      <c r="L1522" t="s">
        <v>135</v>
      </c>
      <c r="M1522" t="s">
        <v>335</v>
      </c>
      <c r="N1522" t="s">
        <v>127</v>
      </c>
      <c r="O1522" t="s">
        <v>4225</v>
      </c>
      <c r="P1522" t="s">
        <v>49</v>
      </c>
      <c r="R1522">
        <v>3</v>
      </c>
      <c r="S1522">
        <v>0</v>
      </c>
      <c r="T1522">
        <v>0</v>
      </c>
      <c r="V1522" t="s">
        <v>4348</v>
      </c>
      <c r="W1522">
        <v>27912311200373</v>
      </c>
      <c r="X1522">
        <v>29220</v>
      </c>
      <c r="Y1522" t="s">
        <v>103</v>
      </c>
      <c r="Z1522">
        <v>2</v>
      </c>
      <c r="AD1522" t="s">
        <v>1293</v>
      </c>
      <c r="AE1522" t="s">
        <v>118</v>
      </c>
      <c r="AG1522" t="s">
        <v>787</v>
      </c>
      <c r="AJ1522" t="s">
        <v>4349</v>
      </c>
    </row>
    <row r="1523" spans="1:40" ht="18.75" customHeight="1" x14ac:dyDescent="0.3">
      <c r="A1523" s="1">
        <v>2018135202855</v>
      </c>
      <c r="B1523" t="s">
        <v>106</v>
      </c>
      <c r="C1523" t="s">
        <v>4350</v>
      </c>
      <c r="D1523" t="s">
        <v>3845</v>
      </c>
      <c r="E1523" t="s">
        <v>335</v>
      </c>
      <c r="F1523">
        <v>158</v>
      </c>
      <c r="G1523">
        <v>43279</v>
      </c>
      <c r="H1523">
        <v>44117</v>
      </c>
      <c r="I1523">
        <v>45587</v>
      </c>
      <c r="J1523">
        <v>45970</v>
      </c>
      <c r="L1523" t="s">
        <v>135</v>
      </c>
      <c r="M1523" t="s">
        <v>335</v>
      </c>
      <c r="N1523" t="s">
        <v>127</v>
      </c>
      <c r="O1523" t="s">
        <v>3562</v>
      </c>
      <c r="R1523">
        <v>3</v>
      </c>
      <c r="S1523">
        <v>0</v>
      </c>
      <c r="U1523" t="s">
        <v>4351</v>
      </c>
      <c r="V1523">
        <v>1272878597</v>
      </c>
      <c r="W1523">
        <v>29803152700916</v>
      </c>
      <c r="X1523">
        <v>35869</v>
      </c>
      <c r="Y1523" t="s">
        <v>103</v>
      </c>
      <c r="AE1523">
        <v>74</v>
      </c>
      <c r="AF1523">
        <v>176</v>
      </c>
      <c r="AG1523">
        <v>-2</v>
      </c>
      <c r="AN1523" t="s">
        <v>145</v>
      </c>
    </row>
    <row r="1524" spans="1:40" ht="18.75" customHeight="1" x14ac:dyDescent="0.3">
      <c r="A1524" s="1">
        <v>2019130403589</v>
      </c>
      <c r="B1524" t="s">
        <v>125</v>
      </c>
      <c r="C1524" t="s">
        <v>4352</v>
      </c>
      <c r="D1524" t="s">
        <v>3845</v>
      </c>
      <c r="E1524" t="s">
        <v>335</v>
      </c>
      <c r="F1524">
        <v>159</v>
      </c>
      <c r="G1524">
        <v>43692</v>
      </c>
      <c r="H1524">
        <v>44481</v>
      </c>
      <c r="I1524">
        <v>44481</v>
      </c>
      <c r="J1524">
        <v>44511</v>
      </c>
      <c r="L1524" t="s">
        <v>135</v>
      </c>
      <c r="M1524" t="s">
        <v>158</v>
      </c>
      <c r="N1524" t="s">
        <v>78</v>
      </c>
      <c r="O1524" t="s">
        <v>1782</v>
      </c>
      <c r="Q1524" t="s">
        <v>49</v>
      </c>
      <c r="R1524">
        <v>1</v>
      </c>
      <c r="S1524">
        <v>0</v>
      </c>
      <c r="U1524" t="s">
        <v>3875</v>
      </c>
      <c r="V1524" t="s">
        <v>4353</v>
      </c>
      <c r="W1524">
        <v>30104012208912</v>
      </c>
      <c r="X1524">
        <v>36982</v>
      </c>
      <c r="Y1524" t="s">
        <v>51</v>
      </c>
      <c r="AE1524">
        <v>73</v>
      </c>
      <c r="AF1524">
        <v>178</v>
      </c>
      <c r="AG1524">
        <v>-5</v>
      </c>
      <c r="AN1524" t="s">
        <v>145</v>
      </c>
    </row>
    <row r="1525" spans="1:40" ht="18.75" customHeight="1" x14ac:dyDescent="0.3">
      <c r="A1525" s="1">
        <v>2018131812228</v>
      </c>
      <c r="B1525" t="s">
        <v>106</v>
      </c>
      <c r="C1525" t="s">
        <v>4354</v>
      </c>
      <c r="D1525" t="s">
        <v>4355</v>
      </c>
      <c r="E1525" t="s">
        <v>718</v>
      </c>
      <c r="F1525">
        <v>158</v>
      </c>
      <c r="G1525">
        <v>43279</v>
      </c>
      <c r="H1525">
        <v>44117</v>
      </c>
      <c r="I1525">
        <v>46023</v>
      </c>
      <c r="J1525">
        <v>45976</v>
      </c>
      <c r="L1525" t="s">
        <v>45</v>
      </c>
      <c r="M1525" t="s">
        <v>1720</v>
      </c>
      <c r="N1525" t="s">
        <v>727</v>
      </c>
      <c r="O1525" t="s">
        <v>608</v>
      </c>
      <c r="Q1525" t="s">
        <v>49</v>
      </c>
      <c r="R1525">
        <v>0</v>
      </c>
      <c r="S1525">
        <v>0</v>
      </c>
      <c r="T1525">
        <v>0</v>
      </c>
      <c r="U1525" t="s">
        <v>4356</v>
      </c>
      <c r="W1525">
        <v>30201011231055</v>
      </c>
      <c r="X1525">
        <v>37257</v>
      </c>
      <c r="AC1525" t="s">
        <v>4357</v>
      </c>
      <c r="AH1525" t="s">
        <v>787</v>
      </c>
      <c r="AJ1525" t="s">
        <v>4358</v>
      </c>
    </row>
    <row r="1526" spans="1:40" ht="18.75" customHeight="1" x14ac:dyDescent="0.3">
      <c r="A1526" s="1">
        <v>2004135200105</v>
      </c>
      <c r="B1526" t="s">
        <v>210</v>
      </c>
      <c r="C1526" t="s">
        <v>4359</v>
      </c>
      <c r="D1526" t="s">
        <v>1375</v>
      </c>
      <c r="E1526" t="s">
        <v>335</v>
      </c>
      <c r="F1526">
        <v>131</v>
      </c>
      <c r="G1526">
        <v>38003</v>
      </c>
      <c r="H1526">
        <v>38474</v>
      </c>
      <c r="I1526">
        <v>45839</v>
      </c>
      <c r="L1526" t="s">
        <v>135</v>
      </c>
      <c r="M1526" t="s">
        <v>335</v>
      </c>
      <c r="N1526" t="s">
        <v>127</v>
      </c>
      <c r="O1526" t="s">
        <v>4225</v>
      </c>
      <c r="P1526" t="s">
        <v>49</v>
      </c>
      <c r="R1526">
        <v>2</v>
      </c>
      <c r="S1526">
        <v>0</v>
      </c>
      <c r="T1526">
        <v>0</v>
      </c>
      <c r="W1526">
        <v>28109151801118</v>
      </c>
      <c r="X1526">
        <v>29844</v>
      </c>
      <c r="Y1526" t="s">
        <v>103</v>
      </c>
      <c r="Z1526">
        <v>3</v>
      </c>
      <c r="AD1526" t="s">
        <v>4360</v>
      </c>
      <c r="AE1526" t="s">
        <v>54</v>
      </c>
      <c r="AG1526" t="s">
        <v>787</v>
      </c>
      <c r="AJ1526" t="s">
        <v>4361</v>
      </c>
    </row>
    <row r="1527" spans="1:40" ht="18.75" customHeight="1" x14ac:dyDescent="0.3">
      <c r="A1527" s="1">
        <v>2021132400249</v>
      </c>
      <c r="B1527" t="s">
        <v>125</v>
      </c>
      <c r="C1527" t="s">
        <v>4362</v>
      </c>
      <c r="D1527" t="s">
        <v>3845</v>
      </c>
      <c r="E1527" t="s">
        <v>335</v>
      </c>
      <c r="F1527">
        <v>160</v>
      </c>
      <c r="G1527">
        <v>44205</v>
      </c>
      <c r="H1527">
        <v>45197</v>
      </c>
      <c r="I1527">
        <v>45197</v>
      </c>
      <c r="J1527">
        <v>45210</v>
      </c>
      <c r="L1527" t="s">
        <v>135</v>
      </c>
      <c r="M1527" t="s">
        <v>1171</v>
      </c>
      <c r="N1527" t="s">
        <v>1297</v>
      </c>
      <c r="O1527" t="s">
        <v>2035</v>
      </c>
      <c r="R1527">
        <v>0</v>
      </c>
      <c r="S1527">
        <v>0</v>
      </c>
      <c r="U1527" t="s">
        <v>4363</v>
      </c>
      <c r="V1527" t="s">
        <v>4364</v>
      </c>
      <c r="W1527">
        <v>2911012617153</v>
      </c>
      <c r="X1527">
        <v>36465</v>
      </c>
      <c r="Y1527" t="s">
        <v>550</v>
      </c>
      <c r="AE1527">
        <v>67</v>
      </c>
      <c r="AF1527">
        <v>172</v>
      </c>
      <c r="AG1527">
        <v>-5</v>
      </c>
      <c r="AN1527" t="s">
        <v>145</v>
      </c>
    </row>
    <row r="1528" spans="1:40" ht="18.75" customHeight="1" x14ac:dyDescent="0.3">
      <c r="A1528" s="1">
        <v>2009138304764</v>
      </c>
      <c r="B1528" t="s">
        <v>75</v>
      </c>
      <c r="C1528" t="s">
        <v>4365</v>
      </c>
      <c r="D1528" t="s">
        <v>1375</v>
      </c>
      <c r="E1528" t="s">
        <v>335</v>
      </c>
      <c r="F1528">
        <v>139</v>
      </c>
      <c r="G1528">
        <v>39837</v>
      </c>
      <c r="H1528">
        <v>40308</v>
      </c>
      <c r="I1528">
        <v>44013</v>
      </c>
      <c r="L1528" t="s">
        <v>135</v>
      </c>
      <c r="M1528" t="s">
        <v>335</v>
      </c>
      <c r="N1528" t="s">
        <v>127</v>
      </c>
      <c r="O1528" t="s">
        <v>4225</v>
      </c>
      <c r="P1528" t="s">
        <v>49</v>
      </c>
      <c r="R1528">
        <v>0</v>
      </c>
      <c r="S1528">
        <v>0</v>
      </c>
      <c r="T1528">
        <v>1</v>
      </c>
      <c r="W1528">
        <v>28903031601458</v>
      </c>
      <c r="X1528">
        <v>32570</v>
      </c>
      <c r="Y1528" t="s">
        <v>51</v>
      </c>
      <c r="AD1528" t="s">
        <v>402</v>
      </c>
      <c r="AE1528" t="s">
        <v>73</v>
      </c>
      <c r="AG1528" t="s">
        <v>787</v>
      </c>
      <c r="AJ1528" t="s">
        <v>4366</v>
      </c>
    </row>
    <row r="1529" spans="1:40" ht="18.75" customHeight="1" x14ac:dyDescent="0.3">
      <c r="A1529" s="1">
        <v>2014135200253</v>
      </c>
      <c r="B1529" t="s">
        <v>75</v>
      </c>
      <c r="C1529" t="s">
        <v>4367</v>
      </c>
      <c r="D1529" t="s">
        <v>1375</v>
      </c>
      <c r="E1529" t="s">
        <v>335</v>
      </c>
      <c r="F1529">
        <v>151</v>
      </c>
      <c r="G1529">
        <v>41665</v>
      </c>
      <c r="H1529">
        <v>42135</v>
      </c>
      <c r="I1529">
        <v>45839</v>
      </c>
      <c r="L1529" t="s">
        <v>135</v>
      </c>
      <c r="M1529" t="s">
        <v>335</v>
      </c>
      <c r="N1529" t="s">
        <v>127</v>
      </c>
      <c r="O1529" t="s">
        <v>4225</v>
      </c>
      <c r="P1529" t="s">
        <v>49</v>
      </c>
      <c r="R1529">
        <v>0</v>
      </c>
      <c r="S1529">
        <v>0</v>
      </c>
      <c r="T1529">
        <v>0</v>
      </c>
      <c r="W1529">
        <v>29410031800351</v>
      </c>
      <c r="X1529">
        <v>34610</v>
      </c>
      <c r="Y1529" t="s">
        <v>51</v>
      </c>
      <c r="AD1529" t="s">
        <v>184</v>
      </c>
      <c r="AE1529" t="s">
        <v>54</v>
      </c>
      <c r="AG1529" t="s">
        <v>787</v>
      </c>
    </row>
    <row r="1530" spans="1:40" ht="18.75" customHeight="1" x14ac:dyDescent="0.3">
      <c r="A1530" s="1">
        <v>2015135200441</v>
      </c>
      <c r="B1530" t="s">
        <v>106</v>
      </c>
      <c r="C1530" t="s">
        <v>4368</v>
      </c>
      <c r="D1530" t="s">
        <v>1375</v>
      </c>
      <c r="E1530" t="s">
        <v>335</v>
      </c>
      <c r="F1530">
        <v>153</v>
      </c>
      <c r="G1530">
        <v>42030</v>
      </c>
      <c r="H1530">
        <v>42501</v>
      </c>
      <c r="I1530">
        <v>44379</v>
      </c>
      <c r="L1530" t="s">
        <v>135</v>
      </c>
      <c r="M1530" t="s">
        <v>335</v>
      </c>
      <c r="N1530" t="s">
        <v>127</v>
      </c>
      <c r="O1530" t="s">
        <v>4225</v>
      </c>
      <c r="P1530" t="s">
        <v>49</v>
      </c>
      <c r="R1530">
        <v>0</v>
      </c>
      <c r="S1530">
        <v>0</v>
      </c>
      <c r="T1530">
        <v>0</v>
      </c>
      <c r="W1530">
        <v>29307201801432</v>
      </c>
      <c r="X1530">
        <v>34170</v>
      </c>
      <c r="Y1530" t="s">
        <v>103</v>
      </c>
      <c r="Z1530">
        <v>2</v>
      </c>
      <c r="AC1530" t="s">
        <v>4369</v>
      </c>
      <c r="AD1530" t="s">
        <v>184</v>
      </c>
      <c r="AG1530" t="s">
        <v>787</v>
      </c>
    </row>
    <row r="1531" spans="1:40" ht="18.75" customHeight="1" x14ac:dyDescent="0.3">
      <c r="A1531" s="1">
        <v>2016135201827</v>
      </c>
      <c r="B1531" t="s">
        <v>106</v>
      </c>
      <c r="C1531" t="s">
        <v>4370</v>
      </c>
      <c r="D1531" t="s">
        <v>1375</v>
      </c>
      <c r="E1531" t="s">
        <v>335</v>
      </c>
      <c r="G1531">
        <v>42575</v>
      </c>
      <c r="H1531">
        <v>43663</v>
      </c>
      <c r="I1531">
        <v>45658</v>
      </c>
      <c r="L1531" t="s">
        <v>135</v>
      </c>
      <c r="M1531" t="s">
        <v>335</v>
      </c>
      <c r="N1531" t="s">
        <v>127</v>
      </c>
      <c r="O1531" t="s">
        <v>4225</v>
      </c>
      <c r="P1531" t="s">
        <v>49</v>
      </c>
      <c r="R1531">
        <v>0</v>
      </c>
      <c r="S1531">
        <v>0</v>
      </c>
      <c r="T1531">
        <v>0</v>
      </c>
      <c r="W1531">
        <v>2912011605191</v>
      </c>
      <c r="X1531">
        <v>35765</v>
      </c>
      <c r="Y1531" t="s">
        <v>153</v>
      </c>
      <c r="Z1531">
        <v>0</v>
      </c>
      <c r="AD1531" t="s">
        <v>217</v>
      </c>
      <c r="AE1531" t="s">
        <v>73</v>
      </c>
      <c r="AG1531" t="s">
        <v>787</v>
      </c>
    </row>
    <row r="1532" spans="1:40" ht="18.75" customHeight="1" x14ac:dyDescent="0.3">
      <c r="A1532" s="1">
        <v>2018135200982</v>
      </c>
      <c r="B1532" t="s">
        <v>106</v>
      </c>
      <c r="C1532" t="s">
        <v>4371</v>
      </c>
      <c r="D1532" t="s">
        <v>1375</v>
      </c>
      <c r="E1532" t="s">
        <v>335</v>
      </c>
      <c r="G1532">
        <v>43279</v>
      </c>
      <c r="I1532">
        <v>46023</v>
      </c>
      <c r="L1532" t="s">
        <v>135</v>
      </c>
      <c r="M1532" t="s">
        <v>335</v>
      </c>
      <c r="N1532" t="s">
        <v>127</v>
      </c>
      <c r="O1532" t="s">
        <v>4225</v>
      </c>
      <c r="P1532" t="s">
        <v>49</v>
      </c>
      <c r="R1532">
        <v>1</v>
      </c>
      <c r="S1532">
        <v>0</v>
      </c>
      <c r="T1532">
        <v>0</v>
      </c>
      <c r="W1532" t="s">
        <v>4372</v>
      </c>
      <c r="X1532">
        <v>36889</v>
      </c>
      <c r="Y1532" t="s">
        <v>153</v>
      </c>
      <c r="Z1532">
        <v>0</v>
      </c>
      <c r="AA1532">
        <v>0</v>
      </c>
      <c r="AB1532">
        <v>0</v>
      </c>
      <c r="AD1532" t="s">
        <v>746</v>
      </c>
      <c r="AE1532" t="s">
        <v>64</v>
      </c>
      <c r="AG1532" t="s">
        <v>787</v>
      </c>
    </row>
    <row r="1533" spans="1:40" ht="18.75" customHeight="1" x14ac:dyDescent="0.3">
      <c r="A1533" s="1">
        <v>2001135200143</v>
      </c>
      <c r="B1533" t="s">
        <v>210</v>
      </c>
      <c r="C1533" t="s">
        <v>4373</v>
      </c>
      <c r="D1533" t="s">
        <v>4374</v>
      </c>
      <c r="E1533" t="s">
        <v>335</v>
      </c>
      <c r="AG1533" t="s">
        <v>787</v>
      </c>
    </row>
    <row r="1534" spans="1:40" ht="18.75" customHeight="1" x14ac:dyDescent="0.3">
      <c r="A1534" s="1">
        <v>2015135202455</v>
      </c>
      <c r="B1534" t="s">
        <v>106</v>
      </c>
      <c r="C1534" t="s">
        <v>4375</v>
      </c>
      <c r="D1534" t="s">
        <v>4374</v>
      </c>
      <c r="E1534" t="s">
        <v>335</v>
      </c>
      <c r="AG1534" t="s">
        <v>787</v>
      </c>
    </row>
    <row r="1535" spans="1:40" ht="18.75" customHeight="1" x14ac:dyDescent="0.3">
      <c r="A1535" s="1">
        <v>2021135200571</v>
      </c>
      <c r="B1535" t="s">
        <v>125</v>
      </c>
      <c r="C1535" t="s">
        <v>4376</v>
      </c>
      <c r="D1535" t="s">
        <v>4374</v>
      </c>
      <c r="E1535" t="s">
        <v>335</v>
      </c>
      <c r="AG1535" t="s">
        <v>787</v>
      </c>
    </row>
    <row r="1536" spans="1:40" ht="18.75" customHeight="1" x14ac:dyDescent="0.3">
      <c r="A1536" s="1">
        <v>2016135201984</v>
      </c>
      <c r="B1536" t="s">
        <v>106</v>
      </c>
      <c r="C1536" t="s">
        <v>4377</v>
      </c>
      <c r="D1536" t="s">
        <v>4374</v>
      </c>
      <c r="E1536" t="s">
        <v>335</v>
      </c>
      <c r="AG1536" t="s">
        <v>787</v>
      </c>
    </row>
    <row r="1537" spans="1:33" ht="18.75" customHeight="1" x14ac:dyDescent="0.3">
      <c r="A1537" s="1">
        <v>2015135202223</v>
      </c>
      <c r="B1537" t="s">
        <v>106</v>
      </c>
      <c r="C1537" t="s">
        <v>4378</v>
      </c>
      <c r="D1537" t="s">
        <v>4374</v>
      </c>
      <c r="E1537" t="s">
        <v>335</v>
      </c>
      <c r="AG1537" t="s">
        <v>787</v>
      </c>
    </row>
    <row r="1538" spans="1:33" ht="18.75" customHeight="1" x14ac:dyDescent="0.3">
      <c r="A1538" s="1">
        <v>2015135203883</v>
      </c>
      <c r="B1538" t="s">
        <v>106</v>
      </c>
      <c r="C1538" t="s">
        <v>4379</v>
      </c>
      <c r="D1538" t="s">
        <v>4374</v>
      </c>
      <c r="E1538" t="s">
        <v>335</v>
      </c>
      <c r="AG1538" t="s">
        <v>787</v>
      </c>
    </row>
    <row r="1539" spans="1:33" ht="18.75" customHeight="1" x14ac:dyDescent="0.3">
      <c r="A1539" s="1">
        <v>2015131804099</v>
      </c>
      <c r="B1539" t="s">
        <v>106</v>
      </c>
      <c r="C1539" t="s">
        <v>4380</v>
      </c>
      <c r="D1539" t="s">
        <v>4374</v>
      </c>
      <c r="E1539" t="s">
        <v>335</v>
      </c>
      <c r="AG1539" t="s">
        <v>787</v>
      </c>
    </row>
    <row r="1540" spans="1:33" ht="18.75" customHeight="1" x14ac:dyDescent="0.3">
      <c r="A1540" s="1">
        <v>2014135202001</v>
      </c>
      <c r="B1540" t="s">
        <v>106</v>
      </c>
      <c r="C1540" t="s">
        <v>4381</v>
      </c>
      <c r="D1540" t="s">
        <v>4374</v>
      </c>
      <c r="E1540" t="s">
        <v>335</v>
      </c>
      <c r="AG1540" t="s">
        <v>787</v>
      </c>
    </row>
    <row r="1541" spans="1:33" ht="18.75" customHeight="1" x14ac:dyDescent="0.3">
      <c r="A1541" s="1">
        <v>2015135203007</v>
      </c>
      <c r="B1541" t="s">
        <v>106</v>
      </c>
      <c r="C1541" t="s">
        <v>4382</v>
      </c>
      <c r="D1541" t="s">
        <v>4374</v>
      </c>
      <c r="E1541" t="s">
        <v>335</v>
      </c>
      <c r="AG1541" t="s">
        <v>787</v>
      </c>
    </row>
    <row r="1542" spans="1:33" ht="18.75" customHeight="1" x14ac:dyDescent="0.3">
      <c r="A1542" s="1">
        <v>2014135200146</v>
      </c>
      <c r="B1542" t="s">
        <v>75</v>
      </c>
      <c r="C1542" t="s">
        <v>4383</v>
      </c>
      <c r="D1542" t="s">
        <v>4374</v>
      </c>
      <c r="E1542" t="s">
        <v>335</v>
      </c>
      <c r="AG1542" t="s">
        <v>787</v>
      </c>
    </row>
    <row r="1543" spans="1:33" ht="18.75" customHeight="1" x14ac:dyDescent="0.3">
      <c r="A1543" s="1">
        <v>2017135202253</v>
      </c>
      <c r="B1543" t="s">
        <v>106</v>
      </c>
      <c r="C1543" t="s">
        <v>4384</v>
      </c>
      <c r="D1543" t="s">
        <v>4374</v>
      </c>
      <c r="E1543" t="s">
        <v>335</v>
      </c>
      <c r="AG1543" t="s">
        <v>787</v>
      </c>
    </row>
    <row r="1544" spans="1:33" ht="18.75" customHeight="1" x14ac:dyDescent="0.3">
      <c r="A1544" s="1">
        <v>2021135200315</v>
      </c>
      <c r="B1544" t="s">
        <v>125</v>
      </c>
      <c r="C1544" t="s">
        <v>4385</v>
      </c>
      <c r="D1544" t="s">
        <v>4374</v>
      </c>
      <c r="E1544" t="s">
        <v>335</v>
      </c>
      <c r="AG1544" t="s">
        <v>787</v>
      </c>
    </row>
    <row r="1545" spans="1:33" ht="18.75" customHeight="1" x14ac:dyDescent="0.3">
      <c r="A1545" s="1">
        <v>2021135200141</v>
      </c>
      <c r="B1545" t="s">
        <v>125</v>
      </c>
      <c r="C1545" t="s">
        <v>4386</v>
      </c>
      <c r="D1545" t="s">
        <v>4374</v>
      </c>
      <c r="E1545" t="s">
        <v>335</v>
      </c>
      <c r="AG1545" t="s">
        <v>787</v>
      </c>
    </row>
    <row r="1546" spans="1:33" ht="18.75" customHeight="1" x14ac:dyDescent="0.3">
      <c r="A1546" s="1">
        <v>2015135200665</v>
      </c>
      <c r="B1546" t="s">
        <v>106</v>
      </c>
      <c r="C1546" t="s">
        <v>4387</v>
      </c>
      <c r="D1546" t="s">
        <v>4374</v>
      </c>
      <c r="E1546" t="s">
        <v>335</v>
      </c>
      <c r="AG1546" t="s">
        <v>787</v>
      </c>
    </row>
    <row r="1547" spans="1:33" ht="18.75" customHeight="1" x14ac:dyDescent="0.3">
      <c r="A1547" s="1">
        <v>2010135200194</v>
      </c>
      <c r="B1547" t="s">
        <v>75</v>
      </c>
      <c r="C1547" t="s">
        <v>4388</v>
      </c>
      <c r="D1547" t="s">
        <v>4374</v>
      </c>
      <c r="E1547" t="s">
        <v>335</v>
      </c>
      <c r="AG1547" t="s">
        <v>787</v>
      </c>
    </row>
    <row r="1548" spans="1:33" ht="18.75" customHeight="1" x14ac:dyDescent="0.3">
      <c r="A1548" s="1">
        <v>2021135201488</v>
      </c>
      <c r="B1548" t="s">
        <v>125</v>
      </c>
      <c r="C1548" t="s">
        <v>4389</v>
      </c>
      <c r="D1548" t="s">
        <v>4374</v>
      </c>
      <c r="E1548" t="s">
        <v>335</v>
      </c>
      <c r="AG1548" t="s">
        <v>787</v>
      </c>
    </row>
    <row r="1549" spans="1:33" ht="18.75" customHeight="1" x14ac:dyDescent="0.3">
      <c r="A1549" s="1">
        <v>2018135200106</v>
      </c>
      <c r="B1549" t="s">
        <v>125</v>
      </c>
      <c r="C1549" t="s">
        <v>4390</v>
      </c>
      <c r="D1549" t="s">
        <v>4374</v>
      </c>
      <c r="E1549" t="s">
        <v>335</v>
      </c>
      <c r="AG1549" t="s">
        <v>787</v>
      </c>
    </row>
    <row r="1550" spans="1:33" ht="18.75" customHeight="1" x14ac:dyDescent="0.3">
      <c r="A1550" s="1">
        <v>2018134705909</v>
      </c>
      <c r="B1550" t="s">
        <v>75</v>
      </c>
      <c r="C1550" t="s">
        <v>4391</v>
      </c>
      <c r="D1550" t="s">
        <v>4374</v>
      </c>
      <c r="E1550" t="s">
        <v>335</v>
      </c>
      <c r="AG1550" t="s">
        <v>787</v>
      </c>
    </row>
    <row r="1551" spans="1:33" ht="18.75" customHeight="1" x14ac:dyDescent="0.3">
      <c r="A1551" s="1">
        <v>2018135202938</v>
      </c>
      <c r="B1551" t="s">
        <v>125</v>
      </c>
      <c r="C1551" t="s">
        <v>4392</v>
      </c>
      <c r="D1551" t="s">
        <v>4374</v>
      </c>
      <c r="E1551" t="s">
        <v>335</v>
      </c>
      <c r="AG1551" t="s">
        <v>787</v>
      </c>
    </row>
    <row r="1552" spans="1:33" ht="18.75" customHeight="1" x14ac:dyDescent="0.3">
      <c r="A1552" s="1">
        <v>2016135200572</v>
      </c>
      <c r="B1552" t="s">
        <v>106</v>
      </c>
      <c r="C1552" t="s">
        <v>4393</v>
      </c>
      <c r="D1552" t="s">
        <v>4374</v>
      </c>
      <c r="E1552" t="s">
        <v>335</v>
      </c>
      <c r="AG1552" t="s">
        <v>787</v>
      </c>
    </row>
    <row r="1553" spans="1:33" ht="18.75" customHeight="1" x14ac:dyDescent="0.3">
      <c r="A1553" s="1">
        <v>2017135201205</v>
      </c>
      <c r="B1553" t="s">
        <v>106</v>
      </c>
      <c r="C1553" t="s">
        <v>4394</v>
      </c>
      <c r="D1553" t="s">
        <v>4374</v>
      </c>
      <c r="E1553" t="s">
        <v>335</v>
      </c>
      <c r="AG1553" t="s">
        <v>787</v>
      </c>
    </row>
    <row r="1554" spans="1:33" ht="18.75" customHeight="1" x14ac:dyDescent="0.3">
      <c r="A1554" s="1">
        <v>2014135200849</v>
      </c>
      <c r="B1554" t="s">
        <v>75</v>
      </c>
      <c r="C1554" t="s">
        <v>4395</v>
      </c>
      <c r="D1554" t="s">
        <v>4374</v>
      </c>
      <c r="E1554" t="s">
        <v>335</v>
      </c>
      <c r="AG1554" t="s">
        <v>787</v>
      </c>
    </row>
    <row r="1555" spans="1:33" ht="18.75" customHeight="1" x14ac:dyDescent="0.3">
      <c r="A1555" s="1">
        <v>2016135200788</v>
      </c>
      <c r="B1555" t="s">
        <v>106</v>
      </c>
      <c r="C1555" t="s">
        <v>4396</v>
      </c>
      <c r="D1555" t="s">
        <v>4374</v>
      </c>
      <c r="E1555" t="s">
        <v>335</v>
      </c>
      <c r="AG1555" t="s">
        <v>787</v>
      </c>
    </row>
    <row r="1556" spans="1:33" ht="18.75" customHeight="1" x14ac:dyDescent="0.3">
      <c r="A1556" s="1">
        <v>2015134702828</v>
      </c>
      <c r="B1556" t="s">
        <v>106</v>
      </c>
      <c r="C1556" t="s">
        <v>4397</v>
      </c>
      <c r="D1556" t="s">
        <v>4374</v>
      </c>
      <c r="E1556" t="s">
        <v>335</v>
      </c>
      <c r="AG1556" t="s">
        <v>787</v>
      </c>
    </row>
    <row r="1557" spans="1:33" ht="18.75" customHeight="1" x14ac:dyDescent="0.3">
      <c r="A1557" s="1">
        <v>2013135200932</v>
      </c>
      <c r="B1557" t="s">
        <v>75</v>
      </c>
      <c r="C1557" t="s">
        <v>4398</v>
      </c>
      <c r="D1557" t="s">
        <v>4374</v>
      </c>
      <c r="E1557" t="s">
        <v>335</v>
      </c>
      <c r="AG1557" t="s">
        <v>787</v>
      </c>
    </row>
    <row r="1558" spans="1:33" ht="18.75" customHeight="1" x14ac:dyDescent="0.3">
      <c r="A1558" s="1">
        <v>2000135200244</v>
      </c>
      <c r="B1558" t="s">
        <v>210</v>
      </c>
      <c r="C1558" t="s">
        <v>4399</v>
      </c>
      <c r="D1558" t="s">
        <v>4374</v>
      </c>
      <c r="E1558" t="s">
        <v>335</v>
      </c>
      <c r="AG1558" t="s">
        <v>787</v>
      </c>
    </row>
    <row r="1559" spans="1:33" ht="18.75" customHeight="1" x14ac:dyDescent="0.3">
      <c r="A1559" s="1">
        <v>2000135200054</v>
      </c>
      <c r="B1559" t="s">
        <v>210</v>
      </c>
      <c r="C1559" t="s">
        <v>4400</v>
      </c>
      <c r="D1559" t="s">
        <v>4374</v>
      </c>
      <c r="E1559" t="s">
        <v>335</v>
      </c>
      <c r="AG1559" t="s">
        <v>787</v>
      </c>
    </row>
    <row r="1560" spans="1:33" ht="18.75" customHeight="1" x14ac:dyDescent="0.3">
      <c r="A1560" s="1">
        <v>2011135201207</v>
      </c>
      <c r="B1560" t="s">
        <v>75</v>
      </c>
      <c r="C1560" t="s">
        <v>4401</v>
      </c>
      <c r="D1560" t="s">
        <v>4374</v>
      </c>
      <c r="E1560" t="s">
        <v>335</v>
      </c>
      <c r="AG1560" t="s">
        <v>787</v>
      </c>
    </row>
    <row r="1561" spans="1:33" ht="18.75" customHeight="1" x14ac:dyDescent="0.3">
      <c r="A1561" s="1">
        <v>2018135202730</v>
      </c>
      <c r="B1561" t="s">
        <v>125</v>
      </c>
      <c r="C1561" t="s">
        <v>4402</v>
      </c>
      <c r="D1561" t="s">
        <v>4374</v>
      </c>
      <c r="E1561" t="s">
        <v>335</v>
      </c>
      <c r="AG1561" t="s">
        <v>787</v>
      </c>
    </row>
    <row r="1562" spans="1:33" ht="18.75" customHeight="1" x14ac:dyDescent="0.3">
      <c r="A1562" s="1">
        <v>2015135200376</v>
      </c>
      <c r="B1562" t="s">
        <v>106</v>
      </c>
      <c r="C1562" t="s">
        <v>4403</v>
      </c>
      <c r="D1562" t="s">
        <v>4374</v>
      </c>
      <c r="E1562" t="s">
        <v>335</v>
      </c>
      <c r="AG1562" t="s">
        <v>787</v>
      </c>
    </row>
    <row r="1563" spans="1:33" ht="18.75" customHeight="1" x14ac:dyDescent="0.3">
      <c r="A1563" s="1">
        <v>2010135200079</v>
      </c>
      <c r="B1563" t="s">
        <v>75</v>
      </c>
      <c r="C1563" t="s">
        <v>4404</v>
      </c>
      <c r="D1563" t="s">
        <v>4374</v>
      </c>
      <c r="E1563" t="s">
        <v>335</v>
      </c>
      <c r="AG1563" t="s">
        <v>787</v>
      </c>
    </row>
    <row r="1564" spans="1:33" ht="18.75" customHeight="1" x14ac:dyDescent="0.3">
      <c r="A1564" s="1">
        <v>2018135202235</v>
      </c>
      <c r="B1564" t="s">
        <v>125</v>
      </c>
      <c r="C1564" t="s">
        <v>4405</v>
      </c>
      <c r="D1564" t="s">
        <v>4374</v>
      </c>
      <c r="E1564" t="s">
        <v>335</v>
      </c>
      <c r="AG1564" t="s">
        <v>787</v>
      </c>
    </row>
    <row r="1565" spans="1:33" ht="18.75" customHeight="1" x14ac:dyDescent="0.3">
      <c r="A1565" s="1">
        <v>2015135202348</v>
      </c>
      <c r="B1565" t="s">
        <v>106</v>
      </c>
      <c r="C1565" t="s">
        <v>4406</v>
      </c>
      <c r="D1565" t="s">
        <v>4374</v>
      </c>
      <c r="E1565" t="s">
        <v>335</v>
      </c>
      <c r="AG1565" t="s">
        <v>787</v>
      </c>
    </row>
    <row r="1566" spans="1:33" ht="18.75" customHeight="1" x14ac:dyDescent="0.3">
      <c r="A1566" s="1">
        <v>2019135200633</v>
      </c>
      <c r="B1566" t="s">
        <v>125</v>
      </c>
      <c r="C1566" t="s">
        <v>4407</v>
      </c>
      <c r="D1566" t="s">
        <v>4374</v>
      </c>
      <c r="E1566" t="s">
        <v>335</v>
      </c>
      <c r="AG1566" t="s">
        <v>787</v>
      </c>
    </row>
    <row r="1567" spans="1:33" ht="18.75" customHeight="1" x14ac:dyDescent="0.3">
      <c r="A1567" s="1">
        <v>2003135200066</v>
      </c>
      <c r="B1567" t="s">
        <v>210</v>
      </c>
      <c r="C1567" t="s">
        <v>4408</v>
      </c>
      <c r="D1567" t="s">
        <v>4374</v>
      </c>
      <c r="E1567" t="s">
        <v>335</v>
      </c>
      <c r="AG1567" t="s">
        <v>787</v>
      </c>
    </row>
    <row r="1568" spans="1:33" ht="18.75" customHeight="1" x14ac:dyDescent="0.3">
      <c r="A1568" s="1">
        <v>2019130403498</v>
      </c>
      <c r="B1568" t="s">
        <v>125</v>
      </c>
      <c r="C1568" t="s">
        <v>4409</v>
      </c>
      <c r="D1568" t="s">
        <v>4374</v>
      </c>
      <c r="E1568" t="s">
        <v>335</v>
      </c>
      <c r="AG1568" t="s">
        <v>787</v>
      </c>
    </row>
    <row r="1569" spans="1:33" ht="18.75" customHeight="1" x14ac:dyDescent="0.3">
      <c r="A1569" s="1">
        <v>2008135200131</v>
      </c>
      <c r="B1569" t="s">
        <v>57</v>
      </c>
      <c r="C1569" t="s">
        <v>4410</v>
      </c>
      <c r="D1569" t="s">
        <v>4374</v>
      </c>
      <c r="E1569" t="s">
        <v>335</v>
      </c>
      <c r="AG1569" t="s">
        <v>787</v>
      </c>
    </row>
    <row r="1570" spans="1:33" ht="18.75" customHeight="1" x14ac:dyDescent="0.3">
      <c r="A1570" s="1">
        <v>2010135200417</v>
      </c>
      <c r="B1570" t="s">
        <v>75</v>
      </c>
      <c r="C1570" t="s">
        <v>4411</v>
      </c>
      <c r="D1570" t="s">
        <v>4374</v>
      </c>
      <c r="E1570" t="s">
        <v>335</v>
      </c>
      <c r="AG1570" t="s">
        <v>787</v>
      </c>
    </row>
    <row r="1571" spans="1:33" ht="18.75" customHeight="1" x14ac:dyDescent="0.3">
      <c r="A1571" s="1">
        <v>2017135203160</v>
      </c>
      <c r="B1571" t="s">
        <v>106</v>
      </c>
      <c r="C1571" t="s">
        <v>4412</v>
      </c>
      <c r="D1571" t="s">
        <v>4374</v>
      </c>
      <c r="E1571" t="s">
        <v>335</v>
      </c>
      <c r="AG1571" t="s">
        <v>787</v>
      </c>
    </row>
    <row r="1572" spans="1:33" ht="18.75" customHeight="1" x14ac:dyDescent="0.3">
      <c r="A1572" s="1">
        <v>2008135200090</v>
      </c>
      <c r="B1572" t="s">
        <v>57</v>
      </c>
      <c r="C1572" t="s">
        <v>4413</v>
      </c>
      <c r="D1572" t="s">
        <v>4374</v>
      </c>
      <c r="E1572" t="s">
        <v>335</v>
      </c>
      <c r="AG1572" t="s">
        <v>787</v>
      </c>
    </row>
    <row r="1573" spans="1:33" ht="18.75" customHeight="1" x14ac:dyDescent="0.3">
      <c r="A1573" s="1">
        <v>2000135200137</v>
      </c>
      <c r="B1573" t="s">
        <v>210</v>
      </c>
      <c r="C1573" t="s">
        <v>4414</v>
      </c>
      <c r="D1573" t="s">
        <v>4374</v>
      </c>
      <c r="E1573" t="s">
        <v>335</v>
      </c>
      <c r="AG1573" t="s">
        <v>787</v>
      </c>
    </row>
    <row r="1574" spans="1:33" ht="18.75" customHeight="1" x14ac:dyDescent="0.3">
      <c r="A1574" s="1">
        <v>2018135202350</v>
      </c>
      <c r="B1574" t="s">
        <v>106</v>
      </c>
      <c r="C1574" t="s">
        <v>4415</v>
      </c>
      <c r="D1574" t="s">
        <v>4374</v>
      </c>
      <c r="E1574" t="s">
        <v>335</v>
      </c>
      <c r="AG1574" t="s">
        <v>787</v>
      </c>
    </row>
    <row r="1575" spans="1:33" ht="18.75" customHeight="1" x14ac:dyDescent="0.3">
      <c r="A1575" s="1">
        <v>2007135200399</v>
      </c>
      <c r="B1575" t="s">
        <v>57</v>
      </c>
      <c r="C1575" t="s">
        <v>4416</v>
      </c>
      <c r="D1575" t="s">
        <v>4374</v>
      </c>
      <c r="E1575" t="s">
        <v>335</v>
      </c>
      <c r="AG1575" t="s">
        <v>787</v>
      </c>
    </row>
    <row r="1576" spans="1:33" ht="18.75" customHeight="1" x14ac:dyDescent="0.3">
      <c r="A1576" s="1">
        <v>2018131804960</v>
      </c>
      <c r="B1576" t="s">
        <v>125</v>
      </c>
      <c r="C1576" t="s">
        <v>4417</v>
      </c>
      <c r="D1576" t="s">
        <v>4374</v>
      </c>
      <c r="E1576" t="s">
        <v>335</v>
      </c>
      <c r="AG1576" t="s">
        <v>787</v>
      </c>
    </row>
    <row r="1577" spans="1:33" ht="18.75" customHeight="1" x14ac:dyDescent="0.3">
      <c r="A1577" s="1">
        <v>2007135200472</v>
      </c>
      <c r="B1577" t="s">
        <v>57</v>
      </c>
      <c r="C1577" t="s">
        <v>4418</v>
      </c>
      <c r="D1577" t="s">
        <v>4374</v>
      </c>
      <c r="E1577" t="s">
        <v>335</v>
      </c>
      <c r="AG1577" t="s">
        <v>787</v>
      </c>
    </row>
    <row r="1578" spans="1:33" ht="18.75" customHeight="1" x14ac:dyDescent="0.3">
      <c r="A1578" s="1">
        <v>2019130401666</v>
      </c>
      <c r="B1578" t="s">
        <v>125</v>
      </c>
      <c r="C1578" t="s">
        <v>4419</v>
      </c>
      <c r="D1578" t="s">
        <v>4374</v>
      </c>
      <c r="E1578" t="s">
        <v>335</v>
      </c>
      <c r="AG1578" t="s">
        <v>787</v>
      </c>
    </row>
    <row r="1579" spans="1:33" ht="18.75" customHeight="1" x14ac:dyDescent="0.3">
      <c r="A1579" s="1">
        <v>2017131807289</v>
      </c>
      <c r="B1579" t="s">
        <v>106</v>
      </c>
      <c r="C1579" t="s">
        <v>4420</v>
      </c>
      <c r="D1579" t="s">
        <v>4374</v>
      </c>
      <c r="E1579" t="s">
        <v>335</v>
      </c>
      <c r="AG1579" t="s">
        <v>787</v>
      </c>
    </row>
    <row r="1580" spans="1:33" ht="18.75" customHeight="1" x14ac:dyDescent="0.3">
      <c r="A1580" s="1">
        <v>2008135200082</v>
      </c>
      <c r="B1580" t="s">
        <v>57</v>
      </c>
      <c r="C1580" t="s">
        <v>4421</v>
      </c>
      <c r="D1580" t="s">
        <v>4374</v>
      </c>
      <c r="E1580" t="s">
        <v>335</v>
      </c>
      <c r="AG1580" t="s">
        <v>787</v>
      </c>
    </row>
    <row r="1581" spans="1:33" ht="18.75" customHeight="1" x14ac:dyDescent="0.3">
      <c r="A1581" s="1">
        <v>2018135200320</v>
      </c>
      <c r="B1581" t="s">
        <v>125</v>
      </c>
      <c r="C1581" t="s">
        <v>4422</v>
      </c>
      <c r="D1581" t="s">
        <v>4374</v>
      </c>
      <c r="E1581" t="s">
        <v>335</v>
      </c>
      <c r="AG1581" t="s">
        <v>787</v>
      </c>
    </row>
    <row r="1582" spans="1:33" ht="18.75" customHeight="1" x14ac:dyDescent="0.3">
      <c r="A1582" s="1">
        <v>2021135201769</v>
      </c>
      <c r="B1582" t="s">
        <v>125</v>
      </c>
      <c r="C1582" t="s">
        <v>4423</v>
      </c>
      <c r="D1582" t="s">
        <v>4374</v>
      </c>
      <c r="E1582" t="s">
        <v>335</v>
      </c>
      <c r="AG1582" t="s">
        <v>787</v>
      </c>
    </row>
    <row r="1583" spans="1:33" ht="18.75" customHeight="1" x14ac:dyDescent="0.3">
      <c r="A1583" s="1">
        <v>2007135200307</v>
      </c>
      <c r="B1583" t="s">
        <v>57</v>
      </c>
      <c r="C1583" t="s">
        <v>4424</v>
      </c>
      <c r="D1583" t="s">
        <v>4374</v>
      </c>
      <c r="E1583" t="s">
        <v>335</v>
      </c>
      <c r="AG1583" t="s">
        <v>787</v>
      </c>
    </row>
    <row r="1584" spans="1:33" ht="18.75" customHeight="1" x14ac:dyDescent="0.3">
      <c r="A1584" s="1">
        <v>2018131807261</v>
      </c>
      <c r="B1584" t="s">
        <v>125</v>
      </c>
      <c r="C1584" t="s">
        <v>4425</v>
      </c>
      <c r="D1584" t="s">
        <v>4374</v>
      </c>
      <c r="E1584" t="s">
        <v>335</v>
      </c>
      <c r="AG1584" t="s">
        <v>787</v>
      </c>
    </row>
    <row r="1585" spans="1:33" ht="18.75" customHeight="1" x14ac:dyDescent="0.3">
      <c r="A1585" s="1">
        <v>2014135201342</v>
      </c>
      <c r="B1585" t="s">
        <v>75</v>
      </c>
      <c r="C1585" t="s">
        <v>4426</v>
      </c>
      <c r="D1585" t="s">
        <v>4374</v>
      </c>
      <c r="E1585" t="s">
        <v>335</v>
      </c>
      <c r="AG1585" t="s">
        <v>787</v>
      </c>
    </row>
    <row r="1586" spans="1:33" ht="18.75" customHeight="1" x14ac:dyDescent="0.3">
      <c r="A1586" s="1">
        <v>2014135201095</v>
      </c>
      <c r="B1586" t="s">
        <v>75</v>
      </c>
      <c r="C1586" t="s">
        <v>4427</v>
      </c>
      <c r="D1586" t="s">
        <v>4374</v>
      </c>
      <c r="E1586" t="s">
        <v>335</v>
      </c>
      <c r="AG1586" t="s">
        <v>787</v>
      </c>
    </row>
    <row r="1587" spans="1:33" ht="18.75" customHeight="1" x14ac:dyDescent="0.3">
      <c r="A1587" s="1">
        <v>2017135200182</v>
      </c>
      <c r="B1587" t="s">
        <v>106</v>
      </c>
      <c r="C1587" t="s">
        <v>4428</v>
      </c>
      <c r="D1587" t="s">
        <v>4374</v>
      </c>
      <c r="E1587" t="s">
        <v>335</v>
      </c>
      <c r="AG1587" t="s">
        <v>787</v>
      </c>
    </row>
    <row r="1588" spans="1:33" ht="18.75" customHeight="1" x14ac:dyDescent="0.3">
      <c r="A1588" s="1">
        <v>2021135201404</v>
      </c>
      <c r="B1588" t="s">
        <v>125</v>
      </c>
      <c r="C1588" t="s">
        <v>4429</v>
      </c>
      <c r="D1588" t="s">
        <v>4374</v>
      </c>
      <c r="E1588" t="s">
        <v>335</v>
      </c>
      <c r="AG1588" t="s">
        <v>787</v>
      </c>
    </row>
    <row r="1589" spans="1:33" ht="18.75" customHeight="1" x14ac:dyDescent="0.3">
      <c r="A1589" s="1">
        <v>2000135200525</v>
      </c>
      <c r="B1589" t="s">
        <v>210</v>
      </c>
      <c r="C1589" t="s">
        <v>4430</v>
      </c>
      <c r="D1589" t="s">
        <v>4374</v>
      </c>
      <c r="E1589" t="s">
        <v>335</v>
      </c>
      <c r="AG1589" t="s">
        <v>787</v>
      </c>
    </row>
    <row r="1590" spans="1:33" ht="18.75" customHeight="1" x14ac:dyDescent="0.3">
      <c r="A1590" s="1">
        <v>2017135203110</v>
      </c>
      <c r="B1590" t="s">
        <v>106</v>
      </c>
      <c r="C1590" t="s">
        <v>4431</v>
      </c>
      <c r="D1590" t="s">
        <v>4374</v>
      </c>
      <c r="E1590" t="s">
        <v>335</v>
      </c>
      <c r="AG1590" t="s">
        <v>787</v>
      </c>
    </row>
    <row r="1591" spans="1:33" ht="18.75" customHeight="1" x14ac:dyDescent="0.3">
      <c r="A1591" s="1">
        <v>2017131805051</v>
      </c>
      <c r="B1591" t="s">
        <v>106</v>
      </c>
      <c r="C1591" t="s">
        <v>4432</v>
      </c>
      <c r="D1591" t="s">
        <v>4374</v>
      </c>
      <c r="E1591" t="s">
        <v>335</v>
      </c>
      <c r="AG1591" t="s">
        <v>787</v>
      </c>
    </row>
    <row r="1592" spans="1:33" ht="18.75" customHeight="1" x14ac:dyDescent="0.3">
      <c r="A1592" s="1">
        <v>2018135200164</v>
      </c>
      <c r="B1592" t="s">
        <v>125</v>
      </c>
      <c r="C1592" t="s">
        <v>4433</v>
      </c>
      <c r="D1592" t="s">
        <v>4374</v>
      </c>
      <c r="E1592" t="s">
        <v>335</v>
      </c>
      <c r="AG1592" t="s">
        <v>787</v>
      </c>
    </row>
    <row r="1593" spans="1:33" ht="18.75" customHeight="1" x14ac:dyDescent="0.3">
      <c r="A1593" s="1">
        <v>2017135201487</v>
      </c>
      <c r="B1593" t="s">
        <v>106</v>
      </c>
      <c r="C1593" t="s">
        <v>4434</v>
      </c>
      <c r="D1593" t="s">
        <v>4374</v>
      </c>
      <c r="E1593" t="s">
        <v>335</v>
      </c>
      <c r="AG1593" t="s">
        <v>787</v>
      </c>
    </row>
    <row r="1594" spans="1:33" ht="18.75" customHeight="1" x14ac:dyDescent="0.3">
      <c r="A1594" s="1">
        <v>2013135201625</v>
      </c>
      <c r="B1594" t="s">
        <v>75</v>
      </c>
      <c r="C1594" t="s">
        <v>4435</v>
      </c>
      <c r="D1594" t="s">
        <v>4374</v>
      </c>
      <c r="E1594" t="s">
        <v>335</v>
      </c>
      <c r="AG1594" t="s">
        <v>787</v>
      </c>
    </row>
    <row r="1595" spans="1:33" ht="18.75" customHeight="1" x14ac:dyDescent="0.3">
      <c r="A1595" s="1">
        <v>2015132400094</v>
      </c>
      <c r="B1595" t="s">
        <v>106</v>
      </c>
      <c r="C1595" t="s">
        <v>4436</v>
      </c>
      <c r="D1595" t="s">
        <v>4374</v>
      </c>
      <c r="E1595" t="s">
        <v>335</v>
      </c>
      <c r="AG1595" t="s">
        <v>787</v>
      </c>
    </row>
    <row r="1596" spans="1:33" ht="18.75" customHeight="1" x14ac:dyDescent="0.3">
      <c r="A1596" s="1">
        <v>2016135200431</v>
      </c>
      <c r="B1596" t="s">
        <v>106</v>
      </c>
      <c r="C1596" t="s">
        <v>4437</v>
      </c>
      <c r="D1596" t="s">
        <v>4374</v>
      </c>
      <c r="E1596" t="s">
        <v>335</v>
      </c>
      <c r="AG1596" t="s">
        <v>787</v>
      </c>
    </row>
    <row r="1597" spans="1:33" ht="18.75" customHeight="1" x14ac:dyDescent="0.3">
      <c r="A1597" s="1">
        <v>2017130402973</v>
      </c>
      <c r="B1597" t="s">
        <v>106</v>
      </c>
      <c r="C1597" t="s">
        <v>4438</v>
      </c>
      <c r="D1597" t="s">
        <v>4374</v>
      </c>
      <c r="E1597" t="s">
        <v>335</v>
      </c>
      <c r="AG1597" t="s">
        <v>787</v>
      </c>
    </row>
    <row r="1598" spans="1:33" ht="18.75" customHeight="1" x14ac:dyDescent="0.3">
      <c r="A1598" s="1">
        <v>2007135200646</v>
      </c>
      <c r="B1598" t="s">
        <v>57</v>
      </c>
      <c r="C1598" t="s">
        <v>4439</v>
      </c>
      <c r="D1598" t="s">
        <v>4374</v>
      </c>
      <c r="E1598" t="s">
        <v>335</v>
      </c>
      <c r="AG1598" t="s">
        <v>787</v>
      </c>
    </row>
    <row r="1599" spans="1:33" ht="18.75" customHeight="1" x14ac:dyDescent="0.3">
      <c r="A1599" s="1">
        <v>2002135200084</v>
      </c>
      <c r="B1599" t="s">
        <v>210</v>
      </c>
      <c r="C1599" t="s">
        <v>4440</v>
      </c>
      <c r="D1599" t="s">
        <v>4374</v>
      </c>
      <c r="E1599" t="s">
        <v>335</v>
      </c>
      <c r="AG1599" t="s">
        <v>787</v>
      </c>
    </row>
    <row r="1600" spans="1:33" ht="18.75" customHeight="1" x14ac:dyDescent="0.3">
      <c r="A1600" s="1">
        <v>2013135202285</v>
      </c>
      <c r="B1600" t="s">
        <v>75</v>
      </c>
      <c r="C1600" t="s">
        <v>4441</v>
      </c>
      <c r="D1600" t="s">
        <v>4374</v>
      </c>
      <c r="E1600" t="s">
        <v>335</v>
      </c>
      <c r="AG1600" t="s">
        <v>787</v>
      </c>
    </row>
    <row r="1601" spans="1:38" ht="18.75" customHeight="1" x14ac:dyDescent="0.3">
      <c r="A1601" s="1">
        <v>2018135200148</v>
      </c>
      <c r="B1601" t="s">
        <v>125</v>
      </c>
      <c r="C1601" t="s">
        <v>4442</v>
      </c>
      <c r="D1601" t="s">
        <v>4374</v>
      </c>
      <c r="E1601" t="s">
        <v>335</v>
      </c>
      <c r="AG1601" t="s">
        <v>787</v>
      </c>
    </row>
    <row r="1602" spans="1:38" ht="18.75" customHeight="1" x14ac:dyDescent="0.3">
      <c r="A1602" s="1">
        <v>2018135202201</v>
      </c>
      <c r="B1602" t="s">
        <v>125</v>
      </c>
      <c r="C1602" t="s">
        <v>4443</v>
      </c>
      <c r="D1602" t="s">
        <v>4374</v>
      </c>
      <c r="E1602" t="s">
        <v>335</v>
      </c>
      <c r="AG1602" t="s">
        <v>787</v>
      </c>
    </row>
    <row r="1603" spans="1:38" ht="18.75" customHeight="1" x14ac:dyDescent="0.3">
      <c r="A1603" s="1">
        <v>2017132400983</v>
      </c>
      <c r="B1603" t="s">
        <v>106</v>
      </c>
      <c r="C1603" t="s">
        <v>4444</v>
      </c>
      <c r="D1603" t="s">
        <v>4374</v>
      </c>
      <c r="E1603" t="s">
        <v>335</v>
      </c>
      <c r="AG1603" t="s">
        <v>787</v>
      </c>
    </row>
    <row r="1604" spans="1:38" ht="18.75" customHeight="1" x14ac:dyDescent="0.3">
      <c r="A1604" s="1">
        <v>1993135200108</v>
      </c>
      <c r="B1604" t="s">
        <v>210</v>
      </c>
      <c r="C1604" t="s">
        <v>4445</v>
      </c>
      <c r="D1604" t="s">
        <v>4374</v>
      </c>
      <c r="E1604" t="s">
        <v>335</v>
      </c>
      <c r="AG1604" t="s">
        <v>787</v>
      </c>
    </row>
    <row r="1605" spans="1:38" ht="18.75" customHeight="1" x14ac:dyDescent="0.3">
      <c r="A1605" s="1">
        <v>2017131801158</v>
      </c>
      <c r="B1605" t="s">
        <v>106</v>
      </c>
      <c r="C1605" t="s">
        <v>4446</v>
      </c>
      <c r="D1605" t="s">
        <v>4374</v>
      </c>
      <c r="E1605" t="s">
        <v>335</v>
      </c>
      <c r="AG1605" t="s">
        <v>787</v>
      </c>
    </row>
    <row r="1606" spans="1:38" ht="18.75" customHeight="1" x14ac:dyDescent="0.3">
      <c r="A1606" s="1">
        <v>2012134701454</v>
      </c>
      <c r="B1606" t="s">
        <v>57</v>
      </c>
      <c r="C1606" t="s">
        <v>4447</v>
      </c>
      <c r="D1606" t="s">
        <v>4448</v>
      </c>
      <c r="E1606" t="s">
        <v>1874</v>
      </c>
      <c r="F1606">
        <v>147</v>
      </c>
      <c r="G1606">
        <v>40936</v>
      </c>
      <c r="H1606">
        <v>41277</v>
      </c>
      <c r="I1606">
        <v>44927</v>
      </c>
      <c r="K1606">
        <v>44151</v>
      </c>
      <c r="L1606" t="s">
        <v>88</v>
      </c>
      <c r="M1606" t="s">
        <v>2546</v>
      </c>
      <c r="N1606" t="s">
        <v>47</v>
      </c>
      <c r="O1606" t="s">
        <v>4449</v>
      </c>
      <c r="P1606" t="s">
        <v>49</v>
      </c>
      <c r="R1606">
        <v>0</v>
      </c>
      <c r="S1606">
        <v>0</v>
      </c>
      <c r="T1606">
        <v>0</v>
      </c>
      <c r="U1606" t="s">
        <v>4450</v>
      </c>
      <c r="V1606" t="s">
        <v>4451</v>
      </c>
      <c r="W1606">
        <v>29301071701297</v>
      </c>
      <c r="X1606">
        <v>33976</v>
      </c>
      <c r="Y1606" t="s">
        <v>103</v>
      </c>
      <c r="AF1606">
        <v>75</v>
      </c>
      <c r="AG1606">
        <v>172</v>
      </c>
      <c r="AH1606">
        <v>3</v>
      </c>
    </row>
    <row r="1607" spans="1:38" ht="18.75" customHeight="1" x14ac:dyDescent="0.3">
      <c r="A1607" s="1">
        <v>2019138302650</v>
      </c>
      <c r="B1607" t="s">
        <v>125</v>
      </c>
      <c r="C1607" t="s">
        <v>4452</v>
      </c>
      <c r="D1607" t="s">
        <v>4448</v>
      </c>
      <c r="E1607" t="s">
        <v>1874</v>
      </c>
      <c r="F1607">
        <v>159</v>
      </c>
      <c r="G1607">
        <v>43692</v>
      </c>
      <c r="H1607">
        <v>44482</v>
      </c>
      <c r="I1607">
        <v>44482</v>
      </c>
      <c r="K1607">
        <v>44524</v>
      </c>
      <c r="L1607" t="s">
        <v>45</v>
      </c>
      <c r="M1607" t="s">
        <v>2546</v>
      </c>
      <c r="N1607" t="s">
        <v>127</v>
      </c>
      <c r="O1607" t="s">
        <v>4453</v>
      </c>
      <c r="P1607" t="s">
        <v>49</v>
      </c>
      <c r="R1607">
        <v>1</v>
      </c>
      <c r="S1607">
        <v>0</v>
      </c>
      <c r="T1607">
        <v>0</v>
      </c>
      <c r="U1607">
        <v>1115489432</v>
      </c>
      <c r="V1607" t="s">
        <v>4454</v>
      </c>
      <c r="W1607">
        <v>30111242103697</v>
      </c>
      <c r="X1607">
        <v>37219</v>
      </c>
      <c r="Y1607" t="s">
        <v>153</v>
      </c>
      <c r="AF1607">
        <v>59</v>
      </c>
      <c r="AG1607">
        <v>176</v>
      </c>
      <c r="AH1607">
        <v>-17</v>
      </c>
    </row>
    <row r="1608" spans="1:38" ht="18.75" customHeight="1" x14ac:dyDescent="0.3">
      <c r="A1608" s="1">
        <v>2019138314522</v>
      </c>
      <c r="B1608" t="s">
        <v>125</v>
      </c>
      <c r="C1608" t="s">
        <v>4455</v>
      </c>
      <c r="D1608" t="s">
        <v>4448</v>
      </c>
      <c r="E1608" t="s">
        <v>1874</v>
      </c>
      <c r="F1608">
        <v>159</v>
      </c>
      <c r="G1608">
        <v>43692</v>
      </c>
      <c r="H1608">
        <v>44482</v>
      </c>
      <c r="I1608">
        <v>44482</v>
      </c>
      <c r="K1608">
        <v>44524</v>
      </c>
      <c r="L1608" t="s">
        <v>45</v>
      </c>
      <c r="M1608" t="s">
        <v>2546</v>
      </c>
      <c r="N1608" t="s">
        <v>127</v>
      </c>
      <c r="O1608" t="s">
        <v>4456</v>
      </c>
      <c r="P1608" t="s">
        <v>49</v>
      </c>
      <c r="R1608">
        <v>4</v>
      </c>
      <c r="S1608">
        <v>0</v>
      </c>
      <c r="T1608">
        <v>0</v>
      </c>
      <c r="U1608" t="s">
        <v>4457</v>
      </c>
      <c r="V1608" t="s">
        <v>4458</v>
      </c>
      <c r="W1608">
        <v>30007201702614</v>
      </c>
      <c r="X1608">
        <v>36727</v>
      </c>
      <c r="Y1608" t="s">
        <v>153</v>
      </c>
      <c r="AF1608">
        <v>71</v>
      </c>
      <c r="AG1608">
        <v>175</v>
      </c>
      <c r="AH1608">
        <v>-4</v>
      </c>
    </row>
    <row r="1609" spans="1:38" ht="18.75" customHeight="1" x14ac:dyDescent="0.3">
      <c r="A1609" s="1">
        <v>2021138301889</v>
      </c>
      <c r="B1609" t="s">
        <v>125</v>
      </c>
      <c r="C1609" t="s">
        <v>4459</v>
      </c>
      <c r="D1609" t="s">
        <v>4448</v>
      </c>
      <c r="E1609" t="s">
        <v>1874</v>
      </c>
      <c r="F1609">
        <v>160</v>
      </c>
      <c r="G1609">
        <v>44205</v>
      </c>
      <c r="H1609">
        <v>45196</v>
      </c>
      <c r="I1609">
        <v>45196</v>
      </c>
      <c r="K1609">
        <v>45201</v>
      </c>
      <c r="L1609" t="s">
        <v>45</v>
      </c>
      <c r="M1609" t="s">
        <v>2546</v>
      </c>
      <c r="N1609" t="s">
        <v>127</v>
      </c>
      <c r="O1609" t="s">
        <v>2555</v>
      </c>
      <c r="P1609" t="s">
        <v>49</v>
      </c>
      <c r="R1609">
        <v>1</v>
      </c>
      <c r="S1609">
        <v>0</v>
      </c>
      <c r="T1609">
        <v>0</v>
      </c>
      <c r="U1609" t="s">
        <v>4460</v>
      </c>
      <c r="V1609" t="s">
        <v>4461</v>
      </c>
      <c r="W1609">
        <v>30104061301636</v>
      </c>
      <c r="X1609">
        <v>36987</v>
      </c>
      <c r="Y1609" t="s">
        <v>51</v>
      </c>
      <c r="AF1609">
        <v>65</v>
      </c>
      <c r="AG1609">
        <v>174</v>
      </c>
      <c r="AH1609">
        <v>-9</v>
      </c>
    </row>
    <row r="1610" spans="1:38" ht="18.75" customHeight="1" x14ac:dyDescent="0.3">
      <c r="A1610" s="1">
        <v>2009138302990</v>
      </c>
      <c r="B1610" t="s">
        <v>57</v>
      </c>
      <c r="C1610" t="s">
        <v>4462</v>
      </c>
      <c r="D1610" t="s">
        <v>4463</v>
      </c>
      <c r="E1610" t="s">
        <v>1874</v>
      </c>
      <c r="F1610">
        <v>141</v>
      </c>
      <c r="G1610">
        <v>39837</v>
      </c>
      <c r="H1610">
        <v>40308</v>
      </c>
      <c r="I1610">
        <v>45839</v>
      </c>
      <c r="K1610">
        <v>45230</v>
      </c>
      <c r="L1610" t="s">
        <v>45</v>
      </c>
      <c r="M1610" t="s">
        <v>1720</v>
      </c>
      <c r="N1610" t="s">
        <v>127</v>
      </c>
      <c r="O1610" t="s">
        <v>4464</v>
      </c>
      <c r="R1610">
        <v>4</v>
      </c>
      <c r="S1610">
        <v>0</v>
      </c>
      <c r="T1610">
        <v>0</v>
      </c>
      <c r="U1610">
        <v>1008722841</v>
      </c>
      <c r="W1610">
        <v>28812071301435</v>
      </c>
      <c r="X1610">
        <v>32484</v>
      </c>
      <c r="Y1610" t="s">
        <v>51</v>
      </c>
      <c r="AH1610" t="s">
        <v>787</v>
      </c>
    </row>
    <row r="1611" spans="1:38" ht="18.75" customHeight="1" x14ac:dyDescent="0.3">
      <c r="A1611" s="1">
        <v>2010138306436</v>
      </c>
      <c r="B1611" t="s">
        <v>75</v>
      </c>
      <c r="C1611" t="s">
        <v>4465</v>
      </c>
      <c r="D1611" t="s">
        <v>4463</v>
      </c>
      <c r="E1611" t="s">
        <v>1874</v>
      </c>
      <c r="F1611">
        <v>144</v>
      </c>
      <c r="G1611">
        <v>40376</v>
      </c>
      <c r="H1611">
        <v>40850</v>
      </c>
      <c r="I1611">
        <v>44197</v>
      </c>
      <c r="K1611">
        <v>44504</v>
      </c>
      <c r="L1611" t="s">
        <v>45</v>
      </c>
      <c r="M1611" t="s">
        <v>1720</v>
      </c>
      <c r="N1611" t="s">
        <v>127</v>
      </c>
      <c r="O1611" t="s">
        <v>4464</v>
      </c>
      <c r="P1611" t="s">
        <v>49</v>
      </c>
      <c r="R1611">
        <v>1</v>
      </c>
      <c r="S1611">
        <v>1</v>
      </c>
      <c r="T1611">
        <v>0</v>
      </c>
      <c r="U1611">
        <v>1007961414</v>
      </c>
      <c r="V1611" t="s">
        <v>4466</v>
      </c>
      <c r="W1611">
        <v>29006192501978</v>
      </c>
      <c r="X1611">
        <v>33043</v>
      </c>
      <c r="Y1611" t="s">
        <v>786</v>
      </c>
      <c r="AF1611">
        <v>73</v>
      </c>
      <c r="AG1611">
        <v>173</v>
      </c>
      <c r="AH1611">
        <v>0</v>
      </c>
    </row>
    <row r="1612" spans="1:38" ht="18.75" customHeight="1" x14ac:dyDescent="0.3">
      <c r="A1612" s="1">
        <v>2014138316495</v>
      </c>
      <c r="B1612" t="s">
        <v>75</v>
      </c>
      <c r="C1612" t="s">
        <v>4467</v>
      </c>
      <c r="D1612" t="s">
        <v>4463</v>
      </c>
      <c r="E1612" t="s">
        <v>1874</v>
      </c>
      <c r="F1612">
        <v>152</v>
      </c>
      <c r="G1612">
        <v>41853</v>
      </c>
      <c r="H1612">
        <v>42325</v>
      </c>
      <c r="I1612">
        <v>46023</v>
      </c>
      <c r="K1612">
        <v>44499</v>
      </c>
      <c r="L1612" t="s">
        <v>45</v>
      </c>
      <c r="M1612" t="s">
        <v>1720</v>
      </c>
      <c r="N1612" t="s">
        <v>127</v>
      </c>
      <c r="O1612" t="s">
        <v>4464</v>
      </c>
      <c r="P1612" t="s">
        <v>49</v>
      </c>
      <c r="R1612">
        <v>4</v>
      </c>
      <c r="S1612">
        <v>0</v>
      </c>
      <c r="T1612">
        <v>0</v>
      </c>
      <c r="U1612" t="s">
        <v>4468</v>
      </c>
      <c r="V1612" t="s">
        <v>4469</v>
      </c>
      <c r="W1612">
        <v>29512011311873</v>
      </c>
      <c r="X1612">
        <v>35034</v>
      </c>
      <c r="Y1612" t="s">
        <v>103</v>
      </c>
      <c r="AF1612">
        <v>76</v>
      </c>
      <c r="AG1612">
        <v>177</v>
      </c>
      <c r="AH1612">
        <v>-1</v>
      </c>
    </row>
    <row r="1613" spans="1:38" ht="18.75" customHeight="1" x14ac:dyDescent="0.3">
      <c r="A1613" s="1">
        <v>2014138326585</v>
      </c>
      <c r="B1613" t="s">
        <v>75</v>
      </c>
      <c r="C1613" t="s">
        <v>4470</v>
      </c>
      <c r="D1613" t="s">
        <v>4463</v>
      </c>
      <c r="E1613" t="s">
        <v>1874</v>
      </c>
      <c r="F1613">
        <v>152</v>
      </c>
      <c r="G1613">
        <v>41853</v>
      </c>
      <c r="H1613">
        <v>42325</v>
      </c>
      <c r="I1613">
        <v>46023</v>
      </c>
      <c r="K1613">
        <v>44504</v>
      </c>
      <c r="L1613" t="s">
        <v>88</v>
      </c>
      <c r="M1613" t="s">
        <v>1720</v>
      </c>
      <c r="N1613" t="s">
        <v>127</v>
      </c>
      <c r="O1613" t="s">
        <v>4464</v>
      </c>
      <c r="P1613" t="s">
        <v>49</v>
      </c>
      <c r="R1613">
        <v>0</v>
      </c>
      <c r="S1613">
        <v>0</v>
      </c>
      <c r="T1613">
        <v>0</v>
      </c>
      <c r="U1613" t="s">
        <v>4471</v>
      </c>
      <c r="V1613" t="s">
        <v>4472</v>
      </c>
      <c r="W1613">
        <v>29411012413512</v>
      </c>
      <c r="X1613">
        <v>34639</v>
      </c>
      <c r="Y1613" t="s">
        <v>51</v>
      </c>
      <c r="AF1613">
        <v>67</v>
      </c>
      <c r="AG1613">
        <v>173</v>
      </c>
      <c r="AH1613">
        <v>-6</v>
      </c>
    </row>
    <row r="1614" spans="1:38" ht="18.75" customHeight="1" x14ac:dyDescent="0.3">
      <c r="A1614" s="1">
        <v>2015130404402</v>
      </c>
      <c r="B1614" t="s">
        <v>106</v>
      </c>
      <c r="C1614" t="s">
        <v>4473</v>
      </c>
      <c r="D1614" t="s">
        <v>4463</v>
      </c>
      <c r="E1614" t="s">
        <v>1874</v>
      </c>
      <c r="F1614">
        <v>155</v>
      </c>
      <c r="G1614">
        <v>42369</v>
      </c>
      <c r="H1614">
        <v>42932</v>
      </c>
      <c r="I1614">
        <v>42932</v>
      </c>
      <c r="K1614">
        <v>45233</v>
      </c>
      <c r="L1614" t="s">
        <v>45</v>
      </c>
      <c r="M1614" t="s">
        <v>158</v>
      </c>
      <c r="N1614" t="s">
        <v>78</v>
      </c>
      <c r="O1614" t="s">
        <v>78</v>
      </c>
      <c r="P1614" t="s">
        <v>49</v>
      </c>
      <c r="R1614">
        <v>2</v>
      </c>
      <c r="S1614">
        <v>3</v>
      </c>
      <c r="T1614">
        <v>0</v>
      </c>
      <c r="U1614">
        <v>1102735842</v>
      </c>
      <c r="V1614" t="s">
        <v>4474</v>
      </c>
      <c r="W1614">
        <v>29908141601491</v>
      </c>
      <c r="X1614">
        <v>36386</v>
      </c>
      <c r="Y1614" t="s">
        <v>103</v>
      </c>
      <c r="AF1614">
        <v>68</v>
      </c>
      <c r="AG1614">
        <v>170</v>
      </c>
      <c r="AH1614">
        <v>-2</v>
      </c>
    </row>
    <row r="1615" spans="1:38" ht="18.75" customHeight="1" x14ac:dyDescent="0.3">
      <c r="A1615" s="1">
        <v>2015134706888</v>
      </c>
      <c r="B1615" t="s">
        <v>75</v>
      </c>
      <c r="C1615" t="s">
        <v>4475</v>
      </c>
      <c r="D1615" t="s">
        <v>4463</v>
      </c>
      <c r="E1615" t="s">
        <v>1874</v>
      </c>
      <c r="F1615">
        <v>154</v>
      </c>
      <c r="G1615">
        <v>42224</v>
      </c>
      <c r="H1615">
        <v>42789</v>
      </c>
      <c r="I1615">
        <v>44743</v>
      </c>
      <c r="K1615">
        <v>45230</v>
      </c>
      <c r="L1615" t="s">
        <v>88</v>
      </c>
      <c r="M1615" t="s">
        <v>1720</v>
      </c>
      <c r="N1615" t="s">
        <v>47</v>
      </c>
      <c r="O1615" t="s">
        <v>4476</v>
      </c>
      <c r="P1615" t="s">
        <v>49</v>
      </c>
      <c r="R1615">
        <v>0</v>
      </c>
      <c r="S1615">
        <v>0</v>
      </c>
      <c r="T1615">
        <v>0</v>
      </c>
      <c r="U1615" t="s">
        <v>4477</v>
      </c>
      <c r="V1615" t="s">
        <v>4478</v>
      </c>
      <c r="W1615">
        <v>29605121302738</v>
      </c>
      <c r="X1615">
        <v>35197</v>
      </c>
      <c r="Y1615" t="s">
        <v>550</v>
      </c>
      <c r="AF1615">
        <v>62</v>
      </c>
      <c r="AG1615">
        <v>176</v>
      </c>
      <c r="AH1615">
        <v>-14</v>
      </c>
      <c r="AL1615" t="s">
        <v>4479</v>
      </c>
    </row>
    <row r="1616" spans="1:38" ht="18.75" customHeight="1" x14ac:dyDescent="0.3">
      <c r="A1616" s="1">
        <v>2017138313908</v>
      </c>
      <c r="B1616" t="s">
        <v>106</v>
      </c>
      <c r="C1616" t="s">
        <v>4480</v>
      </c>
      <c r="D1616" t="s">
        <v>4463</v>
      </c>
      <c r="E1616" t="s">
        <v>1874</v>
      </c>
      <c r="F1616">
        <v>157</v>
      </c>
      <c r="G1616">
        <v>42915</v>
      </c>
      <c r="H1616">
        <v>43663</v>
      </c>
      <c r="I1616">
        <v>43663</v>
      </c>
      <c r="K1616">
        <v>43677</v>
      </c>
      <c r="L1616" t="s">
        <v>45</v>
      </c>
      <c r="M1616" t="s">
        <v>1720</v>
      </c>
      <c r="N1616" t="s">
        <v>127</v>
      </c>
      <c r="O1616" t="s">
        <v>1721</v>
      </c>
      <c r="Q1616" t="s">
        <v>49</v>
      </c>
      <c r="R1616">
        <v>1</v>
      </c>
      <c r="S1616">
        <v>0</v>
      </c>
      <c r="T1616">
        <v>0</v>
      </c>
      <c r="U1616">
        <v>1025322925</v>
      </c>
      <c r="V1616" t="s">
        <v>4481</v>
      </c>
      <c r="W1616">
        <v>30006121802077</v>
      </c>
      <c r="X1616">
        <v>36689</v>
      </c>
      <c r="Y1616" t="s">
        <v>153</v>
      </c>
      <c r="AF1616">
        <v>68</v>
      </c>
      <c r="AG1616">
        <v>170</v>
      </c>
      <c r="AH1616">
        <v>-2</v>
      </c>
    </row>
    <row r="1617" spans="1:38" ht="18.75" customHeight="1" x14ac:dyDescent="0.3">
      <c r="A1617" s="1">
        <v>2003131800050</v>
      </c>
      <c r="B1617" t="s">
        <v>210</v>
      </c>
      <c r="C1617" t="s">
        <v>4482</v>
      </c>
      <c r="D1617" t="s">
        <v>1743</v>
      </c>
      <c r="E1617" t="s">
        <v>447</v>
      </c>
      <c r="F1617">
        <v>124</v>
      </c>
      <c r="G1617">
        <v>37639</v>
      </c>
      <c r="H1617">
        <v>38157</v>
      </c>
      <c r="I1617">
        <v>46023</v>
      </c>
      <c r="M1617" t="s">
        <v>812</v>
      </c>
      <c r="N1617" t="s">
        <v>727</v>
      </c>
      <c r="O1617" t="s">
        <v>308</v>
      </c>
      <c r="P1617" t="s">
        <v>49</v>
      </c>
      <c r="R1617">
        <v>5</v>
      </c>
      <c r="S1617">
        <v>3</v>
      </c>
      <c r="T1617">
        <v>0</v>
      </c>
      <c r="U1617" t="s">
        <v>4483</v>
      </c>
      <c r="W1617">
        <v>28012292200394</v>
      </c>
      <c r="X1617">
        <v>29584</v>
      </c>
      <c r="Y1617" t="s">
        <v>103</v>
      </c>
      <c r="Z1617">
        <v>6</v>
      </c>
      <c r="AA1617">
        <v>2</v>
      </c>
      <c r="AB1617">
        <v>4</v>
      </c>
      <c r="AF1617">
        <v>75</v>
      </c>
      <c r="AG1617">
        <v>180</v>
      </c>
      <c r="AH1617">
        <f>IF([2]!Table1[[#This Row],[الوزن]]&lt;&gt;"",[2]!Table1[[#This Row],[الوزن]]-([2]!Table1[[#This Row],[الطول]]-100),"")</f>
        <v>0</v>
      </c>
      <c r="AJ1617" t="s">
        <v>4484</v>
      </c>
      <c r="AL1617" t="s">
        <v>4485</v>
      </c>
    </row>
    <row r="1618" spans="1:38" ht="18.75" customHeight="1" x14ac:dyDescent="0.3">
      <c r="A1618" s="1">
        <v>2019138310687</v>
      </c>
      <c r="B1618" t="s">
        <v>125</v>
      </c>
      <c r="C1618" t="s">
        <v>4486</v>
      </c>
      <c r="D1618" t="s">
        <v>4463</v>
      </c>
      <c r="E1618" t="s">
        <v>1874</v>
      </c>
      <c r="F1618">
        <v>159</v>
      </c>
      <c r="G1618">
        <v>43692</v>
      </c>
      <c r="H1618">
        <v>44482</v>
      </c>
      <c r="I1618">
        <v>44482</v>
      </c>
      <c r="K1618">
        <v>44509</v>
      </c>
      <c r="L1618" t="s">
        <v>45</v>
      </c>
      <c r="M1618" t="s">
        <v>1720</v>
      </c>
      <c r="N1618" t="s">
        <v>127</v>
      </c>
      <c r="O1618" t="s">
        <v>4464</v>
      </c>
      <c r="P1618" t="s">
        <v>49</v>
      </c>
      <c r="R1618">
        <v>1</v>
      </c>
      <c r="S1618">
        <v>1</v>
      </c>
      <c r="T1618">
        <v>0</v>
      </c>
      <c r="U1618" t="s">
        <v>4487</v>
      </c>
      <c r="V1618" t="s">
        <v>4488</v>
      </c>
      <c r="W1618">
        <v>30101012640914</v>
      </c>
      <c r="X1618">
        <v>36892</v>
      </c>
      <c r="Y1618" t="s">
        <v>103</v>
      </c>
      <c r="AF1618">
        <v>75</v>
      </c>
      <c r="AG1618">
        <v>175</v>
      </c>
      <c r="AH1618">
        <v>0</v>
      </c>
    </row>
    <row r="1619" spans="1:38" ht="18.75" customHeight="1" x14ac:dyDescent="0.3">
      <c r="A1619" s="1">
        <v>2021138315244</v>
      </c>
      <c r="B1619" t="s">
        <v>125</v>
      </c>
      <c r="C1619" t="s">
        <v>4489</v>
      </c>
      <c r="D1619" t="s">
        <v>4463</v>
      </c>
      <c r="E1619" t="s">
        <v>1874</v>
      </c>
      <c r="F1619">
        <v>161</v>
      </c>
      <c r="G1619">
        <v>44485</v>
      </c>
      <c r="H1619">
        <v>45581</v>
      </c>
      <c r="I1619">
        <v>45581</v>
      </c>
      <c r="K1619">
        <v>45597</v>
      </c>
      <c r="L1619" t="s">
        <v>135</v>
      </c>
      <c r="M1619" t="s">
        <v>1720</v>
      </c>
      <c r="N1619" t="s">
        <v>127</v>
      </c>
      <c r="O1619" t="s">
        <v>4464</v>
      </c>
      <c r="P1619" t="s">
        <v>49</v>
      </c>
      <c r="R1619">
        <v>1</v>
      </c>
      <c r="S1619">
        <v>0</v>
      </c>
      <c r="T1619">
        <v>0</v>
      </c>
      <c r="U1619" t="s">
        <v>4490</v>
      </c>
      <c r="V1619" t="s">
        <v>4491</v>
      </c>
      <c r="W1619">
        <v>30306061602999</v>
      </c>
      <c r="X1619">
        <v>37778</v>
      </c>
      <c r="Y1619" t="s">
        <v>153</v>
      </c>
      <c r="AF1619">
        <v>70</v>
      </c>
      <c r="AG1619">
        <v>173</v>
      </c>
      <c r="AH1619">
        <v>-3</v>
      </c>
    </row>
    <row r="1620" spans="1:38" ht="18.75" customHeight="1" x14ac:dyDescent="0.3">
      <c r="A1620" s="1">
        <v>2021138316531</v>
      </c>
      <c r="B1620" t="s">
        <v>125</v>
      </c>
      <c r="C1620" t="s">
        <v>4492</v>
      </c>
      <c r="D1620" t="s">
        <v>4463</v>
      </c>
      <c r="E1620" t="s">
        <v>1874</v>
      </c>
      <c r="F1620">
        <v>161</v>
      </c>
      <c r="G1620">
        <v>44546</v>
      </c>
      <c r="H1620">
        <v>45565</v>
      </c>
      <c r="I1620">
        <v>45565</v>
      </c>
      <c r="K1620">
        <v>45588</v>
      </c>
      <c r="L1620" t="s">
        <v>135</v>
      </c>
      <c r="M1620" t="s">
        <v>1720</v>
      </c>
      <c r="N1620" t="s">
        <v>127</v>
      </c>
      <c r="O1620" t="s">
        <v>4464</v>
      </c>
      <c r="P1620" t="s">
        <v>49</v>
      </c>
      <c r="R1620">
        <v>0</v>
      </c>
      <c r="S1620">
        <v>0</v>
      </c>
      <c r="T1620">
        <v>0</v>
      </c>
      <c r="U1620" t="s">
        <v>4493</v>
      </c>
      <c r="V1620" t="s">
        <v>4494</v>
      </c>
      <c r="W1620">
        <v>29909151602832</v>
      </c>
      <c r="X1620">
        <v>36418</v>
      </c>
      <c r="Y1620" t="s">
        <v>153</v>
      </c>
      <c r="AF1620">
        <v>64</v>
      </c>
      <c r="AG1620">
        <v>175</v>
      </c>
      <c r="AH1620">
        <v>-11</v>
      </c>
    </row>
    <row r="1621" spans="1:38" ht="18.75" customHeight="1" x14ac:dyDescent="0.3">
      <c r="A1621" s="1">
        <v>2021138316804</v>
      </c>
      <c r="B1621" t="s">
        <v>125</v>
      </c>
      <c r="C1621" t="s">
        <v>4495</v>
      </c>
      <c r="D1621" t="s">
        <v>4463</v>
      </c>
      <c r="E1621" t="s">
        <v>1874</v>
      </c>
      <c r="F1621">
        <v>161</v>
      </c>
      <c r="G1621">
        <v>44546</v>
      </c>
      <c r="H1621">
        <v>45565</v>
      </c>
      <c r="I1621">
        <v>45292</v>
      </c>
      <c r="K1621">
        <v>45588</v>
      </c>
      <c r="L1621" t="s">
        <v>88</v>
      </c>
      <c r="M1621" t="s">
        <v>1720</v>
      </c>
      <c r="N1621" t="s">
        <v>127</v>
      </c>
      <c r="O1621" t="s">
        <v>4464</v>
      </c>
      <c r="P1621" t="s">
        <v>49</v>
      </c>
      <c r="R1621">
        <v>1</v>
      </c>
      <c r="S1621">
        <v>0</v>
      </c>
      <c r="T1621">
        <v>0</v>
      </c>
      <c r="U1621" t="s">
        <v>4496</v>
      </c>
      <c r="V1621" t="s">
        <v>4497</v>
      </c>
      <c r="W1621">
        <v>30304142701956</v>
      </c>
      <c r="X1621">
        <v>37725</v>
      </c>
      <c r="Y1621" t="s">
        <v>153</v>
      </c>
      <c r="AF1621">
        <v>81</v>
      </c>
      <c r="AG1621">
        <v>182</v>
      </c>
      <c r="AH1621">
        <v>-1</v>
      </c>
    </row>
    <row r="1622" spans="1:38" ht="18.75" customHeight="1" x14ac:dyDescent="0.3">
      <c r="A1622" s="1">
        <v>2023138305259</v>
      </c>
      <c r="B1622" t="s">
        <v>125</v>
      </c>
      <c r="C1622" t="s">
        <v>4498</v>
      </c>
      <c r="D1622" t="s">
        <v>4463</v>
      </c>
      <c r="E1622" t="s">
        <v>1874</v>
      </c>
      <c r="F1622">
        <v>162</v>
      </c>
      <c r="G1622">
        <v>44941</v>
      </c>
      <c r="H1622">
        <v>45976</v>
      </c>
      <c r="I1622">
        <v>45976</v>
      </c>
      <c r="J1622">
        <v>45932</v>
      </c>
      <c r="K1622">
        <v>45932</v>
      </c>
      <c r="L1622" t="s">
        <v>4499</v>
      </c>
      <c r="M1622" t="s">
        <v>1720</v>
      </c>
      <c r="N1622" t="s">
        <v>127</v>
      </c>
      <c r="O1622" t="s">
        <v>4464</v>
      </c>
      <c r="P1622" t="s">
        <v>49</v>
      </c>
      <c r="R1622">
        <v>0</v>
      </c>
      <c r="S1622">
        <v>0</v>
      </c>
      <c r="T1622">
        <v>0</v>
      </c>
      <c r="U1622" t="s">
        <v>4500</v>
      </c>
      <c r="V1622" t="s">
        <v>4501</v>
      </c>
      <c r="W1622">
        <v>30109062500375</v>
      </c>
      <c r="X1622">
        <v>37140</v>
      </c>
      <c r="Y1622" t="s">
        <v>153</v>
      </c>
      <c r="AF1622">
        <v>60</v>
      </c>
      <c r="AG1622">
        <v>177</v>
      </c>
      <c r="AH1622">
        <v>-17</v>
      </c>
    </row>
    <row r="1623" spans="1:38" ht="18.75" customHeight="1" x14ac:dyDescent="0.3">
      <c r="A1623" s="1">
        <v>2012138317124</v>
      </c>
      <c r="B1623" t="s">
        <v>75</v>
      </c>
      <c r="C1623" t="s">
        <v>4502</v>
      </c>
      <c r="D1623" t="s">
        <v>1873</v>
      </c>
      <c r="E1623" t="s">
        <v>1874</v>
      </c>
      <c r="F1623">
        <v>149</v>
      </c>
      <c r="G1623">
        <v>41111</v>
      </c>
      <c r="H1623">
        <v>41583</v>
      </c>
      <c r="I1623">
        <v>45292</v>
      </c>
      <c r="K1623">
        <v>45227</v>
      </c>
      <c r="L1623" t="s">
        <v>45</v>
      </c>
      <c r="M1623" t="s">
        <v>751</v>
      </c>
      <c r="N1623" t="s">
        <v>127</v>
      </c>
      <c r="O1623" t="s">
        <v>4503</v>
      </c>
      <c r="P1623" t="s">
        <v>49</v>
      </c>
      <c r="R1623">
        <v>2</v>
      </c>
      <c r="S1623">
        <v>0</v>
      </c>
      <c r="T1623">
        <v>0</v>
      </c>
      <c r="U1623" t="s">
        <v>4504</v>
      </c>
      <c r="W1623">
        <v>29404251601839</v>
      </c>
      <c r="X1623">
        <v>34449</v>
      </c>
      <c r="Y1623" t="s">
        <v>103</v>
      </c>
      <c r="AH1623" t="s">
        <v>787</v>
      </c>
    </row>
    <row r="1624" spans="1:38" ht="18.75" customHeight="1" x14ac:dyDescent="0.3">
      <c r="A1624" s="1">
        <v>2003131801222</v>
      </c>
      <c r="B1624" t="s">
        <v>57</v>
      </c>
      <c r="C1624" t="s">
        <v>4505</v>
      </c>
      <c r="D1624" t="s">
        <v>1353</v>
      </c>
      <c r="E1624" t="s">
        <v>1354</v>
      </c>
      <c r="M1624" t="s">
        <v>1355</v>
      </c>
      <c r="N1624" t="s">
        <v>727</v>
      </c>
      <c r="O1624" t="s">
        <v>308</v>
      </c>
      <c r="AH1624" t="s">
        <v>787</v>
      </c>
    </row>
    <row r="1625" spans="1:38" ht="18.75" customHeight="1" x14ac:dyDescent="0.3">
      <c r="A1625" s="1">
        <v>2021138600257</v>
      </c>
      <c r="B1625" t="s">
        <v>125</v>
      </c>
      <c r="C1625" t="s">
        <v>4506</v>
      </c>
      <c r="D1625" t="s">
        <v>1873</v>
      </c>
      <c r="E1625" t="s">
        <v>1874</v>
      </c>
      <c r="F1625">
        <v>160</v>
      </c>
      <c r="G1625">
        <v>44205</v>
      </c>
      <c r="H1625">
        <v>45197</v>
      </c>
      <c r="I1625">
        <v>45197</v>
      </c>
      <c r="L1625" t="s">
        <v>45</v>
      </c>
      <c r="M1625" t="s">
        <v>751</v>
      </c>
      <c r="N1625" t="s">
        <v>127</v>
      </c>
      <c r="O1625" t="s">
        <v>4503</v>
      </c>
      <c r="P1625" t="s">
        <v>49</v>
      </c>
      <c r="R1625">
        <v>0</v>
      </c>
      <c r="S1625">
        <v>0</v>
      </c>
      <c r="T1625">
        <v>0</v>
      </c>
      <c r="U1625">
        <v>1020866987</v>
      </c>
      <c r="V1625" t="s">
        <v>4507</v>
      </c>
      <c r="X1625">
        <v>35815</v>
      </c>
      <c r="Y1625" t="s">
        <v>51</v>
      </c>
      <c r="AF1625">
        <v>69</v>
      </c>
      <c r="AG1625">
        <v>176</v>
      </c>
      <c r="AH1625">
        <v>-7</v>
      </c>
    </row>
    <row r="1626" spans="1:38" ht="18.75" customHeight="1" x14ac:dyDescent="0.3">
      <c r="A1626" s="1">
        <v>2012138305616</v>
      </c>
      <c r="B1626" t="s">
        <v>75</v>
      </c>
      <c r="C1626" t="s">
        <v>4508</v>
      </c>
      <c r="D1626" t="s">
        <v>4509</v>
      </c>
      <c r="E1626" t="s">
        <v>1874</v>
      </c>
      <c r="F1626">
        <v>147</v>
      </c>
      <c r="G1626">
        <v>40936</v>
      </c>
      <c r="H1626">
        <v>41407</v>
      </c>
      <c r="I1626">
        <v>45292</v>
      </c>
      <c r="K1626">
        <v>45593</v>
      </c>
      <c r="L1626" t="s">
        <v>135</v>
      </c>
      <c r="M1626" t="s">
        <v>4510</v>
      </c>
      <c r="N1626" t="s">
        <v>127</v>
      </c>
      <c r="O1626" t="s">
        <v>4511</v>
      </c>
      <c r="P1626" t="s">
        <v>49</v>
      </c>
      <c r="R1626">
        <v>0</v>
      </c>
      <c r="S1626">
        <v>0</v>
      </c>
      <c r="T1626">
        <v>0</v>
      </c>
      <c r="U1626" t="s">
        <v>4512</v>
      </c>
      <c r="V1626" t="s">
        <v>4513</v>
      </c>
      <c r="W1626">
        <v>29410101700634</v>
      </c>
      <c r="X1626">
        <v>34617</v>
      </c>
      <c r="Y1626" t="s">
        <v>103</v>
      </c>
      <c r="AF1626">
        <v>75</v>
      </c>
      <c r="AG1626">
        <v>175</v>
      </c>
      <c r="AH1626">
        <v>0</v>
      </c>
    </row>
    <row r="1627" spans="1:38" ht="18.75" customHeight="1" x14ac:dyDescent="0.3">
      <c r="A1627" s="1">
        <v>2017134703450</v>
      </c>
      <c r="B1627" t="s">
        <v>106</v>
      </c>
      <c r="C1627" t="s">
        <v>4514</v>
      </c>
      <c r="D1627" t="s">
        <v>4509</v>
      </c>
      <c r="E1627" t="s">
        <v>1874</v>
      </c>
      <c r="F1627">
        <v>157</v>
      </c>
      <c r="G1627">
        <v>42915</v>
      </c>
      <c r="H1627">
        <v>43663</v>
      </c>
      <c r="I1627">
        <v>45658</v>
      </c>
      <c r="K1627">
        <v>45441</v>
      </c>
      <c r="L1627" t="s">
        <v>45</v>
      </c>
      <c r="M1627" t="s">
        <v>4510</v>
      </c>
      <c r="N1627" t="s">
        <v>47</v>
      </c>
      <c r="O1627" t="s">
        <v>4515</v>
      </c>
      <c r="P1627" t="s">
        <v>49</v>
      </c>
      <c r="R1627">
        <v>8</v>
      </c>
      <c r="S1627">
        <v>0</v>
      </c>
      <c r="T1627">
        <v>0</v>
      </c>
      <c r="U1627">
        <v>1028354594</v>
      </c>
      <c r="V1627" t="s">
        <v>4516</v>
      </c>
      <c r="W1627" t="s">
        <v>4517</v>
      </c>
      <c r="X1627">
        <v>36541</v>
      </c>
      <c r="Y1627" t="s">
        <v>103</v>
      </c>
      <c r="AF1627">
        <v>69</v>
      </c>
      <c r="AG1627">
        <v>175</v>
      </c>
      <c r="AH1627">
        <v>-6</v>
      </c>
    </row>
    <row r="1628" spans="1:38" ht="18.75" customHeight="1" x14ac:dyDescent="0.3">
      <c r="A1628" s="1">
        <v>2017132703436</v>
      </c>
      <c r="B1628" t="s">
        <v>75</v>
      </c>
      <c r="C1628" t="s">
        <v>4518</v>
      </c>
      <c r="D1628" t="s">
        <v>4519</v>
      </c>
      <c r="E1628" t="s">
        <v>1874</v>
      </c>
      <c r="F1628" t="s">
        <v>4520</v>
      </c>
      <c r="G1628">
        <v>43040</v>
      </c>
      <c r="H1628">
        <v>43724</v>
      </c>
      <c r="I1628">
        <v>45658</v>
      </c>
      <c r="L1628" t="s">
        <v>263</v>
      </c>
      <c r="M1628" t="s">
        <v>264</v>
      </c>
      <c r="N1628" t="s">
        <v>2489</v>
      </c>
      <c r="O1628" t="s">
        <v>1237</v>
      </c>
      <c r="S1628">
        <v>0</v>
      </c>
      <c r="T1628">
        <v>0</v>
      </c>
      <c r="U1628" t="s">
        <v>4521</v>
      </c>
      <c r="W1628">
        <v>29802011702391</v>
      </c>
      <c r="X1628">
        <v>35827</v>
      </c>
      <c r="Y1628" t="s">
        <v>51</v>
      </c>
      <c r="AB1628">
        <v>0</v>
      </c>
      <c r="AF1628">
        <v>83</v>
      </c>
      <c r="AG1628">
        <v>182</v>
      </c>
      <c r="AH1628">
        <v>1</v>
      </c>
    </row>
    <row r="1629" spans="1:38" ht="18.75" customHeight="1" x14ac:dyDescent="0.3">
      <c r="A1629" s="1">
        <v>2018132701628</v>
      </c>
      <c r="B1629" t="s">
        <v>75</v>
      </c>
      <c r="C1629" t="s">
        <v>4522</v>
      </c>
      <c r="D1629" t="s">
        <v>4519</v>
      </c>
      <c r="E1629" t="s">
        <v>1874</v>
      </c>
      <c r="F1629" t="s">
        <v>4523</v>
      </c>
      <c r="G1629">
        <v>43394</v>
      </c>
      <c r="H1629">
        <v>44123</v>
      </c>
      <c r="I1629">
        <v>46023</v>
      </c>
      <c r="L1629" t="s">
        <v>263</v>
      </c>
      <c r="M1629" t="s">
        <v>264</v>
      </c>
      <c r="N1629" t="s">
        <v>2489</v>
      </c>
      <c r="O1629" t="s">
        <v>1237</v>
      </c>
      <c r="P1629" t="s">
        <v>49</v>
      </c>
      <c r="R1629">
        <v>0</v>
      </c>
      <c r="S1629">
        <v>0</v>
      </c>
      <c r="V1629" t="s">
        <v>4524</v>
      </c>
      <c r="W1629">
        <v>29803152601713</v>
      </c>
      <c r="X1629">
        <v>35869</v>
      </c>
      <c r="Y1629" t="s">
        <v>51</v>
      </c>
      <c r="AA1629">
        <v>0</v>
      </c>
      <c r="AF1629">
        <v>82</v>
      </c>
      <c r="AG1629">
        <v>183</v>
      </c>
      <c r="AH1629">
        <v>-1</v>
      </c>
    </row>
    <row r="1630" spans="1:38" ht="18.75" customHeight="1" x14ac:dyDescent="0.3">
      <c r="A1630" s="1">
        <v>2018132703236</v>
      </c>
      <c r="B1630" t="s">
        <v>75</v>
      </c>
      <c r="C1630" t="s">
        <v>4525</v>
      </c>
      <c r="D1630" t="s">
        <v>4519</v>
      </c>
      <c r="E1630" t="s">
        <v>1874</v>
      </c>
      <c r="F1630" t="s">
        <v>4526</v>
      </c>
      <c r="G1630">
        <v>43394</v>
      </c>
      <c r="H1630">
        <v>44123</v>
      </c>
      <c r="I1630">
        <v>46023</v>
      </c>
      <c r="L1630" t="s">
        <v>263</v>
      </c>
      <c r="M1630" t="s">
        <v>264</v>
      </c>
      <c r="N1630" t="s">
        <v>2489</v>
      </c>
      <c r="O1630" t="s">
        <v>1237</v>
      </c>
      <c r="P1630" t="s">
        <v>49</v>
      </c>
      <c r="R1630">
        <v>0</v>
      </c>
      <c r="S1630">
        <v>0</v>
      </c>
      <c r="V1630" t="s">
        <v>4527</v>
      </c>
      <c r="W1630">
        <v>29907161200233</v>
      </c>
      <c r="X1630">
        <v>36357</v>
      </c>
      <c r="Y1630" t="s">
        <v>103</v>
      </c>
      <c r="AA1630">
        <v>1</v>
      </c>
      <c r="AF1630">
        <v>68</v>
      </c>
      <c r="AG1630">
        <v>174</v>
      </c>
      <c r="AH1630">
        <v>-6</v>
      </c>
    </row>
    <row r="1631" spans="1:38" ht="18.75" customHeight="1" x14ac:dyDescent="0.3">
      <c r="A1631" s="1">
        <v>2019132702103</v>
      </c>
      <c r="B1631" t="s">
        <v>106</v>
      </c>
      <c r="C1631" t="s">
        <v>4528</v>
      </c>
      <c r="D1631" t="s">
        <v>4519</v>
      </c>
      <c r="E1631" t="s">
        <v>1874</v>
      </c>
      <c r="F1631" t="s">
        <v>4529</v>
      </c>
      <c r="G1631">
        <v>43775</v>
      </c>
      <c r="H1631">
        <v>44500</v>
      </c>
      <c r="I1631">
        <v>44500</v>
      </c>
      <c r="J1631">
        <v>46095</v>
      </c>
      <c r="L1631" t="s">
        <v>263</v>
      </c>
      <c r="M1631" t="s">
        <v>264</v>
      </c>
      <c r="N1631" t="s">
        <v>127</v>
      </c>
      <c r="O1631" t="s">
        <v>1237</v>
      </c>
      <c r="R1631">
        <v>1</v>
      </c>
      <c r="S1631">
        <v>0</v>
      </c>
      <c r="T1631">
        <v>0</v>
      </c>
      <c r="U1631" t="s">
        <v>4530</v>
      </c>
      <c r="W1631">
        <v>30011041303375</v>
      </c>
      <c r="X1631">
        <v>36834</v>
      </c>
      <c r="Y1631" t="s">
        <v>153</v>
      </c>
      <c r="Z1631">
        <v>0</v>
      </c>
      <c r="AA1631">
        <v>0</v>
      </c>
      <c r="AB1631">
        <v>0</v>
      </c>
      <c r="AF1631">
        <v>64</v>
      </c>
      <c r="AG1631">
        <v>176</v>
      </c>
      <c r="AH1631">
        <v>-12</v>
      </c>
    </row>
    <row r="1632" spans="1:38" ht="18.75" customHeight="1" x14ac:dyDescent="0.3">
      <c r="A1632" s="1">
        <v>2019131807813</v>
      </c>
      <c r="B1632" t="s">
        <v>125</v>
      </c>
      <c r="C1632" t="s">
        <v>4531</v>
      </c>
      <c r="D1632" t="s">
        <v>4463</v>
      </c>
      <c r="E1632" t="s">
        <v>1874</v>
      </c>
      <c r="F1632">
        <v>159</v>
      </c>
      <c r="G1632">
        <v>43692</v>
      </c>
      <c r="H1632">
        <v>44482</v>
      </c>
      <c r="I1632">
        <v>44482</v>
      </c>
      <c r="K1632">
        <v>44522</v>
      </c>
      <c r="L1632" t="s">
        <v>45</v>
      </c>
      <c r="M1632" t="s">
        <v>46</v>
      </c>
      <c r="N1632" t="s">
        <v>727</v>
      </c>
      <c r="O1632" t="s">
        <v>308</v>
      </c>
      <c r="P1632" t="s">
        <v>49</v>
      </c>
      <c r="R1632">
        <v>0</v>
      </c>
      <c r="S1632">
        <v>0</v>
      </c>
      <c r="T1632">
        <v>0</v>
      </c>
      <c r="U1632">
        <v>1146770768</v>
      </c>
      <c r="V1632" t="s">
        <v>4532</v>
      </c>
      <c r="W1632">
        <v>30211202500833</v>
      </c>
      <c r="X1632">
        <v>37580</v>
      </c>
      <c r="Y1632" t="s">
        <v>786</v>
      </c>
      <c r="AF1632">
        <v>91</v>
      </c>
      <c r="AG1632">
        <v>190</v>
      </c>
      <c r="AH1632">
        <v>1</v>
      </c>
    </row>
    <row r="1633" spans="1:36" ht="18.75" customHeight="1" x14ac:dyDescent="0.3">
      <c r="A1633" s="1">
        <v>2018131807568</v>
      </c>
      <c r="B1633" t="s">
        <v>106</v>
      </c>
      <c r="C1633" t="s">
        <v>4533</v>
      </c>
      <c r="D1633" t="s">
        <v>1878</v>
      </c>
      <c r="E1633" t="s">
        <v>1874</v>
      </c>
      <c r="F1633">
        <v>158</v>
      </c>
      <c r="G1633">
        <v>43279</v>
      </c>
      <c r="H1633">
        <v>44115</v>
      </c>
      <c r="I1633">
        <v>46023</v>
      </c>
      <c r="K1633">
        <v>44459</v>
      </c>
      <c r="L1633" t="s">
        <v>45</v>
      </c>
      <c r="M1633" t="s">
        <v>726</v>
      </c>
      <c r="N1633" t="s">
        <v>127</v>
      </c>
      <c r="O1633" t="s">
        <v>4534</v>
      </c>
      <c r="P1633" t="s">
        <v>49</v>
      </c>
      <c r="R1633">
        <v>10</v>
      </c>
      <c r="S1633">
        <v>0</v>
      </c>
      <c r="U1633">
        <v>1277955053</v>
      </c>
      <c r="V1633" t="s">
        <v>4535</v>
      </c>
      <c r="W1633">
        <v>30209101400051</v>
      </c>
      <c r="X1633">
        <v>37509</v>
      </c>
      <c r="Y1633" t="s">
        <v>550</v>
      </c>
      <c r="AF1633">
        <v>67</v>
      </c>
      <c r="AG1633">
        <v>172</v>
      </c>
      <c r="AH1633">
        <v>-5</v>
      </c>
    </row>
    <row r="1634" spans="1:36" ht="18.75" customHeight="1" x14ac:dyDescent="0.3">
      <c r="A1634" s="1">
        <v>2019138316198</v>
      </c>
      <c r="B1634" t="s">
        <v>125</v>
      </c>
      <c r="C1634" t="s">
        <v>4536</v>
      </c>
      <c r="D1634" t="s">
        <v>1878</v>
      </c>
      <c r="E1634" t="s">
        <v>1874</v>
      </c>
      <c r="F1634">
        <v>159</v>
      </c>
      <c r="G1634">
        <v>43692</v>
      </c>
      <c r="H1634">
        <v>44482</v>
      </c>
      <c r="I1634">
        <v>44482</v>
      </c>
      <c r="K1634">
        <v>45588</v>
      </c>
      <c r="L1634" t="s">
        <v>135</v>
      </c>
      <c r="M1634" t="s">
        <v>726</v>
      </c>
      <c r="N1634" t="s">
        <v>127</v>
      </c>
      <c r="O1634" t="s">
        <v>1105</v>
      </c>
      <c r="P1634" t="s">
        <v>49</v>
      </c>
      <c r="R1634">
        <v>1</v>
      </c>
      <c r="S1634">
        <v>0</v>
      </c>
      <c r="T1634">
        <v>0</v>
      </c>
      <c r="U1634" t="s">
        <v>4537</v>
      </c>
      <c r="W1634">
        <v>29901011219132</v>
      </c>
      <c r="X1634">
        <v>36161</v>
      </c>
      <c r="Y1634" t="s">
        <v>103</v>
      </c>
      <c r="AF1634">
        <v>74</v>
      </c>
      <c r="AG1634">
        <v>177</v>
      </c>
      <c r="AH1634">
        <v>-3</v>
      </c>
    </row>
    <row r="1635" spans="1:36" ht="18.75" customHeight="1" x14ac:dyDescent="0.3">
      <c r="A1635" s="1">
        <v>2019131807730</v>
      </c>
      <c r="B1635" t="s">
        <v>125</v>
      </c>
      <c r="C1635" t="s">
        <v>4538</v>
      </c>
      <c r="D1635" t="s">
        <v>4539</v>
      </c>
      <c r="E1635" t="s">
        <v>1874</v>
      </c>
      <c r="F1635">
        <v>159</v>
      </c>
      <c r="G1635">
        <v>43692</v>
      </c>
      <c r="H1635">
        <v>44482</v>
      </c>
      <c r="I1635">
        <v>44482</v>
      </c>
      <c r="J1635">
        <v>44515</v>
      </c>
      <c r="K1635">
        <v>44515</v>
      </c>
      <c r="L1635" t="s">
        <v>45</v>
      </c>
      <c r="M1635" t="s">
        <v>46</v>
      </c>
      <c r="N1635" t="s">
        <v>727</v>
      </c>
      <c r="O1635" t="s">
        <v>308</v>
      </c>
      <c r="P1635" t="s">
        <v>49</v>
      </c>
      <c r="R1635">
        <v>1</v>
      </c>
      <c r="S1635">
        <v>0</v>
      </c>
      <c r="T1635">
        <v>0</v>
      </c>
      <c r="U1635">
        <v>1147956202</v>
      </c>
      <c r="W1635">
        <v>30111012603194</v>
      </c>
      <c r="X1635">
        <v>37196</v>
      </c>
      <c r="Y1635" t="s">
        <v>153</v>
      </c>
      <c r="Z1635">
        <v>0</v>
      </c>
      <c r="AA1635">
        <v>0</v>
      </c>
      <c r="AB1635">
        <v>0</v>
      </c>
      <c r="AC1635" t="s">
        <v>4540</v>
      </c>
      <c r="AD1635" t="s">
        <v>4541</v>
      </c>
      <c r="AE1635" t="s">
        <v>1257</v>
      </c>
      <c r="AF1635">
        <v>80</v>
      </c>
      <c r="AG1635">
        <v>185</v>
      </c>
      <c r="AJ1635" t="s">
        <v>298</v>
      </c>
    </row>
    <row r="1636" spans="1:36" ht="18.75" customHeight="1" x14ac:dyDescent="0.3">
      <c r="A1636" s="1">
        <v>2013138309046</v>
      </c>
      <c r="B1636" t="s">
        <v>75</v>
      </c>
      <c r="C1636" t="s">
        <v>4542</v>
      </c>
      <c r="D1636" t="s">
        <v>4543</v>
      </c>
      <c r="E1636" t="s">
        <v>1874</v>
      </c>
      <c r="F1636">
        <v>50</v>
      </c>
      <c r="G1636">
        <v>41510</v>
      </c>
      <c r="H1636">
        <v>41982</v>
      </c>
      <c r="I1636">
        <v>45658</v>
      </c>
      <c r="J1636">
        <v>45588</v>
      </c>
      <c r="L1636" t="s">
        <v>135</v>
      </c>
      <c r="M1636" t="s">
        <v>554</v>
      </c>
      <c r="N1636" t="s">
        <v>127</v>
      </c>
      <c r="O1636" t="s">
        <v>579</v>
      </c>
      <c r="Q1636" t="s">
        <v>4544</v>
      </c>
      <c r="R1636">
        <v>2</v>
      </c>
      <c r="S1636">
        <v>0</v>
      </c>
      <c r="T1636">
        <v>0</v>
      </c>
      <c r="U1636" t="s">
        <v>4545</v>
      </c>
      <c r="W1636">
        <v>29409281604214</v>
      </c>
      <c r="X1636">
        <v>34605</v>
      </c>
      <c r="Y1636" t="s">
        <v>51</v>
      </c>
      <c r="AB1636">
        <v>2</v>
      </c>
      <c r="AF1636">
        <v>75</v>
      </c>
      <c r="AG1636">
        <v>184</v>
      </c>
      <c r="AH1636">
        <v>-9</v>
      </c>
    </row>
    <row r="1637" spans="1:36" ht="18.75" customHeight="1" x14ac:dyDescent="0.3">
      <c r="A1637" s="1">
        <v>2014138304698</v>
      </c>
      <c r="B1637" t="s">
        <v>75</v>
      </c>
      <c r="C1637" t="s">
        <v>4546</v>
      </c>
      <c r="D1637" t="s">
        <v>4543</v>
      </c>
      <c r="E1637" t="s">
        <v>1874</v>
      </c>
      <c r="F1637">
        <v>151</v>
      </c>
      <c r="G1637">
        <v>41655</v>
      </c>
      <c r="H1637">
        <v>42135</v>
      </c>
      <c r="I1637">
        <v>45788</v>
      </c>
      <c r="J1637">
        <v>44853</v>
      </c>
      <c r="L1637" t="s">
        <v>135</v>
      </c>
      <c r="M1637" t="s">
        <v>554</v>
      </c>
      <c r="N1637" t="s">
        <v>127</v>
      </c>
      <c r="O1637" t="s">
        <v>579</v>
      </c>
      <c r="Q1637" t="s">
        <v>4544</v>
      </c>
      <c r="R1637">
        <v>10</v>
      </c>
      <c r="S1637">
        <v>0</v>
      </c>
      <c r="T1637">
        <v>0</v>
      </c>
      <c r="U1637" t="s">
        <v>4547</v>
      </c>
      <c r="W1637">
        <v>29303241700978</v>
      </c>
      <c r="X1637">
        <v>34052</v>
      </c>
      <c r="Y1637" t="s">
        <v>51</v>
      </c>
      <c r="AB1637">
        <v>2</v>
      </c>
      <c r="AF1637">
        <v>85</v>
      </c>
      <c r="AG1637">
        <v>182</v>
      </c>
      <c r="AH1637">
        <v>3</v>
      </c>
    </row>
    <row r="1638" spans="1:36" ht="18.75" customHeight="1" x14ac:dyDescent="0.3">
      <c r="A1638" s="1">
        <v>2015138301296</v>
      </c>
      <c r="B1638" t="s">
        <v>106</v>
      </c>
      <c r="C1638" t="s">
        <v>4548</v>
      </c>
      <c r="D1638" t="s">
        <v>4543</v>
      </c>
      <c r="E1638" t="s">
        <v>1874</v>
      </c>
      <c r="F1638">
        <v>153</v>
      </c>
      <c r="G1638">
        <v>42030</v>
      </c>
      <c r="H1638">
        <v>44327</v>
      </c>
      <c r="I1638">
        <v>44378</v>
      </c>
      <c r="L1638" t="s">
        <v>135</v>
      </c>
      <c r="M1638" t="s">
        <v>554</v>
      </c>
      <c r="N1638" t="s">
        <v>127</v>
      </c>
      <c r="O1638" t="s">
        <v>1105</v>
      </c>
      <c r="P1638" t="s">
        <v>4544</v>
      </c>
      <c r="R1638">
        <v>0</v>
      </c>
      <c r="S1638">
        <v>0</v>
      </c>
      <c r="T1638">
        <v>0</v>
      </c>
      <c r="U1638" t="s">
        <v>4549</v>
      </c>
      <c r="W1638">
        <v>29703011803636</v>
      </c>
      <c r="X1638">
        <v>26724</v>
      </c>
      <c r="Y1638" t="s">
        <v>51</v>
      </c>
      <c r="Z1638">
        <v>1</v>
      </c>
      <c r="AF1638">
        <v>79</v>
      </c>
      <c r="AG1638">
        <v>187</v>
      </c>
      <c r="AH1638">
        <v>-8</v>
      </c>
    </row>
    <row r="1639" spans="1:36" ht="18.75" customHeight="1" x14ac:dyDescent="0.3">
      <c r="A1639" s="1">
        <v>2015138312152</v>
      </c>
      <c r="B1639" t="s">
        <v>106</v>
      </c>
      <c r="C1639" t="s">
        <v>4550</v>
      </c>
      <c r="D1639" t="s">
        <v>4543</v>
      </c>
      <c r="E1639" t="s">
        <v>1874</v>
      </c>
      <c r="F1639">
        <v>54</v>
      </c>
      <c r="G1639">
        <v>42224</v>
      </c>
      <c r="H1639">
        <v>42790</v>
      </c>
      <c r="I1639">
        <v>44743</v>
      </c>
      <c r="J1639">
        <v>44495</v>
      </c>
      <c r="L1639" t="s">
        <v>135</v>
      </c>
      <c r="M1639" t="s">
        <v>554</v>
      </c>
      <c r="N1639" t="s">
        <v>127</v>
      </c>
      <c r="O1639" t="s">
        <v>579</v>
      </c>
      <c r="Q1639" t="s">
        <v>4544</v>
      </c>
      <c r="R1639">
        <v>0</v>
      </c>
      <c r="S1639">
        <v>0</v>
      </c>
      <c r="T1639">
        <v>0</v>
      </c>
      <c r="U1639" t="s">
        <v>4551</v>
      </c>
      <c r="W1639">
        <v>2015138312152</v>
      </c>
      <c r="X1639">
        <v>33752</v>
      </c>
      <c r="Y1639" t="s">
        <v>51</v>
      </c>
      <c r="AB1639">
        <v>2</v>
      </c>
      <c r="AF1639">
        <v>77</v>
      </c>
      <c r="AG1639">
        <v>177</v>
      </c>
      <c r="AH1639">
        <v>0</v>
      </c>
    </row>
    <row r="1640" spans="1:36" ht="18.75" customHeight="1" x14ac:dyDescent="0.3">
      <c r="A1640" s="1">
        <v>2015138327359</v>
      </c>
      <c r="B1640" t="s">
        <v>106</v>
      </c>
      <c r="C1640" t="s">
        <v>4552</v>
      </c>
      <c r="D1640" t="s">
        <v>4543</v>
      </c>
      <c r="E1640" t="s">
        <v>1874</v>
      </c>
      <c r="F1640">
        <v>155</v>
      </c>
      <c r="G1640">
        <v>42369</v>
      </c>
      <c r="H1640">
        <v>42932</v>
      </c>
      <c r="I1640">
        <v>44927</v>
      </c>
      <c r="J1640">
        <v>44804</v>
      </c>
      <c r="L1640" t="s">
        <v>135</v>
      </c>
      <c r="M1640" t="s">
        <v>554</v>
      </c>
      <c r="N1640" t="s">
        <v>127</v>
      </c>
      <c r="O1640" t="s">
        <v>579</v>
      </c>
      <c r="Q1640" t="s">
        <v>4544</v>
      </c>
      <c r="R1640">
        <v>0</v>
      </c>
      <c r="S1640">
        <v>0</v>
      </c>
      <c r="T1640">
        <v>0</v>
      </c>
      <c r="U1640" t="s">
        <v>4553</v>
      </c>
      <c r="W1640">
        <v>2015138327359</v>
      </c>
      <c r="X1640">
        <v>36161</v>
      </c>
      <c r="Y1640" t="s">
        <v>51</v>
      </c>
      <c r="AB1640">
        <v>1</v>
      </c>
      <c r="AF1640">
        <v>93</v>
      </c>
      <c r="AG1640">
        <v>186</v>
      </c>
      <c r="AH1640">
        <v>7</v>
      </c>
    </row>
    <row r="1641" spans="1:36" ht="18.75" customHeight="1" x14ac:dyDescent="0.3">
      <c r="A1641" s="1">
        <v>2015138327721</v>
      </c>
      <c r="B1641" t="s">
        <v>106</v>
      </c>
      <c r="C1641" t="s">
        <v>4554</v>
      </c>
      <c r="D1641" t="s">
        <v>4543</v>
      </c>
      <c r="E1641" t="s">
        <v>1874</v>
      </c>
      <c r="F1641">
        <v>155</v>
      </c>
      <c r="G1641">
        <v>42369</v>
      </c>
      <c r="H1641">
        <v>42932</v>
      </c>
      <c r="I1641">
        <v>44927</v>
      </c>
      <c r="J1641">
        <v>45940</v>
      </c>
      <c r="L1641" t="s">
        <v>135</v>
      </c>
      <c r="M1641" t="s">
        <v>554</v>
      </c>
      <c r="N1641" t="s">
        <v>127</v>
      </c>
      <c r="O1641" t="s">
        <v>2573</v>
      </c>
      <c r="Q1641" t="s">
        <v>4544</v>
      </c>
      <c r="R1641">
        <v>2</v>
      </c>
      <c r="S1641">
        <v>0</v>
      </c>
      <c r="T1641">
        <v>0</v>
      </c>
      <c r="U1641" t="s">
        <v>4555</v>
      </c>
      <c r="W1641">
        <v>2015138327721</v>
      </c>
      <c r="X1641">
        <v>33359</v>
      </c>
      <c r="Y1641" t="s">
        <v>51</v>
      </c>
      <c r="AB1641">
        <v>2</v>
      </c>
      <c r="AF1641">
        <v>84</v>
      </c>
      <c r="AG1641">
        <v>186</v>
      </c>
      <c r="AH1641">
        <v>-2</v>
      </c>
    </row>
    <row r="1642" spans="1:36" ht="18.75" customHeight="1" x14ac:dyDescent="0.3">
      <c r="A1642" s="1">
        <v>2017138308636</v>
      </c>
      <c r="B1642" t="s">
        <v>106</v>
      </c>
      <c r="C1642" t="s">
        <v>4556</v>
      </c>
      <c r="D1642" t="s">
        <v>4543</v>
      </c>
      <c r="E1642" t="s">
        <v>1874</v>
      </c>
      <c r="F1642">
        <v>157</v>
      </c>
      <c r="G1642">
        <v>42915</v>
      </c>
      <c r="H1642">
        <v>43663</v>
      </c>
      <c r="I1642">
        <v>45658</v>
      </c>
      <c r="J1642">
        <v>45593</v>
      </c>
      <c r="L1642" t="s">
        <v>135</v>
      </c>
      <c r="M1642" t="s">
        <v>554</v>
      </c>
      <c r="N1642" t="s">
        <v>127</v>
      </c>
      <c r="O1642" t="s">
        <v>579</v>
      </c>
      <c r="Q1642" t="s">
        <v>4544</v>
      </c>
      <c r="R1642">
        <v>1</v>
      </c>
      <c r="S1642">
        <v>0</v>
      </c>
      <c r="T1642">
        <v>0</v>
      </c>
      <c r="U1642" t="s">
        <v>4557</v>
      </c>
      <c r="W1642">
        <v>2017138308636</v>
      </c>
      <c r="X1642">
        <v>36497</v>
      </c>
      <c r="Y1642" t="s">
        <v>51</v>
      </c>
      <c r="AB1642">
        <v>0</v>
      </c>
      <c r="AF1642">
        <v>89</v>
      </c>
      <c r="AG1642">
        <v>193</v>
      </c>
      <c r="AH1642">
        <v>-4</v>
      </c>
    </row>
    <row r="1643" spans="1:36" ht="18.75" customHeight="1" x14ac:dyDescent="0.3">
      <c r="A1643" s="1">
        <v>2019138302668</v>
      </c>
      <c r="B1643" t="s">
        <v>125</v>
      </c>
      <c r="C1643" t="s">
        <v>4558</v>
      </c>
      <c r="D1643" t="s">
        <v>4559</v>
      </c>
      <c r="E1643" t="s">
        <v>1874</v>
      </c>
      <c r="F1643">
        <v>159</v>
      </c>
      <c r="G1643">
        <v>43692</v>
      </c>
      <c r="H1643">
        <v>44482</v>
      </c>
      <c r="I1643">
        <v>44482</v>
      </c>
      <c r="J1643">
        <v>44514</v>
      </c>
      <c r="L1643" t="s">
        <v>135</v>
      </c>
      <c r="M1643" t="s">
        <v>1592</v>
      </c>
      <c r="N1643" t="s">
        <v>127</v>
      </c>
      <c r="O1643" t="s">
        <v>4560</v>
      </c>
      <c r="P1643" t="s">
        <v>49</v>
      </c>
      <c r="R1643">
        <v>4</v>
      </c>
      <c r="S1643">
        <v>0</v>
      </c>
      <c r="T1643">
        <v>0</v>
      </c>
      <c r="U1643" t="s">
        <v>4561</v>
      </c>
      <c r="W1643">
        <v>29907012302678</v>
      </c>
      <c r="X1643">
        <v>36342</v>
      </c>
      <c r="Y1643" t="s">
        <v>153</v>
      </c>
      <c r="AA1643">
        <v>0</v>
      </c>
      <c r="AF1643">
        <v>81</v>
      </c>
      <c r="AG1643">
        <v>186</v>
      </c>
      <c r="AH1643">
        <v>-5</v>
      </c>
    </row>
    <row r="1644" spans="1:36" ht="18.75" customHeight="1" x14ac:dyDescent="0.3">
      <c r="A1644" s="1">
        <v>2021138310070</v>
      </c>
      <c r="B1644" t="s">
        <v>125</v>
      </c>
      <c r="C1644" t="s">
        <v>4562</v>
      </c>
      <c r="D1644" t="s">
        <v>4559</v>
      </c>
      <c r="E1644" t="s">
        <v>1874</v>
      </c>
      <c r="F1644">
        <v>161</v>
      </c>
      <c r="G1644">
        <v>44546</v>
      </c>
      <c r="H1644">
        <v>45581</v>
      </c>
      <c r="I1644">
        <v>45581</v>
      </c>
      <c r="J1644">
        <v>45585</v>
      </c>
      <c r="L1644" t="s">
        <v>135</v>
      </c>
      <c r="M1644" t="s">
        <v>1592</v>
      </c>
      <c r="N1644" t="s">
        <v>127</v>
      </c>
      <c r="O1644" t="s">
        <v>4563</v>
      </c>
      <c r="P1644" t="s">
        <v>49</v>
      </c>
      <c r="R1644">
        <v>0</v>
      </c>
      <c r="S1644">
        <v>0</v>
      </c>
      <c r="T1644">
        <v>0</v>
      </c>
      <c r="U1644" t="s">
        <v>4564</v>
      </c>
      <c r="W1644">
        <v>30210301801954</v>
      </c>
      <c r="X1644">
        <v>37532</v>
      </c>
      <c r="Y1644" t="s">
        <v>153</v>
      </c>
      <c r="AA1644">
        <v>0</v>
      </c>
      <c r="AF1644">
        <v>79</v>
      </c>
      <c r="AG1644">
        <v>181</v>
      </c>
      <c r="AH1644">
        <v>-2</v>
      </c>
    </row>
    <row r="1645" spans="1:36" ht="18.75" customHeight="1" x14ac:dyDescent="0.3">
      <c r="A1645" s="1">
        <v>2021138317315</v>
      </c>
      <c r="B1645" t="s">
        <v>125</v>
      </c>
      <c r="C1645" t="s">
        <v>4565</v>
      </c>
      <c r="D1645" t="s">
        <v>4559</v>
      </c>
      <c r="E1645" t="s">
        <v>1874</v>
      </c>
      <c r="F1645">
        <v>161</v>
      </c>
      <c r="G1645">
        <v>44546</v>
      </c>
      <c r="H1645">
        <v>45581</v>
      </c>
      <c r="I1645">
        <v>45581</v>
      </c>
      <c r="J1645">
        <v>45585</v>
      </c>
      <c r="L1645" t="s">
        <v>135</v>
      </c>
      <c r="M1645" t="s">
        <v>1592</v>
      </c>
      <c r="N1645" t="s">
        <v>127</v>
      </c>
      <c r="O1645" t="s">
        <v>4560</v>
      </c>
      <c r="P1645" t="s">
        <v>49</v>
      </c>
      <c r="R1645">
        <v>0</v>
      </c>
      <c r="S1645">
        <v>0</v>
      </c>
      <c r="T1645">
        <v>0</v>
      </c>
      <c r="U1645" t="s">
        <v>4566</v>
      </c>
      <c r="W1645">
        <v>30403182201334</v>
      </c>
      <c r="X1645">
        <v>37333</v>
      </c>
      <c r="Y1645" t="s">
        <v>153</v>
      </c>
      <c r="AA1645">
        <v>0</v>
      </c>
      <c r="AF1645">
        <v>72</v>
      </c>
      <c r="AG1645">
        <v>180</v>
      </c>
      <c r="AH1645">
        <v>-8</v>
      </c>
    </row>
    <row r="1646" spans="1:36" ht="18.75" customHeight="1" x14ac:dyDescent="0.3">
      <c r="A1646" s="1">
        <v>2011132400125</v>
      </c>
      <c r="B1646" t="s">
        <v>75</v>
      </c>
      <c r="C1646" t="s">
        <v>4567</v>
      </c>
      <c r="D1646" t="s">
        <v>1892</v>
      </c>
      <c r="E1646" t="s">
        <v>1874</v>
      </c>
      <c r="F1646">
        <v>145</v>
      </c>
      <c r="G1646">
        <v>40558</v>
      </c>
      <c r="H1646">
        <v>41030</v>
      </c>
      <c r="I1646">
        <v>44743</v>
      </c>
      <c r="L1646" t="s">
        <v>135</v>
      </c>
      <c r="M1646" t="s">
        <v>1171</v>
      </c>
      <c r="N1646" t="s">
        <v>1172</v>
      </c>
      <c r="O1646" t="s">
        <v>4568</v>
      </c>
      <c r="P1646" t="s">
        <v>49</v>
      </c>
      <c r="R1646">
        <v>4</v>
      </c>
      <c r="S1646">
        <v>0</v>
      </c>
      <c r="T1646">
        <v>0</v>
      </c>
      <c r="U1646" t="s">
        <v>4569</v>
      </c>
      <c r="W1646">
        <v>28803301600314</v>
      </c>
      <c r="X1646">
        <v>32232</v>
      </c>
      <c r="Y1646" t="s">
        <v>103</v>
      </c>
      <c r="AF1646">
        <v>85</v>
      </c>
      <c r="AG1646">
        <v>180</v>
      </c>
      <c r="AH1646">
        <v>5</v>
      </c>
    </row>
    <row r="1647" spans="1:36" ht="18.75" customHeight="1" x14ac:dyDescent="0.3">
      <c r="A1647" s="1">
        <v>2015132400135</v>
      </c>
      <c r="B1647" t="s">
        <v>106</v>
      </c>
      <c r="C1647" t="s">
        <v>4570</v>
      </c>
      <c r="D1647" t="s">
        <v>1892</v>
      </c>
      <c r="E1647" t="s">
        <v>1874</v>
      </c>
      <c r="F1647">
        <v>153</v>
      </c>
      <c r="G1647">
        <v>42030</v>
      </c>
      <c r="H1647">
        <v>42501</v>
      </c>
      <c r="I1647">
        <v>44378</v>
      </c>
      <c r="L1647" t="s">
        <v>135</v>
      </c>
      <c r="M1647" t="s">
        <v>1171</v>
      </c>
      <c r="N1647" t="s">
        <v>1172</v>
      </c>
      <c r="O1647" t="s">
        <v>1297</v>
      </c>
      <c r="P1647" t="s">
        <v>49</v>
      </c>
      <c r="R1647">
        <v>4</v>
      </c>
      <c r="S1647">
        <v>0</v>
      </c>
      <c r="T1647">
        <v>0</v>
      </c>
      <c r="U1647" t="s">
        <v>4571</v>
      </c>
      <c r="W1647">
        <v>29810012314991</v>
      </c>
      <c r="X1647">
        <v>36069</v>
      </c>
      <c r="Y1647" t="s">
        <v>153</v>
      </c>
      <c r="AF1647">
        <v>75</v>
      </c>
      <c r="AG1647">
        <v>176</v>
      </c>
      <c r="AH1647">
        <v>-1</v>
      </c>
    </row>
    <row r="1648" spans="1:36" ht="18.75" customHeight="1" x14ac:dyDescent="0.3">
      <c r="A1648" s="1">
        <v>2017130900282</v>
      </c>
      <c r="B1648" t="s">
        <v>75</v>
      </c>
      <c r="C1648" t="s">
        <v>4572</v>
      </c>
      <c r="D1648" t="s">
        <v>1892</v>
      </c>
      <c r="E1648" t="s">
        <v>1874</v>
      </c>
      <c r="F1648">
        <v>157</v>
      </c>
      <c r="G1648">
        <v>42915</v>
      </c>
      <c r="H1648">
        <v>43663</v>
      </c>
      <c r="I1648">
        <v>45292</v>
      </c>
      <c r="K1648">
        <v>46074</v>
      </c>
      <c r="L1648" t="s">
        <v>4573</v>
      </c>
      <c r="M1648" t="s">
        <v>3228</v>
      </c>
      <c r="N1648" t="s">
        <v>3229</v>
      </c>
      <c r="O1648" t="s">
        <v>4574</v>
      </c>
      <c r="P1648" t="s">
        <v>49</v>
      </c>
      <c r="R1648">
        <v>1</v>
      </c>
      <c r="S1648">
        <v>0</v>
      </c>
      <c r="T1648">
        <v>0</v>
      </c>
      <c r="U1648" t="s">
        <v>4575</v>
      </c>
      <c r="W1648">
        <v>29412152200159</v>
      </c>
      <c r="X1648">
        <v>34683</v>
      </c>
      <c r="AF1648">
        <v>75</v>
      </c>
      <c r="AG1648">
        <v>170</v>
      </c>
      <c r="AH1648">
        <v>5</v>
      </c>
    </row>
    <row r="1649" spans="1:36" ht="18.75" customHeight="1" x14ac:dyDescent="0.3">
      <c r="A1649" s="1">
        <v>2018138302280</v>
      </c>
      <c r="B1649" t="s">
        <v>106</v>
      </c>
      <c r="C1649" t="s">
        <v>4576</v>
      </c>
      <c r="D1649" t="s">
        <v>1892</v>
      </c>
      <c r="E1649" t="s">
        <v>1874</v>
      </c>
      <c r="F1649">
        <v>158</v>
      </c>
      <c r="G1649">
        <v>43279</v>
      </c>
      <c r="H1649">
        <v>44117</v>
      </c>
      <c r="I1649">
        <v>46023</v>
      </c>
      <c r="L1649" t="s">
        <v>88</v>
      </c>
      <c r="M1649" t="s">
        <v>1171</v>
      </c>
      <c r="N1649" t="s">
        <v>47</v>
      </c>
      <c r="O1649" t="s">
        <v>2040</v>
      </c>
      <c r="Q1649" t="s">
        <v>49</v>
      </c>
      <c r="R1649">
        <v>7</v>
      </c>
      <c r="S1649">
        <v>0</v>
      </c>
      <c r="T1649">
        <v>1</v>
      </c>
      <c r="U1649" t="s">
        <v>4577</v>
      </c>
      <c r="V1649" t="s">
        <v>4578</v>
      </c>
      <c r="X1649">
        <v>36037</v>
      </c>
      <c r="Y1649" t="s">
        <v>103</v>
      </c>
      <c r="Z1649">
        <v>1</v>
      </c>
      <c r="AF1649">
        <v>75</v>
      </c>
      <c r="AG1649">
        <v>178</v>
      </c>
      <c r="AH1649">
        <v>-3</v>
      </c>
    </row>
    <row r="1650" spans="1:36" ht="18.75" customHeight="1" x14ac:dyDescent="0.3">
      <c r="A1650" s="1">
        <v>2019134703563</v>
      </c>
      <c r="B1650" t="s">
        <v>125</v>
      </c>
      <c r="C1650" t="s">
        <v>4579</v>
      </c>
      <c r="D1650" t="s">
        <v>1892</v>
      </c>
      <c r="E1650" t="s">
        <v>1874</v>
      </c>
      <c r="F1650">
        <v>159</v>
      </c>
      <c r="G1650">
        <v>43692</v>
      </c>
      <c r="H1650">
        <v>44209</v>
      </c>
      <c r="I1650">
        <v>44209</v>
      </c>
      <c r="M1650" t="s">
        <v>1546</v>
      </c>
      <c r="N1650" t="s">
        <v>47</v>
      </c>
      <c r="O1650" t="s">
        <v>4580</v>
      </c>
      <c r="P1650" t="s">
        <v>49</v>
      </c>
      <c r="R1650">
        <v>3</v>
      </c>
      <c r="S1650">
        <v>1</v>
      </c>
      <c r="T1650">
        <v>0</v>
      </c>
      <c r="U1650" t="s">
        <v>4581</v>
      </c>
      <c r="V1650" t="s">
        <v>4582</v>
      </c>
      <c r="X1650">
        <v>36532</v>
      </c>
      <c r="Y1650" t="s">
        <v>153</v>
      </c>
      <c r="Z1650">
        <v>0</v>
      </c>
      <c r="AF1650">
        <v>85</v>
      </c>
      <c r="AG1650">
        <v>189</v>
      </c>
      <c r="AH1650">
        <f>IF([2]!Table1[[#This Row],[الوزن]]&lt;&gt;"",[2]!Table1[[#This Row],[الوزن]]-([2]!Table1[[#This Row],[الطول]]-100),"")</f>
        <v>5</v>
      </c>
    </row>
    <row r="1651" spans="1:36" ht="18.75" customHeight="1" x14ac:dyDescent="0.3">
      <c r="A1651" s="1">
        <v>2000131800014</v>
      </c>
      <c r="B1651" t="s">
        <v>210</v>
      </c>
      <c r="C1651" t="s">
        <v>4583</v>
      </c>
      <c r="D1651" t="s">
        <v>4584</v>
      </c>
      <c r="E1651" t="s">
        <v>750</v>
      </c>
      <c r="I1651">
        <v>36661</v>
      </c>
      <c r="J1651">
        <v>44927</v>
      </c>
      <c r="K1651">
        <v>39655</v>
      </c>
      <c r="L1651" t="s">
        <v>135</v>
      </c>
      <c r="M1651" t="s">
        <v>46</v>
      </c>
      <c r="N1651" t="s">
        <v>727</v>
      </c>
      <c r="O1651" t="s">
        <v>4585</v>
      </c>
      <c r="P1651" t="s">
        <v>49</v>
      </c>
      <c r="R1651">
        <v>10</v>
      </c>
      <c r="S1651">
        <v>0</v>
      </c>
      <c r="T1651">
        <v>3</v>
      </c>
      <c r="U1651" t="s">
        <v>4586</v>
      </c>
      <c r="W1651">
        <v>28005181200852</v>
      </c>
      <c r="X1651">
        <v>29359</v>
      </c>
      <c r="Y1651" t="s">
        <v>103</v>
      </c>
      <c r="Z1651">
        <v>2</v>
      </c>
      <c r="AA1651">
        <v>1</v>
      </c>
      <c r="AB1651">
        <v>1</v>
      </c>
      <c r="AC1651" t="s">
        <v>154</v>
      </c>
      <c r="AD1651" t="s">
        <v>155</v>
      </c>
      <c r="AE1651" t="s">
        <v>118</v>
      </c>
      <c r="AF1651">
        <v>76</v>
      </c>
      <c r="AG1651">
        <v>171</v>
      </c>
    </row>
    <row r="1652" spans="1:36" ht="18.75" customHeight="1" x14ac:dyDescent="0.3">
      <c r="A1652" s="1">
        <v>2001131100305</v>
      </c>
      <c r="B1652" t="s">
        <v>210</v>
      </c>
      <c r="C1652" t="s">
        <v>4587</v>
      </c>
      <c r="D1652" t="s">
        <v>4588</v>
      </c>
      <c r="E1652" t="s">
        <v>1874</v>
      </c>
      <c r="AG1652" t="s">
        <v>787</v>
      </c>
    </row>
    <row r="1653" spans="1:36" ht="18.75" customHeight="1" x14ac:dyDescent="0.3">
      <c r="A1653" s="1">
        <v>2007134790010</v>
      </c>
      <c r="B1653" t="s">
        <v>40</v>
      </c>
      <c r="C1653" t="s">
        <v>4589</v>
      </c>
      <c r="D1653" t="s">
        <v>4588</v>
      </c>
      <c r="E1653" t="s">
        <v>1874</v>
      </c>
      <c r="AG1653" t="s">
        <v>787</v>
      </c>
    </row>
    <row r="1654" spans="1:36" ht="18.75" customHeight="1" x14ac:dyDescent="0.3">
      <c r="A1654" s="1">
        <v>2007138308744</v>
      </c>
      <c r="B1654" t="s">
        <v>57</v>
      </c>
      <c r="C1654" t="s">
        <v>4590</v>
      </c>
      <c r="D1654" t="s">
        <v>4588</v>
      </c>
      <c r="E1654" t="s">
        <v>1874</v>
      </c>
      <c r="F1654">
        <v>138</v>
      </c>
      <c r="G1654">
        <v>39284</v>
      </c>
      <c r="H1654">
        <v>39759</v>
      </c>
      <c r="I1654">
        <v>45292</v>
      </c>
      <c r="J1654">
        <v>45519</v>
      </c>
      <c r="K1654">
        <v>45519</v>
      </c>
      <c r="L1654" t="s">
        <v>771</v>
      </c>
      <c r="M1654" t="s">
        <v>136</v>
      </c>
      <c r="N1654" t="s">
        <v>127</v>
      </c>
      <c r="O1654" t="s">
        <v>4591</v>
      </c>
      <c r="R1654">
        <v>22</v>
      </c>
      <c r="S1654">
        <v>0</v>
      </c>
      <c r="T1654" t="s">
        <v>439</v>
      </c>
      <c r="U1654" t="s">
        <v>4592</v>
      </c>
      <c r="W1654">
        <v>29004101801335</v>
      </c>
      <c r="X1654">
        <v>32973</v>
      </c>
      <c r="Y1654" t="s">
        <v>338</v>
      </c>
      <c r="Z1654">
        <v>3</v>
      </c>
      <c r="AA1654">
        <v>1</v>
      </c>
      <c r="AB1654">
        <v>2</v>
      </c>
      <c r="AC1654" t="s">
        <v>4593</v>
      </c>
      <c r="AD1654" t="s">
        <v>4594</v>
      </c>
      <c r="AE1654" t="s">
        <v>1412</v>
      </c>
      <c r="AF1654">
        <v>89</v>
      </c>
      <c r="AG1654">
        <v>184</v>
      </c>
      <c r="AH1654">
        <v>5</v>
      </c>
      <c r="AJ1654" t="s">
        <v>4595</v>
      </c>
    </row>
    <row r="1655" spans="1:36" ht="18.75" customHeight="1" x14ac:dyDescent="0.3">
      <c r="A1655" s="1">
        <v>2012131100394</v>
      </c>
      <c r="B1655" t="s">
        <v>75</v>
      </c>
      <c r="C1655" t="s">
        <v>4596</v>
      </c>
      <c r="D1655" t="s">
        <v>4588</v>
      </c>
      <c r="E1655" t="s">
        <v>1874</v>
      </c>
      <c r="AG1655" t="s">
        <v>787</v>
      </c>
    </row>
    <row r="1656" spans="1:36" ht="18.75" customHeight="1" x14ac:dyDescent="0.3">
      <c r="A1656" s="1">
        <v>2012131100500</v>
      </c>
      <c r="B1656" t="s">
        <v>75</v>
      </c>
      <c r="C1656" t="s">
        <v>4597</v>
      </c>
      <c r="D1656" t="s">
        <v>4588</v>
      </c>
      <c r="E1656" t="s">
        <v>1874</v>
      </c>
      <c r="AG1656" t="s">
        <v>787</v>
      </c>
    </row>
    <row r="1657" spans="1:36" ht="18.75" customHeight="1" x14ac:dyDescent="0.3">
      <c r="A1657" s="1">
        <v>2014138300646</v>
      </c>
      <c r="B1657" t="s">
        <v>75</v>
      </c>
      <c r="C1657" t="s">
        <v>4598</v>
      </c>
      <c r="D1657" t="s">
        <v>4588</v>
      </c>
      <c r="E1657" t="s">
        <v>1874</v>
      </c>
      <c r="AG1657" t="s">
        <v>787</v>
      </c>
    </row>
    <row r="1658" spans="1:36" ht="18.75" customHeight="1" x14ac:dyDescent="0.3">
      <c r="A1658" s="1">
        <v>2014138310249</v>
      </c>
      <c r="B1658" t="s">
        <v>75</v>
      </c>
      <c r="C1658" t="s">
        <v>4599</v>
      </c>
      <c r="D1658" t="s">
        <v>4588</v>
      </c>
      <c r="E1658" t="s">
        <v>1874</v>
      </c>
      <c r="AG1658" t="s">
        <v>787</v>
      </c>
    </row>
    <row r="1659" spans="1:36" ht="18.75" customHeight="1" x14ac:dyDescent="0.3">
      <c r="A1659" s="1">
        <v>2015131100538</v>
      </c>
      <c r="B1659" t="s">
        <v>106</v>
      </c>
      <c r="C1659" t="s">
        <v>4600</v>
      </c>
      <c r="D1659" t="s">
        <v>4588</v>
      </c>
      <c r="E1659" t="s">
        <v>1874</v>
      </c>
      <c r="AG1659" t="s">
        <v>787</v>
      </c>
    </row>
    <row r="1660" spans="1:36" ht="18.75" customHeight="1" x14ac:dyDescent="0.3">
      <c r="A1660" s="1">
        <v>2015138310221</v>
      </c>
      <c r="B1660" t="s">
        <v>106</v>
      </c>
      <c r="C1660" t="s">
        <v>4601</v>
      </c>
      <c r="D1660" t="s">
        <v>4588</v>
      </c>
      <c r="E1660" t="s">
        <v>1874</v>
      </c>
      <c r="AG1660" t="s">
        <v>787</v>
      </c>
    </row>
    <row r="1661" spans="1:36" ht="18.75" customHeight="1" x14ac:dyDescent="0.3">
      <c r="A1661" s="1">
        <v>2017131801067</v>
      </c>
      <c r="B1661" t="s">
        <v>106</v>
      </c>
      <c r="C1661" t="s">
        <v>4602</v>
      </c>
      <c r="D1661" t="s">
        <v>4588</v>
      </c>
      <c r="E1661" t="s">
        <v>1874</v>
      </c>
      <c r="AG1661" t="s">
        <v>787</v>
      </c>
    </row>
    <row r="1662" spans="1:36" ht="18.75" customHeight="1" x14ac:dyDescent="0.3">
      <c r="A1662" s="1">
        <v>2017134703955</v>
      </c>
      <c r="B1662" t="s">
        <v>75</v>
      </c>
      <c r="C1662" t="s">
        <v>4603</v>
      </c>
      <c r="D1662" t="s">
        <v>4588</v>
      </c>
      <c r="E1662" t="s">
        <v>1874</v>
      </c>
      <c r="AG1662" t="s">
        <v>787</v>
      </c>
    </row>
    <row r="1663" spans="1:36" ht="18.75" customHeight="1" x14ac:dyDescent="0.3">
      <c r="A1663" s="1">
        <v>2017138303579</v>
      </c>
      <c r="B1663" t="s">
        <v>106</v>
      </c>
      <c r="C1663" t="s">
        <v>4604</v>
      </c>
      <c r="D1663" t="s">
        <v>4588</v>
      </c>
      <c r="E1663" t="s">
        <v>1874</v>
      </c>
      <c r="AG1663" t="s">
        <v>787</v>
      </c>
    </row>
    <row r="1664" spans="1:36" ht="18.75" customHeight="1" x14ac:dyDescent="0.3">
      <c r="A1664" s="1">
        <v>2019131100952</v>
      </c>
      <c r="B1664" t="s">
        <v>125</v>
      </c>
      <c r="C1664" t="s">
        <v>4605</v>
      </c>
      <c r="D1664" t="s">
        <v>4588</v>
      </c>
      <c r="E1664" t="s">
        <v>1874</v>
      </c>
      <c r="AG1664" t="s">
        <v>787</v>
      </c>
    </row>
    <row r="1665" spans="1:33" ht="18.75" customHeight="1" x14ac:dyDescent="0.3">
      <c r="A1665" s="1">
        <v>2019138310653</v>
      </c>
      <c r="B1665" t="s">
        <v>125</v>
      </c>
      <c r="C1665" t="s">
        <v>4606</v>
      </c>
      <c r="D1665" t="s">
        <v>4588</v>
      </c>
      <c r="E1665" t="s">
        <v>1874</v>
      </c>
      <c r="AG1665" t="s">
        <v>787</v>
      </c>
    </row>
    <row r="1666" spans="1:33" ht="18.75" customHeight="1" x14ac:dyDescent="0.3">
      <c r="A1666" s="1">
        <v>2019138310794</v>
      </c>
      <c r="B1666" t="s">
        <v>125</v>
      </c>
      <c r="C1666" t="s">
        <v>4607</v>
      </c>
      <c r="D1666" t="s">
        <v>4588</v>
      </c>
      <c r="E1666" t="s">
        <v>1874</v>
      </c>
      <c r="AG1666" t="s">
        <v>787</v>
      </c>
    </row>
    <row r="1667" spans="1:33" ht="18.75" customHeight="1" x14ac:dyDescent="0.3">
      <c r="A1667" s="1">
        <v>2021131100163</v>
      </c>
      <c r="B1667" t="s">
        <v>125</v>
      </c>
      <c r="C1667" t="s">
        <v>4608</v>
      </c>
      <c r="D1667" t="s">
        <v>4588</v>
      </c>
      <c r="E1667" t="s">
        <v>1874</v>
      </c>
      <c r="AG1667" t="s">
        <v>787</v>
      </c>
    </row>
    <row r="1668" spans="1:33" ht="18.75" customHeight="1" x14ac:dyDescent="0.3">
      <c r="A1668" s="1">
        <v>2021134704681</v>
      </c>
      <c r="B1668" t="s">
        <v>125</v>
      </c>
      <c r="C1668" t="s">
        <v>4609</v>
      </c>
      <c r="D1668" t="s">
        <v>4588</v>
      </c>
      <c r="E1668" t="s">
        <v>1874</v>
      </c>
      <c r="AG1668" t="s">
        <v>787</v>
      </c>
    </row>
    <row r="1669" spans="1:33" ht="18.75" customHeight="1" x14ac:dyDescent="0.3">
      <c r="A1669" s="1">
        <v>2021138300584</v>
      </c>
      <c r="B1669" t="s">
        <v>125</v>
      </c>
      <c r="C1669" t="s">
        <v>4610</v>
      </c>
      <c r="D1669" t="s">
        <v>4588</v>
      </c>
      <c r="E1669" t="s">
        <v>1874</v>
      </c>
      <c r="AG1669" t="s">
        <v>787</v>
      </c>
    </row>
    <row r="1670" spans="1:33" ht="18.75" customHeight="1" x14ac:dyDescent="0.3">
      <c r="A1670" s="1">
        <v>2023131100705</v>
      </c>
      <c r="B1670" t="s">
        <v>125</v>
      </c>
      <c r="C1670" t="s">
        <v>4611</v>
      </c>
      <c r="D1670" t="s">
        <v>4588</v>
      </c>
      <c r="E1670" t="s">
        <v>1874</v>
      </c>
      <c r="AG1670" t="s">
        <v>787</v>
      </c>
    </row>
    <row r="1671" spans="1:33" ht="18.75" customHeight="1" x14ac:dyDescent="0.3">
      <c r="A1671" s="1">
        <v>2003138304683</v>
      </c>
      <c r="B1671" t="s">
        <v>210</v>
      </c>
      <c r="C1671" t="s">
        <v>4612</v>
      </c>
      <c r="D1671" t="s">
        <v>4613</v>
      </c>
      <c r="E1671" t="s">
        <v>1874</v>
      </c>
      <c r="AG1671" t="s">
        <v>787</v>
      </c>
    </row>
    <row r="1672" spans="1:33" ht="18.75" customHeight="1" x14ac:dyDescent="0.3">
      <c r="A1672" s="1">
        <v>2010138300561</v>
      </c>
      <c r="B1672" t="s">
        <v>75</v>
      </c>
      <c r="C1672" t="s">
        <v>4614</v>
      </c>
      <c r="D1672" t="s">
        <v>4613</v>
      </c>
      <c r="E1672" t="s">
        <v>1874</v>
      </c>
      <c r="AG1672" t="s">
        <v>787</v>
      </c>
    </row>
    <row r="1673" spans="1:33" ht="18.75" customHeight="1" x14ac:dyDescent="0.3">
      <c r="A1673" s="1">
        <v>2010138304026</v>
      </c>
      <c r="B1673" t="s">
        <v>75</v>
      </c>
      <c r="C1673" t="s">
        <v>4615</v>
      </c>
      <c r="D1673" t="s">
        <v>4613</v>
      </c>
      <c r="E1673" t="s">
        <v>1874</v>
      </c>
      <c r="AG1673" t="s">
        <v>787</v>
      </c>
    </row>
    <row r="1674" spans="1:33" ht="18.75" customHeight="1" x14ac:dyDescent="0.3">
      <c r="A1674" s="1">
        <v>2012138306440</v>
      </c>
      <c r="B1674" t="s">
        <v>75</v>
      </c>
      <c r="C1674" t="s">
        <v>4616</v>
      </c>
      <c r="D1674" t="s">
        <v>4613</v>
      </c>
      <c r="E1674" t="s">
        <v>1874</v>
      </c>
      <c r="AG1674" t="s">
        <v>787</v>
      </c>
    </row>
    <row r="1675" spans="1:33" ht="18.75" customHeight="1" x14ac:dyDescent="0.3">
      <c r="A1675" s="1">
        <v>2012138311423</v>
      </c>
      <c r="B1675" t="s">
        <v>75</v>
      </c>
      <c r="C1675" t="s">
        <v>4617</v>
      </c>
      <c r="D1675" t="s">
        <v>4613</v>
      </c>
      <c r="E1675" t="s">
        <v>1874</v>
      </c>
      <c r="AG1675" t="s">
        <v>787</v>
      </c>
    </row>
    <row r="1676" spans="1:33" ht="18.75" customHeight="1" x14ac:dyDescent="0.3">
      <c r="A1676" s="1">
        <v>2013138312982</v>
      </c>
      <c r="B1676" t="s">
        <v>75</v>
      </c>
      <c r="C1676" t="s">
        <v>4618</v>
      </c>
      <c r="D1676" t="s">
        <v>4613</v>
      </c>
      <c r="E1676" t="s">
        <v>1874</v>
      </c>
      <c r="AG1676" t="s">
        <v>787</v>
      </c>
    </row>
    <row r="1677" spans="1:33" ht="18.75" customHeight="1" x14ac:dyDescent="0.3">
      <c r="A1677" s="1">
        <v>2013138318352</v>
      </c>
      <c r="B1677" t="s">
        <v>75</v>
      </c>
      <c r="C1677" t="s">
        <v>4619</v>
      </c>
      <c r="D1677" t="s">
        <v>4613</v>
      </c>
      <c r="E1677" t="s">
        <v>1874</v>
      </c>
      <c r="AG1677" t="s">
        <v>787</v>
      </c>
    </row>
    <row r="1678" spans="1:33" ht="18.75" customHeight="1" x14ac:dyDescent="0.3">
      <c r="A1678" s="1">
        <v>2014130401377</v>
      </c>
      <c r="B1678" t="s">
        <v>75</v>
      </c>
      <c r="C1678" t="s">
        <v>4620</v>
      </c>
      <c r="D1678" t="s">
        <v>4613</v>
      </c>
      <c r="E1678" t="s">
        <v>1874</v>
      </c>
      <c r="AG1678" t="s">
        <v>787</v>
      </c>
    </row>
    <row r="1679" spans="1:33" ht="18.75" customHeight="1" x14ac:dyDescent="0.3">
      <c r="A1679" s="1">
        <v>2014138316346</v>
      </c>
      <c r="B1679" t="s">
        <v>75</v>
      </c>
      <c r="C1679" t="s">
        <v>4621</v>
      </c>
      <c r="D1679" t="s">
        <v>4613</v>
      </c>
      <c r="E1679" t="s">
        <v>1874</v>
      </c>
      <c r="AG1679" t="s">
        <v>787</v>
      </c>
    </row>
    <row r="1680" spans="1:33" ht="18.75" customHeight="1" x14ac:dyDescent="0.3">
      <c r="A1680" s="1">
        <v>2014138317063</v>
      </c>
      <c r="B1680" t="s">
        <v>75</v>
      </c>
      <c r="C1680" t="s">
        <v>4622</v>
      </c>
      <c r="D1680" t="s">
        <v>4613</v>
      </c>
      <c r="E1680" t="s">
        <v>1874</v>
      </c>
      <c r="AG1680" t="s">
        <v>787</v>
      </c>
    </row>
    <row r="1681" spans="1:36" ht="18.75" customHeight="1" x14ac:dyDescent="0.3">
      <c r="A1681" s="1">
        <v>2015138301155</v>
      </c>
      <c r="B1681" t="s">
        <v>106</v>
      </c>
      <c r="C1681" t="s">
        <v>4623</v>
      </c>
      <c r="D1681" t="s">
        <v>4613</v>
      </c>
      <c r="E1681" t="s">
        <v>1874</v>
      </c>
      <c r="AG1681" t="s">
        <v>787</v>
      </c>
    </row>
    <row r="1682" spans="1:36" ht="18.75" customHeight="1" x14ac:dyDescent="0.3">
      <c r="A1682" s="1">
        <v>2017138300814</v>
      </c>
      <c r="B1682" t="s">
        <v>106</v>
      </c>
      <c r="C1682" t="s">
        <v>4624</v>
      </c>
      <c r="D1682" t="s">
        <v>4613</v>
      </c>
      <c r="E1682" t="s">
        <v>1874</v>
      </c>
      <c r="AG1682" t="s">
        <v>787</v>
      </c>
    </row>
    <row r="1683" spans="1:36" ht="18.75" customHeight="1" x14ac:dyDescent="0.3">
      <c r="A1683" s="1">
        <v>2017138313768</v>
      </c>
      <c r="B1683" t="s">
        <v>106</v>
      </c>
      <c r="C1683" t="s">
        <v>4625</v>
      </c>
      <c r="D1683" t="s">
        <v>4613</v>
      </c>
      <c r="E1683" t="s">
        <v>1874</v>
      </c>
      <c r="AG1683" t="s">
        <v>787</v>
      </c>
    </row>
    <row r="1684" spans="1:36" ht="18.75" customHeight="1" x14ac:dyDescent="0.3">
      <c r="A1684" s="1">
        <v>2002131800169</v>
      </c>
      <c r="B1684" t="s">
        <v>210</v>
      </c>
      <c r="C1684" t="s">
        <v>4626</v>
      </c>
      <c r="D1684" t="s">
        <v>4584</v>
      </c>
      <c r="E1684" t="s">
        <v>750</v>
      </c>
      <c r="G1684">
        <v>37328</v>
      </c>
      <c r="I1684">
        <v>45108</v>
      </c>
      <c r="J1684">
        <v>42544</v>
      </c>
      <c r="K1684">
        <v>44553</v>
      </c>
      <c r="L1684" t="s">
        <v>135</v>
      </c>
      <c r="M1684" t="s">
        <v>46</v>
      </c>
      <c r="N1684" t="s">
        <v>727</v>
      </c>
      <c r="O1684" t="s">
        <v>4585</v>
      </c>
      <c r="Q1684" t="s">
        <v>49</v>
      </c>
      <c r="R1684">
        <v>5</v>
      </c>
      <c r="S1684">
        <v>3</v>
      </c>
      <c r="T1684">
        <v>0</v>
      </c>
      <c r="U1684" t="s">
        <v>4627</v>
      </c>
      <c r="W1684">
        <v>27912011701494</v>
      </c>
      <c r="X1684">
        <v>29190</v>
      </c>
      <c r="Y1684" t="s">
        <v>103</v>
      </c>
      <c r="Z1684">
        <v>4</v>
      </c>
      <c r="AA1684">
        <v>3</v>
      </c>
      <c r="AB1684">
        <v>1</v>
      </c>
      <c r="AC1684" t="s">
        <v>4628</v>
      </c>
      <c r="AD1684" t="s">
        <v>347</v>
      </c>
      <c r="AE1684" t="s">
        <v>167</v>
      </c>
      <c r="AF1684">
        <v>76</v>
      </c>
      <c r="AG1684">
        <v>172</v>
      </c>
    </row>
    <row r="1685" spans="1:36" ht="18.75" customHeight="1" x14ac:dyDescent="0.3">
      <c r="A1685" s="1">
        <v>2019131801609</v>
      </c>
      <c r="B1685" t="s">
        <v>125</v>
      </c>
      <c r="C1685" t="s">
        <v>4629</v>
      </c>
      <c r="D1685" t="s">
        <v>4613</v>
      </c>
      <c r="E1685" t="s">
        <v>1874</v>
      </c>
      <c r="AG1685" t="s">
        <v>787</v>
      </c>
    </row>
    <row r="1686" spans="1:36" ht="18.75" customHeight="1" x14ac:dyDescent="0.3">
      <c r="A1686" s="1">
        <v>2021138304982</v>
      </c>
      <c r="B1686" t="s">
        <v>125</v>
      </c>
      <c r="C1686" t="s">
        <v>4630</v>
      </c>
      <c r="D1686" t="s">
        <v>4613</v>
      </c>
      <c r="E1686" t="s">
        <v>1874</v>
      </c>
      <c r="AG1686" t="s">
        <v>787</v>
      </c>
    </row>
    <row r="1687" spans="1:36" ht="18.75" customHeight="1" x14ac:dyDescent="0.3">
      <c r="A1687" s="1">
        <v>2005138302576</v>
      </c>
      <c r="B1687" t="s">
        <v>57</v>
      </c>
      <c r="C1687" t="s">
        <v>4631</v>
      </c>
      <c r="D1687" t="s">
        <v>4539</v>
      </c>
      <c r="E1687" t="s">
        <v>1874</v>
      </c>
      <c r="AG1687" t="s">
        <v>787</v>
      </c>
    </row>
    <row r="1688" spans="1:36" ht="18.75" customHeight="1" x14ac:dyDescent="0.3">
      <c r="A1688" s="1">
        <v>2006138303994</v>
      </c>
      <c r="B1688" t="s">
        <v>57</v>
      </c>
      <c r="C1688" t="s">
        <v>4632</v>
      </c>
      <c r="D1688" t="s">
        <v>4539</v>
      </c>
      <c r="E1688" t="s">
        <v>1874</v>
      </c>
      <c r="AG1688" t="s">
        <v>787</v>
      </c>
    </row>
    <row r="1689" spans="1:36" ht="18.75" customHeight="1" x14ac:dyDescent="0.3">
      <c r="A1689" s="1">
        <v>2010138310354</v>
      </c>
      <c r="B1689" t="s">
        <v>75</v>
      </c>
      <c r="C1689" t="s">
        <v>4633</v>
      </c>
      <c r="D1689" t="s">
        <v>4539</v>
      </c>
      <c r="E1689" t="s">
        <v>1874</v>
      </c>
      <c r="F1689">
        <v>144</v>
      </c>
      <c r="G1689">
        <v>40376</v>
      </c>
      <c r="H1689">
        <v>40850</v>
      </c>
      <c r="I1689">
        <v>44562</v>
      </c>
      <c r="J1689">
        <v>44153</v>
      </c>
      <c r="K1689">
        <v>45979</v>
      </c>
      <c r="L1689" t="s">
        <v>135</v>
      </c>
      <c r="M1689" t="s">
        <v>812</v>
      </c>
      <c r="N1689" t="s">
        <v>127</v>
      </c>
      <c r="O1689" t="s">
        <v>4634</v>
      </c>
      <c r="P1689" t="s">
        <v>49</v>
      </c>
      <c r="R1689">
        <v>8</v>
      </c>
      <c r="S1689">
        <v>2</v>
      </c>
      <c r="T1689" t="s">
        <v>439</v>
      </c>
      <c r="U1689" t="s">
        <v>4635</v>
      </c>
      <c r="W1689">
        <v>29111141701857</v>
      </c>
      <c r="X1689">
        <v>33556</v>
      </c>
      <c r="Y1689" t="s">
        <v>103</v>
      </c>
      <c r="Z1689">
        <v>2</v>
      </c>
      <c r="AA1689">
        <v>1</v>
      </c>
      <c r="AB1689">
        <v>1</v>
      </c>
      <c r="AC1689" t="s">
        <v>4636</v>
      </c>
      <c r="AD1689" t="s">
        <v>3985</v>
      </c>
      <c r="AE1689" t="s">
        <v>167</v>
      </c>
      <c r="AF1689">
        <v>90</v>
      </c>
      <c r="AG1689">
        <v>180</v>
      </c>
      <c r="AJ1689" t="s">
        <v>4637</v>
      </c>
    </row>
    <row r="1690" spans="1:36" ht="18.75" customHeight="1" x14ac:dyDescent="0.3">
      <c r="A1690" s="1">
        <v>2011138302507</v>
      </c>
      <c r="B1690" t="s">
        <v>75</v>
      </c>
      <c r="C1690" t="s">
        <v>4638</v>
      </c>
      <c r="D1690" t="s">
        <v>4539</v>
      </c>
      <c r="E1690" t="s">
        <v>1874</v>
      </c>
      <c r="F1690">
        <v>145</v>
      </c>
      <c r="G1690">
        <v>40558</v>
      </c>
      <c r="H1690">
        <v>41030</v>
      </c>
      <c r="I1690">
        <v>44927</v>
      </c>
      <c r="J1690">
        <v>43761</v>
      </c>
      <c r="K1690">
        <v>43761</v>
      </c>
      <c r="L1690" t="s">
        <v>45</v>
      </c>
      <c r="M1690" t="s">
        <v>812</v>
      </c>
      <c r="N1690" t="s">
        <v>127</v>
      </c>
      <c r="O1690" t="s">
        <v>4639</v>
      </c>
      <c r="P1690" t="s">
        <v>49</v>
      </c>
      <c r="R1690">
        <v>13</v>
      </c>
      <c r="S1690">
        <v>2</v>
      </c>
      <c r="U1690" t="s">
        <v>4640</v>
      </c>
      <c r="W1690">
        <v>28907152600616</v>
      </c>
      <c r="X1690">
        <v>32704</v>
      </c>
      <c r="Y1690" t="s">
        <v>103</v>
      </c>
      <c r="Z1690">
        <v>2</v>
      </c>
      <c r="AA1690">
        <v>1</v>
      </c>
      <c r="AB1690">
        <v>0</v>
      </c>
      <c r="AC1690" t="s">
        <v>2013</v>
      </c>
      <c r="AD1690" t="s">
        <v>2382</v>
      </c>
      <c r="AE1690" t="s">
        <v>803</v>
      </c>
      <c r="AF1690">
        <v>75</v>
      </c>
      <c r="AG1690">
        <v>180</v>
      </c>
      <c r="AJ1690" t="s">
        <v>4641</v>
      </c>
    </row>
    <row r="1691" spans="1:36" ht="18.75" customHeight="1" x14ac:dyDescent="0.3">
      <c r="A1691" s="1">
        <v>2011138309967</v>
      </c>
      <c r="B1691" t="s">
        <v>75</v>
      </c>
      <c r="C1691" t="s">
        <v>4642</v>
      </c>
      <c r="D1691" t="s">
        <v>4539</v>
      </c>
      <c r="E1691" t="s">
        <v>1874</v>
      </c>
      <c r="F1691">
        <v>146</v>
      </c>
      <c r="G1691">
        <v>40748</v>
      </c>
      <c r="H1691">
        <v>41223</v>
      </c>
      <c r="I1691">
        <v>44927</v>
      </c>
      <c r="J1691">
        <v>45895</v>
      </c>
      <c r="K1691">
        <v>45895</v>
      </c>
      <c r="L1691" t="s">
        <v>45</v>
      </c>
      <c r="M1691" t="s">
        <v>812</v>
      </c>
      <c r="N1691" t="s">
        <v>127</v>
      </c>
      <c r="O1691" t="s">
        <v>4639</v>
      </c>
      <c r="P1691" t="s">
        <v>49</v>
      </c>
      <c r="R1691">
        <v>12</v>
      </c>
      <c r="S1691">
        <v>0</v>
      </c>
      <c r="T1691" t="s">
        <v>439</v>
      </c>
      <c r="U1691" t="s">
        <v>4643</v>
      </c>
      <c r="W1691">
        <v>29311281301319</v>
      </c>
      <c r="X1691">
        <v>34301</v>
      </c>
      <c r="Y1691" t="s">
        <v>338</v>
      </c>
      <c r="Z1691">
        <v>3</v>
      </c>
      <c r="AA1691">
        <v>1</v>
      </c>
      <c r="AB1691">
        <v>2</v>
      </c>
      <c r="AC1691" t="s">
        <v>4644</v>
      </c>
      <c r="AD1691" t="s">
        <v>4645</v>
      </c>
      <c r="AE1691" t="s">
        <v>1418</v>
      </c>
      <c r="AF1691">
        <v>80</v>
      </c>
      <c r="AG1691">
        <v>185</v>
      </c>
      <c r="AI1691" t="s">
        <v>4646</v>
      </c>
      <c r="AJ1691" t="s">
        <v>4647</v>
      </c>
    </row>
    <row r="1692" spans="1:36" ht="18.75" customHeight="1" x14ac:dyDescent="0.3">
      <c r="A1692" s="1">
        <v>2012138313403</v>
      </c>
      <c r="B1692" t="s">
        <v>75</v>
      </c>
      <c r="C1692" t="s">
        <v>4648</v>
      </c>
      <c r="D1692" t="s">
        <v>4539</v>
      </c>
      <c r="E1692" t="s">
        <v>1874</v>
      </c>
      <c r="F1692">
        <v>148</v>
      </c>
      <c r="G1692">
        <v>41111</v>
      </c>
      <c r="H1692">
        <v>41593</v>
      </c>
      <c r="I1692">
        <v>45292</v>
      </c>
      <c r="J1692">
        <v>44147</v>
      </c>
      <c r="K1692">
        <v>45979</v>
      </c>
      <c r="L1692" t="s">
        <v>135</v>
      </c>
      <c r="M1692" t="s">
        <v>812</v>
      </c>
      <c r="N1692" t="s">
        <v>127</v>
      </c>
      <c r="O1692" t="s">
        <v>4634</v>
      </c>
      <c r="P1692" t="s">
        <v>49</v>
      </c>
      <c r="R1692">
        <v>10</v>
      </c>
      <c r="S1692">
        <v>0</v>
      </c>
      <c r="T1692" t="s">
        <v>439</v>
      </c>
      <c r="U1692" t="s">
        <v>4649</v>
      </c>
      <c r="W1692">
        <v>29303012609096</v>
      </c>
      <c r="X1692">
        <v>34029</v>
      </c>
      <c r="Y1692" t="s">
        <v>103</v>
      </c>
      <c r="Z1692">
        <v>1</v>
      </c>
      <c r="AA1692">
        <v>1</v>
      </c>
      <c r="AB1692">
        <v>0</v>
      </c>
      <c r="AC1692" t="s">
        <v>4650</v>
      </c>
      <c r="AD1692" t="s">
        <v>4541</v>
      </c>
      <c r="AE1692" t="s">
        <v>1257</v>
      </c>
      <c r="AF1692">
        <v>80</v>
      </c>
      <c r="AG1692">
        <v>185</v>
      </c>
      <c r="AJ1692" t="s">
        <v>4651</v>
      </c>
    </row>
    <row r="1693" spans="1:36" ht="18.75" customHeight="1" x14ac:dyDescent="0.3">
      <c r="A1693" s="1">
        <v>2013138302983</v>
      </c>
      <c r="B1693" t="s">
        <v>75</v>
      </c>
      <c r="C1693" t="s">
        <v>4652</v>
      </c>
      <c r="D1693" t="s">
        <v>4539</v>
      </c>
      <c r="E1693" t="s">
        <v>1874</v>
      </c>
      <c r="F1693">
        <v>149</v>
      </c>
      <c r="G1693">
        <v>41307</v>
      </c>
      <c r="H1693">
        <v>41772</v>
      </c>
      <c r="I1693">
        <v>45474</v>
      </c>
      <c r="J1693">
        <v>45979</v>
      </c>
      <c r="K1693">
        <v>45979</v>
      </c>
      <c r="L1693" t="s">
        <v>4653</v>
      </c>
      <c r="M1693" t="s">
        <v>812</v>
      </c>
      <c r="N1693" t="s">
        <v>127</v>
      </c>
      <c r="O1693" t="s">
        <v>4654</v>
      </c>
      <c r="P1693" t="s">
        <v>49</v>
      </c>
      <c r="R1693">
        <v>3</v>
      </c>
      <c r="U1693" t="s">
        <v>4655</v>
      </c>
      <c r="W1693">
        <v>29508101203932</v>
      </c>
      <c r="X1693">
        <v>34921</v>
      </c>
      <c r="Y1693" t="s">
        <v>103</v>
      </c>
      <c r="Z1693">
        <v>3</v>
      </c>
      <c r="AA1693">
        <v>1</v>
      </c>
      <c r="AB1693">
        <v>2</v>
      </c>
      <c r="AC1693" t="s">
        <v>4656</v>
      </c>
      <c r="AD1693" t="s">
        <v>117</v>
      </c>
      <c r="AE1693" t="s">
        <v>118</v>
      </c>
      <c r="AF1693">
        <v>80</v>
      </c>
      <c r="AG1693">
        <v>185</v>
      </c>
      <c r="AJ1693" t="s">
        <v>4657</v>
      </c>
    </row>
    <row r="1694" spans="1:36" ht="18.75" customHeight="1" x14ac:dyDescent="0.3">
      <c r="A1694" s="1">
        <v>2013138307587</v>
      </c>
      <c r="B1694" t="s">
        <v>75</v>
      </c>
      <c r="C1694" t="s">
        <v>4658</v>
      </c>
      <c r="D1694" t="s">
        <v>4539</v>
      </c>
      <c r="E1694" t="s">
        <v>1874</v>
      </c>
      <c r="F1694">
        <v>150</v>
      </c>
      <c r="G1694">
        <v>41510</v>
      </c>
      <c r="H1694">
        <v>41982</v>
      </c>
      <c r="I1694">
        <v>45658</v>
      </c>
      <c r="J1694">
        <v>44498</v>
      </c>
      <c r="K1694">
        <v>44498</v>
      </c>
      <c r="L1694" t="s">
        <v>771</v>
      </c>
      <c r="M1694" t="s">
        <v>812</v>
      </c>
      <c r="N1694" t="s">
        <v>127</v>
      </c>
      <c r="O1694" t="s">
        <v>1756</v>
      </c>
      <c r="P1694" t="s">
        <v>49</v>
      </c>
      <c r="R1694">
        <v>13</v>
      </c>
      <c r="U1694" t="s">
        <v>4659</v>
      </c>
      <c r="W1694">
        <v>2901208261179</v>
      </c>
      <c r="X1694">
        <v>33215</v>
      </c>
      <c r="Y1694" t="s">
        <v>103</v>
      </c>
      <c r="Z1694">
        <v>3</v>
      </c>
      <c r="AA1694">
        <v>2</v>
      </c>
      <c r="AB1694">
        <v>1</v>
      </c>
      <c r="AC1694" t="s">
        <v>4660</v>
      </c>
      <c r="AD1694" t="s">
        <v>4661</v>
      </c>
      <c r="AE1694" t="s">
        <v>803</v>
      </c>
      <c r="AF1694">
        <v>80</v>
      </c>
      <c r="AG1694">
        <v>185</v>
      </c>
      <c r="AJ1694" t="s">
        <v>4662</v>
      </c>
    </row>
    <row r="1695" spans="1:36" ht="18.75" customHeight="1" x14ac:dyDescent="0.3">
      <c r="A1695" s="1">
        <v>2013138308783</v>
      </c>
      <c r="B1695" t="s">
        <v>75</v>
      </c>
      <c r="C1695" t="s">
        <v>4663</v>
      </c>
      <c r="D1695" t="s">
        <v>4539</v>
      </c>
      <c r="E1695" t="s">
        <v>1874</v>
      </c>
      <c r="F1695">
        <v>150</v>
      </c>
      <c r="G1695">
        <v>41510</v>
      </c>
      <c r="H1695">
        <v>41982</v>
      </c>
      <c r="I1695">
        <v>45658</v>
      </c>
      <c r="J1695">
        <v>45697</v>
      </c>
      <c r="K1695">
        <v>45697</v>
      </c>
      <c r="L1695" t="s">
        <v>771</v>
      </c>
      <c r="M1695" t="s">
        <v>812</v>
      </c>
      <c r="N1695" t="s">
        <v>127</v>
      </c>
      <c r="O1695" t="s">
        <v>4664</v>
      </c>
      <c r="P1695" t="s">
        <v>49</v>
      </c>
      <c r="R1695">
        <v>7</v>
      </c>
      <c r="U1695" t="s">
        <v>4665</v>
      </c>
      <c r="W1695">
        <v>29210171700691</v>
      </c>
      <c r="X1695" t="s">
        <v>4666</v>
      </c>
      <c r="Y1695" t="s">
        <v>103</v>
      </c>
      <c r="Z1695">
        <v>2</v>
      </c>
      <c r="AA1695">
        <v>1</v>
      </c>
      <c r="AB1695">
        <v>1</v>
      </c>
      <c r="AC1695" t="s">
        <v>4667</v>
      </c>
      <c r="AD1695" t="s">
        <v>1629</v>
      </c>
      <c r="AE1695" t="s">
        <v>1394</v>
      </c>
      <c r="AF1695">
        <v>80</v>
      </c>
      <c r="AG1695">
        <v>185</v>
      </c>
      <c r="AJ1695" t="s">
        <v>4668</v>
      </c>
    </row>
    <row r="1696" spans="1:36" ht="18.75" customHeight="1" x14ac:dyDescent="0.3">
      <c r="A1696" s="1">
        <v>2013138309103</v>
      </c>
      <c r="B1696" t="s">
        <v>75</v>
      </c>
      <c r="C1696" t="s">
        <v>4669</v>
      </c>
      <c r="D1696" t="s">
        <v>4539</v>
      </c>
      <c r="E1696" t="s">
        <v>1874</v>
      </c>
      <c r="F1696">
        <v>150</v>
      </c>
      <c r="G1696">
        <v>41510</v>
      </c>
      <c r="H1696">
        <v>41982</v>
      </c>
      <c r="I1696">
        <v>45658</v>
      </c>
      <c r="J1696">
        <v>45055</v>
      </c>
      <c r="K1696">
        <v>45055</v>
      </c>
      <c r="L1696" t="s">
        <v>771</v>
      </c>
      <c r="M1696" t="s">
        <v>812</v>
      </c>
      <c r="N1696" t="s">
        <v>127</v>
      </c>
      <c r="O1696" t="s">
        <v>4664</v>
      </c>
      <c r="R1696">
        <v>0</v>
      </c>
      <c r="S1696" t="s">
        <v>4670</v>
      </c>
      <c r="T1696" t="s">
        <v>4670</v>
      </c>
      <c r="U1696" t="s">
        <v>4671</v>
      </c>
      <c r="W1696">
        <v>29509211701578</v>
      </c>
      <c r="X1696">
        <v>34963</v>
      </c>
      <c r="Y1696" t="s">
        <v>103</v>
      </c>
      <c r="Z1696">
        <v>1</v>
      </c>
      <c r="AA1696">
        <v>0</v>
      </c>
      <c r="AB1696">
        <v>1</v>
      </c>
      <c r="AC1696" t="s">
        <v>4672</v>
      </c>
      <c r="AD1696" t="s">
        <v>4673</v>
      </c>
      <c r="AE1696" t="s">
        <v>1394</v>
      </c>
      <c r="AF1696">
        <v>76</v>
      </c>
      <c r="AG1696">
        <v>182</v>
      </c>
      <c r="AJ1696" t="s">
        <v>4674</v>
      </c>
    </row>
    <row r="1697" spans="1:36" ht="18.75" customHeight="1" x14ac:dyDescent="0.3">
      <c r="A1697" s="1">
        <v>2014130400246</v>
      </c>
      <c r="B1697" t="s">
        <v>75</v>
      </c>
      <c r="C1697" t="s">
        <v>4675</v>
      </c>
      <c r="D1697" t="s">
        <v>4539</v>
      </c>
      <c r="E1697" t="s">
        <v>1874</v>
      </c>
      <c r="F1697">
        <v>151</v>
      </c>
      <c r="G1697">
        <v>41665</v>
      </c>
      <c r="H1697">
        <v>42326</v>
      </c>
      <c r="I1697">
        <v>46023</v>
      </c>
      <c r="J1697">
        <v>45645</v>
      </c>
      <c r="K1697">
        <v>45645</v>
      </c>
      <c r="L1697" t="s">
        <v>135</v>
      </c>
      <c r="M1697" t="s">
        <v>812</v>
      </c>
      <c r="N1697" t="s">
        <v>78</v>
      </c>
      <c r="O1697" t="s">
        <v>1782</v>
      </c>
      <c r="P1697" t="s">
        <v>49</v>
      </c>
      <c r="R1697">
        <v>5</v>
      </c>
      <c r="S1697">
        <v>0</v>
      </c>
      <c r="T1697" t="s">
        <v>439</v>
      </c>
      <c r="U1697" t="s">
        <v>4676</v>
      </c>
      <c r="W1697">
        <v>29704060201338</v>
      </c>
      <c r="X1697">
        <v>35526</v>
      </c>
      <c r="Y1697" t="s">
        <v>103</v>
      </c>
      <c r="Z1697">
        <v>1</v>
      </c>
      <c r="AA1697">
        <v>1</v>
      </c>
      <c r="AB1697">
        <v>0</v>
      </c>
      <c r="AC1697" t="s">
        <v>4677</v>
      </c>
      <c r="AD1697" t="s">
        <v>4678</v>
      </c>
      <c r="AE1697" t="s">
        <v>4679</v>
      </c>
      <c r="AF1697">
        <v>80</v>
      </c>
      <c r="AG1697">
        <v>185</v>
      </c>
      <c r="AJ1697" t="s">
        <v>4680</v>
      </c>
    </row>
    <row r="1698" spans="1:36" ht="18.75" customHeight="1" x14ac:dyDescent="0.3">
      <c r="A1698" s="1">
        <v>2015138300438</v>
      </c>
      <c r="B1698" t="s">
        <v>106</v>
      </c>
      <c r="C1698" t="s">
        <v>4681</v>
      </c>
      <c r="D1698" t="s">
        <v>4539</v>
      </c>
      <c r="E1698" t="s">
        <v>1874</v>
      </c>
      <c r="F1698">
        <v>153</v>
      </c>
      <c r="G1698">
        <v>42030</v>
      </c>
      <c r="H1698">
        <v>42501</v>
      </c>
      <c r="I1698">
        <v>44378</v>
      </c>
      <c r="J1698">
        <v>42698</v>
      </c>
      <c r="K1698">
        <v>44499</v>
      </c>
      <c r="L1698" t="s">
        <v>135</v>
      </c>
      <c r="M1698" t="s">
        <v>812</v>
      </c>
      <c r="N1698" t="s">
        <v>127</v>
      </c>
      <c r="O1698" t="s">
        <v>1756</v>
      </c>
      <c r="P1698" t="s">
        <v>49</v>
      </c>
      <c r="R1698">
        <v>2</v>
      </c>
      <c r="S1698">
        <v>0</v>
      </c>
      <c r="T1698" t="s">
        <v>439</v>
      </c>
      <c r="U1698" t="s">
        <v>4671</v>
      </c>
      <c r="W1698">
        <v>29602281800697</v>
      </c>
      <c r="X1698">
        <v>35123</v>
      </c>
      <c r="Y1698" t="s">
        <v>1392</v>
      </c>
      <c r="Z1698">
        <v>0</v>
      </c>
      <c r="AA1698">
        <v>0</v>
      </c>
      <c r="AB1698">
        <v>0</v>
      </c>
      <c r="AC1698" t="s">
        <v>4682</v>
      </c>
      <c r="AD1698" t="s">
        <v>489</v>
      </c>
      <c r="AE1698" t="s">
        <v>54</v>
      </c>
      <c r="AF1698">
        <v>185</v>
      </c>
      <c r="AG1698">
        <v>85</v>
      </c>
      <c r="AJ1698" t="s">
        <v>4683</v>
      </c>
    </row>
    <row r="1699" spans="1:36" ht="18.75" customHeight="1" x14ac:dyDescent="0.3">
      <c r="A1699" s="1">
        <v>2015138306048</v>
      </c>
      <c r="B1699" t="s">
        <v>106</v>
      </c>
      <c r="C1699" t="s">
        <v>4684</v>
      </c>
      <c r="D1699" t="s">
        <v>4539</v>
      </c>
      <c r="E1699" t="s">
        <v>1874</v>
      </c>
      <c r="F1699">
        <v>153</v>
      </c>
      <c r="G1699">
        <v>42030</v>
      </c>
      <c r="H1699">
        <v>42501</v>
      </c>
      <c r="I1699">
        <v>44378</v>
      </c>
      <c r="J1699">
        <v>42624</v>
      </c>
      <c r="K1699">
        <v>45181</v>
      </c>
      <c r="L1699" t="s">
        <v>135</v>
      </c>
      <c r="M1699" t="s">
        <v>812</v>
      </c>
      <c r="N1699" t="s">
        <v>127</v>
      </c>
      <c r="O1699" t="s">
        <v>1926</v>
      </c>
      <c r="P1699" t="s">
        <v>49</v>
      </c>
      <c r="R1699">
        <v>3</v>
      </c>
      <c r="U1699" t="s">
        <v>4685</v>
      </c>
      <c r="W1699">
        <v>29507011305471</v>
      </c>
      <c r="X1699">
        <v>34881</v>
      </c>
      <c r="Y1699" t="s">
        <v>767</v>
      </c>
      <c r="AC1699" t="s">
        <v>4686</v>
      </c>
      <c r="AD1699" t="s">
        <v>4687</v>
      </c>
      <c r="AE1699" t="s">
        <v>1418</v>
      </c>
      <c r="AF1699">
        <v>80</v>
      </c>
      <c r="AG1699">
        <v>185</v>
      </c>
      <c r="AI1699" t="s">
        <v>4688</v>
      </c>
      <c r="AJ1699" t="s">
        <v>4689</v>
      </c>
    </row>
    <row r="1700" spans="1:36" ht="18.75" customHeight="1" x14ac:dyDescent="0.3">
      <c r="A1700" s="1">
        <v>2016138303711</v>
      </c>
      <c r="B1700" t="s">
        <v>106</v>
      </c>
      <c r="C1700" t="s">
        <v>4690</v>
      </c>
      <c r="D1700" t="s">
        <v>4539</v>
      </c>
      <c r="E1700" t="s">
        <v>1874</v>
      </c>
      <c r="F1700">
        <v>156</v>
      </c>
      <c r="G1700">
        <v>42575</v>
      </c>
      <c r="H1700">
        <v>43321</v>
      </c>
      <c r="I1700">
        <v>45292</v>
      </c>
      <c r="J1700">
        <v>43382</v>
      </c>
      <c r="K1700">
        <v>45231</v>
      </c>
      <c r="L1700" t="s">
        <v>135</v>
      </c>
      <c r="M1700" t="s">
        <v>812</v>
      </c>
      <c r="N1700" t="s">
        <v>127</v>
      </c>
      <c r="O1700" t="s">
        <v>1926</v>
      </c>
      <c r="P1700" t="s">
        <v>49</v>
      </c>
      <c r="R1700">
        <v>4</v>
      </c>
      <c r="S1700">
        <v>0</v>
      </c>
      <c r="T1700">
        <v>0</v>
      </c>
      <c r="U1700" t="s">
        <v>4691</v>
      </c>
      <c r="W1700">
        <v>29708091602587</v>
      </c>
      <c r="X1700">
        <v>35638</v>
      </c>
      <c r="Y1700" t="s">
        <v>51</v>
      </c>
      <c r="Z1700">
        <v>1</v>
      </c>
      <c r="AA1700">
        <v>0</v>
      </c>
      <c r="AB1700">
        <v>1</v>
      </c>
      <c r="AC1700" t="s">
        <v>4692</v>
      </c>
      <c r="AD1700" t="s">
        <v>2742</v>
      </c>
      <c r="AE1700" t="s">
        <v>118</v>
      </c>
      <c r="AF1700">
        <v>80</v>
      </c>
      <c r="AG1700">
        <v>185</v>
      </c>
      <c r="AJ1700" t="s">
        <v>4693</v>
      </c>
    </row>
    <row r="1701" spans="1:36" ht="18.75" customHeight="1" x14ac:dyDescent="0.3">
      <c r="A1701" s="1">
        <v>2017138303727</v>
      </c>
      <c r="B1701" t="s">
        <v>106</v>
      </c>
      <c r="C1701" t="s">
        <v>4694</v>
      </c>
      <c r="D1701" t="s">
        <v>4539</v>
      </c>
      <c r="E1701" t="s">
        <v>1874</v>
      </c>
      <c r="F1701">
        <v>157</v>
      </c>
      <c r="G1701">
        <v>42915</v>
      </c>
      <c r="H1701">
        <v>43663</v>
      </c>
      <c r="I1701">
        <v>45658</v>
      </c>
      <c r="J1701">
        <v>45593</v>
      </c>
      <c r="K1701">
        <v>45593</v>
      </c>
      <c r="L1701" t="s">
        <v>45</v>
      </c>
      <c r="M1701" t="s">
        <v>812</v>
      </c>
      <c r="N1701" t="s">
        <v>127</v>
      </c>
      <c r="O1701" t="s">
        <v>1756</v>
      </c>
      <c r="P1701" t="s">
        <v>49</v>
      </c>
      <c r="Q1701" t="s">
        <v>49</v>
      </c>
      <c r="R1701">
        <v>4</v>
      </c>
      <c r="S1701">
        <v>0</v>
      </c>
      <c r="T1701">
        <v>0</v>
      </c>
      <c r="U1701" t="s">
        <v>4695</v>
      </c>
      <c r="W1701" t="s">
        <v>4696</v>
      </c>
      <c r="X1701">
        <v>36386</v>
      </c>
      <c r="Y1701" t="s">
        <v>153</v>
      </c>
      <c r="Z1701">
        <v>0</v>
      </c>
      <c r="AC1701" t="s">
        <v>4697</v>
      </c>
      <c r="AD1701" t="s">
        <v>4698</v>
      </c>
      <c r="AE1701" t="s">
        <v>118</v>
      </c>
      <c r="AF1701">
        <v>88</v>
      </c>
      <c r="AG1701">
        <v>188</v>
      </c>
      <c r="AH1701">
        <f>IF([2]!Table1[[#This Row],[الوزن]]&lt;&gt;"",[2]!Table1[[#This Row],[الوزن]]-([2]!Table1[[#This Row],[الطول]]-100),"")</f>
        <v>-5</v>
      </c>
      <c r="AJ1701" t="s">
        <v>4699</v>
      </c>
    </row>
    <row r="1702" spans="1:36" ht="18.75" customHeight="1" x14ac:dyDescent="0.3">
      <c r="A1702" s="1">
        <v>2018138304286</v>
      </c>
      <c r="B1702" t="s">
        <v>106</v>
      </c>
      <c r="C1702" t="s">
        <v>4700</v>
      </c>
      <c r="D1702" t="s">
        <v>4539</v>
      </c>
      <c r="E1702" t="s">
        <v>1874</v>
      </c>
      <c r="F1702">
        <v>158</v>
      </c>
      <c r="G1702">
        <v>43279</v>
      </c>
      <c r="H1702">
        <v>44117</v>
      </c>
      <c r="I1702">
        <v>46023</v>
      </c>
      <c r="J1702">
        <v>44117</v>
      </c>
      <c r="K1702">
        <v>45979</v>
      </c>
      <c r="L1702" t="s">
        <v>45</v>
      </c>
      <c r="M1702" t="s">
        <v>812</v>
      </c>
      <c r="N1702" t="s">
        <v>127</v>
      </c>
      <c r="O1702" t="s">
        <v>1926</v>
      </c>
      <c r="Q1702" t="s">
        <v>49</v>
      </c>
      <c r="R1702">
        <v>1</v>
      </c>
      <c r="S1702">
        <v>0</v>
      </c>
      <c r="T1702">
        <v>0</v>
      </c>
      <c r="U1702" t="s">
        <v>4701</v>
      </c>
      <c r="W1702">
        <v>30203232500339</v>
      </c>
      <c r="X1702">
        <v>37338</v>
      </c>
      <c r="Y1702" t="s">
        <v>153</v>
      </c>
      <c r="Z1702">
        <v>0</v>
      </c>
      <c r="AA1702">
        <v>0</v>
      </c>
      <c r="AB1702">
        <v>0</v>
      </c>
      <c r="AC1702" t="s">
        <v>4702</v>
      </c>
      <c r="AD1702" t="s">
        <v>1158</v>
      </c>
      <c r="AE1702" t="s">
        <v>43</v>
      </c>
      <c r="AF1702">
        <v>80</v>
      </c>
      <c r="AG1702">
        <v>185</v>
      </c>
      <c r="AJ1702" t="s">
        <v>4693</v>
      </c>
    </row>
    <row r="1703" spans="1:36" ht="18.75" customHeight="1" x14ac:dyDescent="0.3">
      <c r="A1703" s="1">
        <v>2018138312114</v>
      </c>
      <c r="B1703" t="s">
        <v>106</v>
      </c>
      <c r="C1703" t="s">
        <v>4703</v>
      </c>
      <c r="D1703" t="s">
        <v>4539</v>
      </c>
      <c r="E1703" t="s">
        <v>1874</v>
      </c>
      <c r="F1703">
        <v>158</v>
      </c>
      <c r="G1703">
        <v>43279</v>
      </c>
      <c r="H1703">
        <v>44117</v>
      </c>
      <c r="I1703">
        <v>44117</v>
      </c>
      <c r="J1703">
        <v>44993</v>
      </c>
      <c r="K1703">
        <v>44993</v>
      </c>
      <c r="L1703" t="s">
        <v>45</v>
      </c>
      <c r="M1703" t="s">
        <v>812</v>
      </c>
      <c r="N1703" t="s">
        <v>127</v>
      </c>
      <c r="O1703" t="s">
        <v>1926</v>
      </c>
      <c r="P1703" t="s">
        <v>49</v>
      </c>
      <c r="R1703">
        <v>2</v>
      </c>
      <c r="S1703">
        <v>0</v>
      </c>
      <c r="T1703">
        <v>0</v>
      </c>
      <c r="U1703" t="s">
        <v>4704</v>
      </c>
      <c r="W1703">
        <v>29910061200598</v>
      </c>
      <c r="X1703">
        <v>36439</v>
      </c>
      <c r="Y1703" t="s">
        <v>51</v>
      </c>
      <c r="Z1703">
        <v>0</v>
      </c>
      <c r="AA1703">
        <v>0</v>
      </c>
      <c r="AB1703">
        <v>0</v>
      </c>
      <c r="AC1703" t="s">
        <v>2890</v>
      </c>
      <c r="AD1703" t="s">
        <v>155</v>
      </c>
      <c r="AE1703" t="s">
        <v>118</v>
      </c>
      <c r="AF1703">
        <v>80</v>
      </c>
      <c r="AG1703">
        <v>185</v>
      </c>
      <c r="AJ1703" t="s">
        <v>4705</v>
      </c>
    </row>
    <row r="1704" spans="1:36" ht="18.75" customHeight="1" x14ac:dyDescent="0.3">
      <c r="A1704" s="1">
        <v>2019130403604</v>
      </c>
      <c r="B1704" t="s">
        <v>125</v>
      </c>
      <c r="C1704" t="s">
        <v>4706</v>
      </c>
      <c r="D1704" t="s">
        <v>4539</v>
      </c>
      <c r="E1704" t="s">
        <v>1874</v>
      </c>
      <c r="AG1704" t="s">
        <v>787</v>
      </c>
    </row>
    <row r="1705" spans="1:36" ht="18.75" customHeight="1" x14ac:dyDescent="0.3">
      <c r="A1705" s="1">
        <v>2010131800419</v>
      </c>
      <c r="B1705" t="s">
        <v>75</v>
      </c>
      <c r="C1705" t="s">
        <v>4707</v>
      </c>
      <c r="D1705" t="s">
        <v>4584</v>
      </c>
      <c r="E1705" t="s">
        <v>750</v>
      </c>
      <c r="F1705">
        <v>143</v>
      </c>
      <c r="G1705">
        <v>40194</v>
      </c>
      <c r="I1705">
        <v>44378</v>
      </c>
      <c r="J1705">
        <v>40567</v>
      </c>
      <c r="K1705">
        <v>44135</v>
      </c>
      <c r="L1705" t="s">
        <v>135</v>
      </c>
      <c r="M1705" t="s">
        <v>46</v>
      </c>
      <c r="N1705" t="s">
        <v>727</v>
      </c>
      <c r="O1705" t="s">
        <v>4585</v>
      </c>
      <c r="P1705" t="s">
        <v>49</v>
      </c>
      <c r="R1705">
        <v>1</v>
      </c>
      <c r="S1705">
        <v>0</v>
      </c>
      <c r="T1705">
        <v>1</v>
      </c>
      <c r="U1705" t="s">
        <v>4708</v>
      </c>
      <c r="W1705">
        <v>28803101700993</v>
      </c>
      <c r="X1705">
        <v>37805</v>
      </c>
      <c r="Y1705" t="s">
        <v>103</v>
      </c>
      <c r="Z1705">
        <v>3</v>
      </c>
      <c r="AA1705">
        <v>1</v>
      </c>
      <c r="AB1705">
        <v>2</v>
      </c>
      <c r="AC1705" t="s">
        <v>4709</v>
      </c>
      <c r="AD1705" t="s">
        <v>1629</v>
      </c>
      <c r="AE1705" t="s">
        <v>167</v>
      </c>
      <c r="AF1705">
        <v>73</v>
      </c>
      <c r="AG1705">
        <v>170</v>
      </c>
    </row>
    <row r="1706" spans="1:36" ht="18.75" customHeight="1" x14ac:dyDescent="0.3">
      <c r="A1706" s="1">
        <v>2019132200355</v>
      </c>
      <c r="B1706" t="s">
        <v>125</v>
      </c>
      <c r="C1706" t="s">
        <v>4710</v>
      </c>
      <c r="D1706" t="s">
        <v>4539</v>
      </c>
      <c r="E1706" t="s">
        <v>1874</v>
      </c>
      <c r="F1706">
        <v>159</v>
      </c>
      <c r="G1706">
        <v>43692</v>
      </c>
      <c r="H1706">
        <v>44482</v>
      </c>
      <c r="I1706">
        <v>44482</v>
      </c>
      <c r="J1706">
        <v>44966</v>
      </c>
      <c r="K1706">
        <v>44968</v>
      </c>
      <c r="L1706" t="s">
        <v>45</v>
      </c>
      <c r="M1706" t="s">
        <v>812</v>
      </c>
      <c r="N1706" t="s">
        <v>127</v>
      </c>
      <c r="O1706" t="s">
        <v>1756</v>
      </c>
      <c r="P1706" t="s">
        <v>49</v>
      </c>
      <c r="R1706">
        <v>2</v>
      </c>
      <c r="S1706">
        <v>0</v>
      </c>
      <c r="T1706">
        <v>0</v>
      </c>
      <c r="U1706">
        <v>1095395665</v>
      </c>
      <c r="W1706">
        <v>29904151803518</v>
      </c>
      <c r="X1706">
        <v>36265</v>
      </c>
      <c r="Y1706" t="s">
        <v>103</v>
      </c>
      <c r="Z1706">
        <v>1</v>
      </c>
      <c r="AA1706">
        <v>0</v>
      </c>
      <c r="AB1706">
        <v>1</v>
      </c>
      <c r="AC1706" t="s">
        <v>4711</v>
      </c>
      <c r="AD1706" t="s">
        <v>470</v>
      </c>
      <c r="AE1706" t="s">
        <v>54</v>
      </c>
      <c r="AF1706">
        <v>80</v>
      </c>
      <c r="AG1706">
        <v>185</v>
      </c>
      <c r="AJ1706" t="s">
        <v>4705</v>
      </c>
    </row>
    <row r="1707" spans="1:36" ht="18.75" customHeight="1" x14ac:dyDescent="0.3">
      <c r="A1707" s="1">
        <v>2019138315463</v>
      </c>
      <c r="B1707" t="s">
        <v>125</v>
      </c>
      <c r="C1707" t="s">
        <v>4712</v>
      </c>
      <c r="D1707" t="s">
        <v>4539</v>
      </c>
      <c r="E1707" t="s">
        <v>1874</v>
      </c>
      <c r="F1707">
        <v>160</v>
      </c>
      <c r="G1707">
        <v>44205</v>
      </c>
      <c r="H1707">
        <v>45197</v>
      </c>
      <c r="I1707">
        <v>45197</v>
      </c>
      <c r="J1707">
        <v>45240</v>
      </c>
      <c r="L1707" t="s">
        <v>45</v>
      </c>
      <c r="M1707" t="s">
        <v>812</v>
      </c>
      <c r="N1707" t="s">
        <v>127</v>
      </c>
      <c r="P1707" t="s">
        <v>49</v>
      </c>
      <c r="R1707">
        <v>0</v>
      </c>
      <c r="S1707">
        <v>0</v>
      </c>
      <c r="T1707">
        <v>0</v>
      </c>
      <c r="U1707" t="s">
        <v>4713</v>
      </c>
      <c r="W1707">
        <v>30205221500097</v>
      </c>
      <c r="X1707">
        <v>37398</v>
      </c>
      <c r="Y1707" t="s">
        <v>153</v>
      </c>
      <c r="Z1707">
        <v>0</v>
      </c>
      <c r="AA1707">
        <v>0</v>
      </c>
      <c r="AB1707">
        <v>0</v>
      </c>
      <c r="AC1707" t="s">
        <v>4714</v>
      </c>
      <c r="AD1707" t="s">
        <v>1146</v>
      </c>
      <c r="AE1707" t="s">
        <v>242</v>
      </c>
      <c r="AG1707" t="s">
        <v>787</v>
      </c>
    </row>
    <row r="1708" spans="1:36" ht="18.75" customHeight="1" x14ac:dyDescent="0.3">
      <c r="A1708" s="1">
        <v>2019138315538</v>
      </c>
      <c r="B1708" t="s">
        <v>125</v>
      </c>
      <c r="C1708" t="s">
        <v>4715</v>
      </c>
      <c r="D1708" t="s">
        <v>4539</v>
      </c>
      <c r="E1708" t="s">
        <v>1874</v>
      </c>
      <c r="F1708">
        <v>159</v>
      </c>
      <c r="G1708">
        <v>43692</v>
      </c>
      <c r="H1708">
        <v>44482</v>
      </c>
      <c r="I1708">
        <v>44482</v>
      </c>
      <c r="J1708">
        <v>44509</v>
      </c>
      <c r="K1708">
        <v>44509</v>
      </c>
      <c r="L1708" t="s">
        <v>135</v>
      </c>
      <c r="M1708" t="s">
        <v>812</v>
      </c>
      <c r="N1708" t="s">
        <v>127</v>
      </c>
      <c r="O1708" t="s">
        <v>1756</v>
      </c>
      <c r="P1708" t="s">
        <v>49</v>
      </c>
      <c r="R1708">
        <v>0</v>
      </c>
      <c r="S1708">
        <v>0</v>
      </c>
      <c r="T1708" t="s">
        <v>439</v>
      </c>
      <c r="U1708" t="s">
        <v>4716</v>
      </c>
      <c r="W1708">
        <v>29902042700153</v>
      </c>
      <c r="X1708">
        <v>36195</v>
      </c>
      <c r="Y1708" t="s">
        <v>153</v>
      </c>
      <c r="Z1708">
        <v>0</v>
      </c>
      <c r="AA1708">
        <v>0</v>
      </c>
      <c r="AB1708">
        <v>0</v>
      </c>
      <c r="AC1708" t="s">
        <v>4717</v>
      </c>
      <c r="AD1708" t="s">
        <v>391</v>
      </c>
      <c r="AE1708" t="s">
        <v>234</v>
      </c>
      <c r="AF1708">
        <v>70</v>
      </c>
      <c r="AG1708">
        <v>185</v>
      </c>
      <c r="AJ1708" t="s">
        <v>298</v>
      </c>
    </row>
    <row r="1709" spans="1:36" ht="18.75" customHeight="1" x14ac:dyDescent="0.3">
      <c r="A1709" s="1">
        <v>2019138317344</v>
      </c>
      <c r="B1709" t="s">
        <v>125</v>
      </c>
      <c r="C1709" t="s">
        <v>4718</v>
      </c>
      <c r="D1709" t="s">
        <v>4539</v>
      </c>
      <c r="E1709" t="s">
        <v>1874</v>
      </c>
      <c r="F1709">
        <v>159</v>
      </c>
      <c r="G1709">
        <v>43692</v>
      </c>
      <c r="H1709">
        <v>44482</v>
      </c>
      <c r="I1709">
        <v>44482</v>
      </c>
      <c r="J1709">
        <v>44509</v>
      </c>
      <c r="K1709">
        <v>44509</v>
      </c>
      <c r="L1709" t="s">
        <v>135</v>
      </c>
      <c r="M1709" t="s">
        <v>812</v>
      </c>
      <c r="N1709" t="s">
        <v>127</v>
      </c>
      <c r="O1709" t="s">
        <v>4719</v>
      </c>
      <c r="P1709" t="s">
        <v>49</v>
      </c>
      <c r="R1709">
        <v>2</v>
      </c>
      <c r="S1709">
        <v>0</v>
      </c>
      <c r="T1709" t="s">
        <v>439</v>
      </c>
      <c r="U1709" t="s">
        <v>4720</v>
      </c>
      <c r="W1709">
        <v>30003102100151</v>
      </c>
      <c r="X1709">
        <v>36595</v>
      </c>
      <c r="Y1709" t="s">
        <v>103</v>
      </c>
      <c r="Z1709">
        <v>1</v>
      </c>
      <c r="AA1709">
        <v>1</v>
      </c>
      <c r="AB1709">
        <v>0</v>
      </c>
      <c r="AC1709" t="s">
        <v>4721</v>
      </c>
      <c r="AD1709" t="s">
        <v>4721</v>
      </c>
      <c r="AE1709" t="s">
        <v>1520</v>
      </c>
      <c r="AF1709">
        <v>70</v>
      </c>
      <c r="AG1709">
        <v>185</v>
      </c>
      <c r="AJ1709" t="s">
        <v>298</v>
      </c>
    </row>
    <row r="1710" spans="1:36" ht="18.75" customHeight="1" x14ac:dyDescent="0.3">
      <c r="A1710" s="1">
        <v>2019138317419</v>
      </c>
      <c r="B1710" t="s">
        <v>125</v>
      </c>
      <c r="C1710" t="s">
        <v>4722</v>
      </c>
      <c r="D1710" t="s">
        <v>4539</v>
      </c>
      <c r="E1710" t="s">
        <v>1874</v>
      </c>
      <c r="F1710">
        <v>159</v>
      </c>
      <c r="G1710">
        <v>43692</v>
      </c>
      <c r="H1710">
        <v>44482</v>
      </c>
      <c r="I1710">
        <v>44482</v>
      </c>
      <c r="J1710">
        <v>44509</v>
      </c>
      <c r="K1710">
        <v>44509</v>
      </c>
      <c r="L1710" t="s">
        <v>135</v>
      </c>
      <c r="M1710" t="s">
        <v>812</v>
      </c>
      <c r="N1710" t="s">
        <v>127</v>
      </c>
      <c r="O1710" t="s">
        <v>4719</v>
      </c>
      <c r="P1710" t="s">
        <v>49</v>
      </c>
      <c r="R1710">
        <v>5</v>
      </c>
      <c r="U1710" t="s">
        <v>4723</v>
      </c>
      <c r="W1710">
        <v>3010310408355</v>
      </c>
      <c r="X1710">
        <v>36960</v>
      </c>
      <c r="Y1710" t="s">
        <v>103</v>
      </c>
      <c r="Z1710">
        <v>1</v>
      </c>
      <c r="AA1710">
        <v>1</v>
      </c>
      <c r="AC1710" t="s">
        <v>4724</v>
      </c>
      <c r="AD1710" t="s">
        <v>4257</v>
      </c>
      <c r="AE1710" t="s">
        <v>1423</v>
      </c>
      <c r="AF1710">
        <v>80</v>
      </c>
      <c r="AG1710">
        <v>185</v>
      </c>
    </row>
    <row r="1711" spans="1:36" ht="18.75" customHeight="1" x14ac:dyDescent="0.3">
      <c r="A1711" s="1">
        <v>2019138317443</v>
      </c>
      <c r="B1711" t="s">
        <v>125</v>
      </c>
      <c r="C1711" t="s">
        <v>4725</v>
      </c>
      <c r="D1711" t="s">
        <v>4539</v>
      </c>
      <c r="E1711" t="s">
        <v>1874</v>
      </c>
      <c r="F1711">
        <v>159</v>
      </c>
      <c r="G1711">
        <v>43692</v>
      </c>
      <c r="H1711">
        <v>44482</v>
      </c>
      <c r="I1711">
        <v>44482</v>
      </c>
      <c r="J1711">
        <v>44509</v>
      </c>
      <c r="K1711">
        <v>44509</v>
      </c>
      <c r="L1711" t="s">
        <v>135</v>
      </c>
      <c r="M1711" t="s">
        <v>812</v>
      </c>
      <c r="N1711" t="s">
        <v>127</v>
      </c>
      <c r="O1711" t="s">
        <v>4719</v>
      </c>
      <c r="P1711" t="s">
        <v>49</v>
      </c>
      <c r="R1711">
        <v>3</v>
      </c>
      <c r="S1711">
        <v>0</v>
      </c>
      <c r="T1711" t="s">
        <v>439</v>
      </c>
      <c r="U1711" t="s">
        <v>4726</v>
      </c>
      <c r="W1711">
        <v>29911032404193</v>
      </c>
      <c r="X1711">
        <v>36470</v>
      </c>
      <c r="Y1711" t="s">
        <v>51</v>
      </c>
      <c r="Z1711">
        <v>0</v>
      </c>
      <c r="AA1711">
        <v>0</v>
      </c>
      <c r="AB1711">
        <v>0</v>
      </c>
      <c r="AC1711" t="s">
        <v>692</v>
      </c>
      <c r="AD1711" t="s">
        <v>376</v>
      </c>
      <c r="AE1711" t="s">
        <v>4727</v>
      </c>
      <c r="AG1711" t="s">
        <v>787</v>
      </c>
      <c r="AJ1711" t="s">
        <v>298</v>
      </c>
    </row>
    <row r="1712" spans="1:36" ht="18.75" customHeight="1" x14ac:dyDescent="0.3">
      <c r="A1712" s="1">
        <v>2013131803615</v>
      </c>
      <c r="B1712" t="s">
        <v>75</v>
      </c>
      <c r="C1712" t="s">
        <v>4728</v>
      </c>
      <c r="D1712" t="s">
        <v>4584</v>
      </c>
      <c r="E1712" t="s">
        <v>750</v>
      </c>
      <c r="F1712">
        <v>150</v>
      </c>
      <c r="G1712">
        <v>41510</v>
      </c>
      <c r="I1712">
        <v>45658</v>
      </c>
      <c r="J1712">
        <v>41873</v>
      </c>
      <c r="K1712">
        <v>41873</v>
      </c>
      <c r="L1712" t="s">
        <v>135</v>
      </c>
      <c r="M1712" t="s">
        <v>46</v>
      </c>
      <c r="N1712" t="s">
        <v>727</v>
      </c>
      <c r="O1712" t="s">
        <v>4585</v>
      </c>
      <c r="Q1712" t="s">
        <v>49</v>
      </c>
      <c r="R1712">
        <v>2</v>
      </c>
      <c r="S1712">
        <v>0</v>
      </c>
      <c r="T1712">
        <v>0</v>
      </c>
      <c r="U1712" t="s">
        <v>4729</v>
      </c>
      <c r="W1712">
        <v>29407251801276</v>
      </c>
      <c r="X1712">
        <v>34540</v>
      </c>
      <c r="Y1712" t="s">
        <v>103</v>
      </c>
      <c r="Z1712">
        <v>2</v>
      </c>
      <c r="AA1712">
        <v>0</v>
      </c>
      <c r="AB1712">
        <v>2</v>
      </c>
      <c r="AC1712" t="s">
        <v>4730</v>
      </c>
      <c r="AD1712" t="s">
        <v>2265</v>
      </c>
      <c r="AE1712" t="s">
        <v>54</v>
      </c>
      <c r="AF1712">
        <v>80</v>
      </c>
      <c r="AG1712">
        <v>176</v>
      </c>
    </row>
    <row r="1713" spans="1:36" ht="18.75" customHeight="1" x14ac:dyDescent="0.3">
      <c r="A1713" s="1">
        <v>2021131808155</v>
      </c>
      <c r="B1713" t="s">
        <v>125</v>
      </c>
      <c r="C1713" t="s">
        <v>4731</v>
      </c>
      <c r="D1713" t="s">
        <v>4539</v>
      </c>
      <c r="E1713" t="s">
        <v>1874</v>
      </c>
      <c r="F1713">
        <v>160</v>
      </c>
      <c r="G1713">
        <v>44205</v>
      </c>
      <c r="H1713">
        <v>45197</v>
      </c>
      <c r="I1713">
        <v>45197</v>
      </c>
      <c r="L1713" t="s">
        <v>45</v>
      </c>
      <c r="M1713" t="s">
        <v>46</v>
      </c>
      <c r="N1713" t="s">
        <v>307</v>
      </c>
      <c r="O1713" t="s">
        <v>308</v>
      </c>
      <c r="Q1713" t="s">
        <v>49</v>
      </c>
      <c r="R1713">
        <v>0</v>
      </c>
      <c r="S1713">
        <v>0</v>
      </c>
      <c r="T1713">
        <v>0</v>
      </c>
      <c r="U1713">
        <v>1279052134</v>
      </c>
      <c r="W1713">
        <v>30301012204331</v>
      </c>
      <c r="X1713">
        <v>37622</v>
      </c>
      <c r="Y1713" t="s">
        <v>51</v>
      </c>
      <c r="AF1713">
        <v>66</v>
      </c>
      <c r="AG1713">
        <v>170</v>
      </c>
      <c r="AH1713">
        <f>IF([2]!Table1[[#This Row],[الوزن]]&lt;&gt;"",[2]!Table1[[#This Row],[الوزن]]-([2]!Table1[[#This Row],[الطول]]-100),"")</f>
        <v>0</v>
      </c>
    </row>
    <row r="1714" spans="1:36" ht="18.75" customHeight="1" x14ac:dyDescent="0.3">
      <c r="A1714" s="1">
        <v>2021138307324</v>
      </c>
      <c r="B1714" t="s">
        <v>125</v>
      </c>
      <c r="C1714" t="s">
        <v>4732</v>
      </c>
      <c r="D1714" t="s">
        <v>4539</v>
      </c>
      <c r="E1714" t="s">
        <v>1874</v>
      </c>
      <c r="F1714">
        <v>160</v>
      </c>
      <c r="G1714">
        <v>44205</v>
      </c>
      <c r="H1714">
        <v>45197</v>
      </c>
      <c r="I1714">
        <v>45197</v>
      </c>
      <c r="J1714">
        <v>45201</v>
      </c>
      <c r="K1714">
        <v>45201</v>
      </c>
      <c r="L1714" t="s">
        <v>45</v>
      </c>
      <c r="M1714" t="s">
        <v>812</v>
      </c>
      <c r="N1714" t="s">
        <v>127</v>
      </c>
      <c r="O1714" t="s">
        <v>1756</v>
      </c>
      <c r="P1714" t="s">
        <v>49</v>
      </c>
      <c r="R1714">
        <v>1</v>
      </c>
      <c r="S1714">
        <v>0</v>
      </c>
      <c r="T1714">
        <v>0</v>
      </c>
      <c r="U1714">
        <v>1000468004</v>
      </c>
      <c r="W1714">
        <v>30205221500097</v>
      </c>
      <c r="X1714">
        <v>37398</v>
      </c>
      <c r="Y1714" t="s">
        <v>153</v>
      </c>
      <c r="Z1714">
        <v>0</v>
      </c>
      <c r="AA1714">
        <v>0</v>
      </c>
      <c r="AB1714">
        <v>0</v>
      </c>
      <c r="AC1714" t="s">
        <v>4714</v>
      </c>
      <c r="AD1714" t="s">
        <v>1146</v>
      </c>
      <c r="AE1714" t="s">
        <v>242</v>
      </c>
      <c r="AF1714">
        <v>85</v>
      </c>
      <c r="AG1714">
        <v>185</v>
      </c>
      <c r="AH1714">
        <f>IF([2]!Table1[[#This Row],[الوزن]]&lt;&gt;"",[2]!Table1[[#This Row],[الوزن]]-([2]!Table1[[#This Row],[الطول]]-100),"")</f>
        <v>0</v>
      </c>
      <c r="AJ1714" t="s">
        <v>298</v>
      </c>
    </row>
    <row r="1715" spans="1:36" ht="18.75" customHeight="1" x14ac:dyDescent="0.3">
      <c r="A1715" s="1">
        <v>2023138301695</v>
      </c>
      <c r="B1715" t="s">
        <v>125</v>
      </c>
      <c r="C1715" t="s">
        <v>4733</v>
      </c>
      <c r="D1715" t="s">
        <v>4539</v>
      </c>
      <c r="E1715" t="s">
        <v>1874</v>
      </c>
      <c r="F1715">
        <v>162</v>
      </c>
      <c r="G1715">
        <v>44941</v>
      </c>
      <c r="H1715">
        <v>45943</v>
      </c>
      <c r="I1715">
        <v>45925</v>
      </c>
      <c r="J1715">
        <v>45932</v>
      </c>
      <c r="K1715">
        <v>45932</v>
      </c>
      <c r="L1715" t="s">
        <v>135</v>
      </c>
      <c r="M1715" t="s">
        <v>812</v>
      </c>
      <c r="N1715" t="s">
        <v>127</v>
      </c>
      <c r="O1715" t="s">
        <v>1756</v>
      </c>
      <c r="P1715" t="s">
        <v>49</v>
      </c>
      <c r="R1715">
        <v>0</v>
      </c>
      <c r="S1715">
        <v>0</v>
      </c>
      <c r="T1715" t="s">
        <v>439</v>
      </c>
      <c r="U1715" t="s">
        <v>4734</v>
      </c>
      <c r="W1715">
        <v>30609202300277</v>
      </c>
      <c r="X1715">
        <v>38859</v>
      </c>
      <c r="Y1715" t="s">
        <v>153</v>
      </c>
      <c r="Z1715">
        <v>0</v>
      </c>
      <c r="AA1715">
        <v>0</v>
      </c>
      <c r="AB1715">
        <v>0</v>
      </c>
      <c r="AC1715" t="s">
        <v>4735</v>
      </c>
      <c r="AD1715" t="s">
        <v>4736</v>
      </c>
      <c r="AE1715" t="s">
        <v>93</v>
      </c>
      <c r="AF1715">
        <v>85</v>
      </c>
      <c r="AG1715">
        <v>185</v>
      </c>
      <c r="AH1715">
        <f>IF([2]!Table1[[#This Row],[الوزن]]&lt;&gt;"",[2]!Table1[[#This Row],[الوزن]]-([2]!Table1[[#This Row],[الطول]]-100),"")</f>
        <v>0</v>
      </c>
      <c r="AJ1715" t="s">
        <v>298</v>
      </c>
    </row>
    <row r="1716" spans="1:36" ht="18.75" customHeight="1" x14ac:dyDescent="0.3">
      <c r="A1716" s="1">
        <v>2023138301900</v>
      </c>
      <c r="B1716" t="s">
        <v>125</v>
      </c>
      <c r="C1716" t="s">
        <v>4737</v>
      </c>
      <c r="D1716" t="s">
        <v>4539</v>
      </c>
      <c r="E1716" t="s">
        <v>1874</v>
      </c>
      <c r="F1716">
        <v>162</v>
      </c>
      <c r="G1716">
        <v>44941</v>
      </c>
      <c r="H1716">
        <v>45212</v>
      </c>
      <c r="I1716">
        <v>45925</v>
      </c>
      <c r="J1716">
        <v>45932</v>
      </c>
      <c r="K1716">
        <v>45933</v>
      </c>
      <c r="L1716" t="s">
        <v>135</v>
      </c>
      <c r="M1716" t="s">
        <v>812</v>
      </c>
      <c r="N1716" t="s">
        <v>127</v>
      </c>
      <c r="O1716" t="s">
        <v>1756</v>
      </c>
      <c r="P1716" t="s">
        <v>49</v>
      </c>
      <c r="R1716">
        <v>0</v>
      </c>
      <c r="S1716">
        <v>0</v>
      </c>
      <c r="T1716" t="s">
        <v>439</v>
      </c>
      <c r="U1716" t="s">
        <v>4738</v>
      </c>
      <c r="X1716">
        <v>38980</v>
      </c>
      <c r="Y1716" t="s">
        <v>153</v>
      </c>
      <c r="Z1716">
        <v>0</v>
      </c>
      <c r="AA1716">
        <v>0</v>
      </c>
      <c r="AB1716">
        <v>0</v>
      </c>
      <c r="AC1716" t="s">
        <v>4739</v>
      </c>
      <c r="AD1716" t="s">
        <v>1139</v>
      </c>
      <c r="AE1716" t="s">
        <v>1138</v>
      </c>
      <c r="AF1716">
        <v>85</v>
      </c>
      <c r="AG1716">
        <v>185</v>
      </c>
      <c r="AH1716">
        <f>IF([2]!Table1[[#This Row],[الوزن]]&lt;&gt;"",[2]!Table1[[#This Row],[الوزن]]-([2]!Table1[[#This Row],[الطول]]-100),"")</f>
        <v>0</v>
      </c>
      <c r="AJ1716" t="s">
        <v>298</v>
      </c>
    </row>
    <row r="1717" spans="1:36" ht="18.75" customHeight="1" x14ac:dyDescent="0.3">
      <c r="A1717" s="1">
        <v>2023138302180</v>
      </c>
      <c r="B1717" t="s">
        <v>125</v>
      </c>
      <c r="C1717" t="s">
        <v>4740</v>
      </c>
      <c r="D1717" t="s">
        <v>4539</v>
      </c>
      <c r="E1717" t="s">
        <v>1874</v>
      </c>
      <c r="F1717">
        <v>162</v>
      </c>
      <c r="G1717">
        <v>44941</v>
      </c>
      <c r="H1717">
        <v>45943</v>
      </c>
      <c r="I1717">
        <v>45925</v>
      </c>
      <c r="J1717">
        <v>45932</v>
      </c>
      <c r="K1717">
        <v>45932</v>
      </c>
      <c r="L1717" t="s">
        <v>135</v>
      </c>
      <c r="M1717" t="s">
        <v>812</v>
      </c>
      <c r="N1717" t="s">
        <v>127</v>
      </c>
      <c r="O1717" t="s">
        <v>1756</v>
      </c>
      <c r="P1717" t="s">
        <v>49</v>
      </c>
      <c r="R1717">
        <v>0</v>
      </c>
      <c r="S1717">
        <v>0</v>
      </c>
      <c r="T1717" t="s">
        <v>439</v>
      </c>
      <c r="U1717" t="s">
        <v>4741</v>
      </c>
      <c r="W1717">
        <v>30402092300973</v>
      </c>
      <c r="X1717">
        <v>38026</v>
      </c>
      <c r="Y1717" t="s">
        <v>153</v>
      </c>
      <c r="Z1717">
        <v>0</v>
      </c>
      <c r="AA1717">
        <v>0</v>
      </c>
      <c r="AB1717">
        <v>0</v>
      </c>
      <c r="AC1717" t="s">
        <v>4742</v>
      </c>
      <c r="AD1717" t="s">
        <v>1138</v>
      </c>
      <c r="AE1717" t="s">
        <v>1138</v>
      </c>
      <c r="AF1717">
        <v>85</v>
      </c>
      <c r="AG1717">
        <v>185</v>
      </c>
      <c r="AH1717" t="str">
        <f>IF([2]!Table1[[#This Row],[الوزن]]&lt;&gt;"",[2]!Table1[[#This Row],[الوزن]]-([2]!Table1[[#This Row],[الطول]]-100),"")</f>
        <v/>
      </c>
      <c r="AJ1717" t="s">
        <v>298</v>
      </c>
    </row>
    <row r="1718" spans="1:36" ht="18.75" customHeight="1" x14ac:dyDescent="0.3">
      <c r="A1718" s="1">
        <v>2001138303704</v>
      </c>
      <c r="B1718" t="s">
        <v>210</v>
      </c>
      <c r="C1718" t="s">
        <v>4743</v>
      </c>
      <c r="D1718" t="s">
        <v>1159</v>
      </c>
      <c r="E1718" t="s">
        <v>1874</v>
      </c>
      <c r="AG1718" t="s">
        <v>787</v>
      </c>
    </row>
    <row r="1719" spans="1:36" ht="18.75" customHeight="1" x14ac:dyDescent="0.3">
      <c r="A1719" s="1">
        <v>2007138301235</v>
      </c>
      <c r="B1719" t="s">
        <v>57</v>
      </c>
      <c r="C1719" t="s">
        <v>4744</v>
      </c>
      <c r="D1719" t="s">
        <v>1159</v>
      </c>
      <c r="E1719" t="s">
        <v>1874</v>
      </c>
      <c r="AG1719" t="s">
        <v>787</v>
      </c>
    </row>
    <row r="1720" spans="1:36" ht="18.75" customHeight="1" x14ac:dyDescent="0.3">
      <c r="A1720" s="1">
        <v>2008138302364</v>
      </c>
      <c r="B1720" t="s">
        <v>57</v>
      </c>
      <c r="C1720" t="s">
        <v>4745</v>
      </c>
      <c r="D1720" t="s">
        <v>1159</v>
      </c>
      <c r="E1720" t="s">
        <v>1874</v>
      </c>
      <c r="AG1720" t="s">
        <v>787</v>
      </c>
    </row>
    <row r="1721" spans="1:36" ht="18.75" customHeight="1" x14ac:dyDescent="0.3">
      <c r="A1721" s="1">
        <v>2010138302301</v>
      </c>
      <c r="B1721" t="s">
        <v>75</v>
      </c>
      <c r="C1721" t="s">
        <v>4746</v>
      </c>
      <c r="D1721" t="s">
        <v>1159</v>
      </c>
      <c r="E1721" t="s">
        <v>1874</v>
      </c>
      <c r="AG1721" t="s">
        <v>787</v>
      </c>
    </row>
    <row r="1722" spans="1:36" ht="18.75" customHeight="1" x14ac:dyDescent="0.3">
      <c r="A1722" s="1">
        <v>2012138304767</v>
      </c>
      <c r="B1722" t="s">
        <v>75</v>
      </c>
      <c r="C1722" t="s">
        <v>4747</v>
      </c>
      <c r="D1722" t="s">
        <v>1159</v>
      </c>
      <c r="E1722" t="s">
        <v>1874</v>
      </c>
      <c r="AG1722" t="s">
        <v>787</v>
      </c>
    </row>
    <row r="1723" spans="1:36" ht="18.75" customHeight="1" x14ac:dyDescent="0.3">
      <c r="A1723" s="1">
        <v>2012138315813</v>
      </c>
      <c r="B1723" t="s">
        <v>75</v>
      </c>
      <c r="C1723" t="s">
        <v>4748</v>
      </c>
      <c r="D1723" t="s">
        <v>1159</v>
      </c>
      <c r="E1723" t="s">
        <v>1874</v>
      </c>
      <c r="AG1723" t="s">
        <v>787</v>
      </c>
    </row>
    <row r="1724" spans="1:36" ht="18.75" customHeight="1" x14ac:dyDescent="0.3">
      <c r="A1724" s="1">
        <v>2013130402195</v>
      </c>
      <c r="B1724" t="s">
        <v>75</v>
      </c>
      <c r="C1724" t="s">
        <v>4749</v>
      </c>
      <c r="D1724" t="s">
        <v>1159</v>
      </c>
      <c r="E1724" t="s">
        <v>1874</v>
      </c>
      <c r="AG1724" t="s">
        <v>787</v>
      </c>
    </row>
    <row r="1725" spans="1:36" ht="18.75" customHeight="1" x14ac:dyDescent="0.3">
      <c r="A1725" s="1">
        <v>2015138308119</v>
      </c>
      <c r="B1725" t="s">
        <v>106</v>
      </c>
      <c r="C1725" t="s">
        <v>4750</v>
      </c>
      <c r="D1725" t="s">
        <v>1159</v>
      </c>
      <c r="E1725" t="s">
        <v>1874</v>
      </c>
      <c r="AG1725" t="s">
        <v>787</v>
      </c>
    </row>
    <row r="1726" spans="1:36" ht="18.75" customHeight="1" x14ac:dyDescent="0.3">
      <c r="A1726" s="1">
        <v>2015138308581</v>
      </c>
      <c r="B1726" t="s">
        <v>106</v>
      </c>
      <c r="C1726" t="s">
        <v>4751</v>
      </c>
      <c r="D1726" t="s">
        <v>1159</v>
      </c>
      <c r="E1726" t="s">
        <v>1874</v>
      </c>
      <c r="AG1726" t="s">
        <v>787</v>
      </c>
    </row>
    <row r="1727" spans="1:36" ht="18.75" customHeight="1" x14ac:dyDescent="0.3">
      <c r="A1727" s="1">
        <v>2015138318978</v>
      </c>
      <c r="B1727" t="s">
        <v>106</v>
      </c>
      <c r="C1727" t="s">
        <v>4752</v>
      </c>
      <c r="D1727" t="s">
        <v>1159</v>
      </c>
      <c r="E1727" t="s">
        <v>1874</v>
      </c>
      <c r="AG1727" t="s">
        <v>787</v>
      </c>
    </row>
    <row r="1728" spans="1:36" ht="18.75" customHeight="1" x14ac:dyDescent="0.3">
      <c r="A1728" s="1">
        <v>2016138302250</v>
      </c>
      <c r="B1728" t="s">
        <v>106</v>
      </c>
      <c r="C1728" t="s">
        <v>4753</v>
      </c>
      <c r="D1728" t="s">
        <v>1159</v>
      </c>
      <c r="E1728" t="s">
        <v>1874</v>
      </c>
      <c r="AG1728" t="s">
        <v>787</v>
      </c>
    </row>
    <row r="1729" spans="1:33" ht="18.75" customHeight="1" x14ac:dyDescent="0.3">
      <c r="A1729" s="1">
        <v>2017131805423</v>
      </c>
      <c r="B1729" t="s">
        <v>106</v>
      </c>
      <c r="C1729" t="s">
        <v>4754</v>
      </c>
      <c r="D1729" t="s">
        <v>1159</v>
      </c>
      <c r="E1729" t="s">
        <v>1874</v>
      </c>
      <c r="AG1729" t="s">
        <v>787</v>
      </c>
    </row>
    <row r="1730" spans="1:33" ht="18.75" customHeight="1" x14ac:dyDescent="0.3">
      <c r="A1730" s="1">
        <v>2019138301785</v>
      </c>
      <c r="B1730" t="s">
        <v>125</v>
      </c>
      <c r="C1730" t="s">
        <v>4755</v>
      </c>
      <c r="D1730" t="s">
        <v>1159</v>
      </c>
      <c r="E1730" t="s">
        <v>1874</v>
      </c>
      <c r="AG1730" t="s">
        <v>787</v>
      </c>
    </row>
    <row r="1731" spans="1:33" ht="18.75" customHeight="1" x14ac:dyDescent="0.3">
      <c r="A1731" s="1">
        <v>2019138302105</v>
      </c>
      <c r="B1731" t="s">
        <v>125</v>
      </c>
      <c r="C1731" t="s">
        <v>4756</v>
      </c>
      <c r="D1731" t="s">
        <v>1159</v>
      </c>
      <c r="E1731" t="s">
        <v>1874</v>
      </c>
      <c r="AG1731" t="s">
        <v>787</v>
      </c>
    </row>
    <row r="1732" spans="1:33" ht="18.75" customHeight="1" x14ac:dyDescent="0.3">
      <c r="A1732" s="1">
        <v>2019138310588</v>
      </c>
      <c r="B1732" t="s">
        <v>125</v>
      </c>
      <c r="C1732" t="s">
        <v>4757</v>
      </c>
      <c r="D1732" t="s">
        <v>1159</v>
      </c>
      <c r="E1732" t="s">
        <v>1874</v>
      </c>
      <c r="AG1732" t="s">
        <v>787</v>
      </c>
    </row>
    <row r="1733" spans="1:33" ht="18.75" customHeight="1" x14ac:dyDescent="0.3">
      <c r="A1733" s="1">
        <v>2019138310900</v>
      </c>
      <c r="B1733" t="s">
        <v>125</v>
      </c>
      <c r="C1733" t="s">
        <v>4758</v>
      </c>
      <c r="D1733" t="s">
        <v>1159</v>
      </c>
      <c r="E1733" t="s">
        <v>1874</v>
      </c>
      <c r="AG1733" t="s">
        <v>787</v>
      </c>
    </row>
    <row r="1734" spans="1:33" ht="18.75" customHeight="1" x14ac:dyDescent="0.3">
      <c r="A1734" s="1">
        <v>2019138317112</v>
      </c>
      <c r="B1734" t="s">
        <v>125</v>
      </c>
      <c r="C1734" t="s">
        <v>4759</v>
      </c>
      <c r="D1734" t="s">
        <v>1159</v>
      </c>
      <c r="E1734" t="s">
        <v>1874</v>
      </c>
      <c r="AG1734" t="s">
        <v>787</v>
      </c>
    </row>
    <row r="1735" spans="1:33" ht="18.75" customHeight="1" x14ac:dyDescent="0.3">
      <c r="A1735" s="1">
        <v>2019138317287</v>
      </c>
      <c r="B1735" t="s">
        <v>125</v>
      </c>
      <c r="C1735" t="s">
        <v>4760</v>
      </c>
      <c r="D1735" t="s">
        <v>1159</v>
      </c>
      <c r="E1735" t="s">
        <v>1874</v>
      </c>
      <c r="AG1735" t="s">
        <v>787</v>
      </c>
    </row>
    <row r="1736" spans="1:33" ht="18.75" customHeight="1" x14ac:dyDescent="0.3">
      <c r="A1736" s="1">
        <v>2019138317328</v>
      </c>
      <c r="B1736" t="s">
        <v>125</v>
      </c>
      <c r="C1736" t="s">
        <v>4761</v>
      </c>
      <c r="D1736" t="s">
        <v>1159</v>
      </c>
      <c r="E1736" t="s">
        <v>1874</v>
      </c>
      <c r="AG1736" t="s">
        <v>787</v>
      </c>
    </row>
    <row r="1737" spans="1:33" ht="18.75" customHeight="1" x14ac:dyDescent="0.3">
      <c r="A1737" s="1">
        <v>2019138317378</v>
      </c>
      <c r="B1737" t="s">
        <v>125</v>
      </c>
      <c r="C1737" t="s">
        <v>4762</v>
      </c>
      <c r="D1737" t="s">
        <v>1159</v>
      </c>
      <c r="E1737" t="s">
        <v>1874</v>
      </c>
      <c r="AG1737" t="s">
        <v>787</v>
      </c>
    </row>
    <row r="1738" spans="1:33" ht="18.75" customHeight="1" x14ac:dyDescent="0.3">
      <c r="A1738" s="1">
        <v>2019138317427</v>
      </c>
      <c r="B1738" t="s">
        <v>125</v>
      </c>
      <c r="C1738" t="s">
        <v>4763</v>
      </c>
      <c r="D1738" t="s">
        <v>1159</v>
      </c>
      <c r="E1738" t="s">
        <v>1874</v>
      </c>
      <c r="AG1738" t="s">
        <v>787</v>
      </c>
    </row>
    <row r="1739" spans="1:33" ht="18.75" customHeight="1" x14ac:dyDescent="0.3">
      <c r="A1739" s="1">
        <v>2021131804369</v>
      </c>
      <c r="B1739" t="s">
        <v>125</v>
      </c>
      <c r="C1739" t="s">
        <v>4764</v>
      </c>
      <c r="D1739" t="s">
        <v>1159</v>
      </c>
      <c r="E1739" t="s">
        <v>1874</v>
      </c>
      <c r="AG1739" t="s">
        <v>787</v>
      </c>
    </row>
    <row r="1740" spans="1:33" ht="18.75" customHeight="1" x14ac:dyDescent="0.3">
      <c r="A1740" s="1">
        <v>2021138308877</v>
      </c>
      <c r="B1740" t="s">
        <v>125</v>
      </c>
      <c r="C1740" t="s">
        <v>4765</v>
      </c>
      <c r="D1740" t="s">
        <v>1159</v>
      </c>
      <c r="E1740" t="s">
        <v>1874</v>
      </c>
      <c r="AG1740" t="s">
        <v>787</v>
      </c>
    </row>
    <row r="1741" spans="1:33" ht="18.75" customHeight="1" x14ac:dyDescent="0.3">
      <c r="A1741" s="1">
        <v>2021138309776</v>
      </c>
      <c r="B1741" t="s">
        <v>125</v>
      </c>
      <c r="C1741" t="s">
        <v>4766</v>
      </c>
      <c r="D1741" t="s">
        <v>1159</v>
      </c>
      <c r="E1741" t="s">
        <v>1874</v>
      </c>
      <c r="AG1741" t="s">
        <v>787</v>
      </c>
    </row>
    <row r="1742" spans="1:33" ht="18.75" customHeight="1" x14ac:dyDescent="0.3">
      <c r="A1742" s="1">
        <v>2021138309940</v>
      </c>
      <c r="B1742" t="s">
        <v>125</v>
      </c>
      <c r="C1742" t="s">
        <v>4767</v>
      </c>
      <c r="D1742" t="s">
        <v>1159</v>
      </c>
      <c r="E1742" t="s">
        <v>1874</v>
      </c>
      <c r="AG1742" t="s">
        <v>787</v>
      </c>
    </row>
    <row r="1743" spans="1:33" ht="18.75" customHeight="1" x14ac:dyDescent="0.3">
      <c r="A1743" s="1">
        <v>2021138310731</v>
      </c>
      <c r="B1743" t="s">
        <v>125</v>
      </c>
      <c r="C1743" t="s">
        <v>4768</v>
      </c>
      <c r="D1743" t="s">
        <v>1159</v>
      </c>
      <c r="E1743" t="s">
        <v>1874</v>
      </c>
      <c r="AG1743" t="s">
        <v>787</v>
      </c>
    </row>
    <row r="1744" spans="1:33" ht="18.75" customHeight="1" x14ac:dyDescent="0.3">
      <c r="A1744" s="1">
        <v>2023130900172</v>
      </c>
      <c r="B1744" t="s">
        <v>125</v>
      </c>
      <c r="C1744" t="s">
        <v>4769</v>
      </c>
      <c r="D1744" t="s">
        <v>1159</v>
      </c>
      <c r="E1744" t="s">
        <v>1874</v>
      </c>
      <c r="AG1744" t="s">
        <v>787</v>
      </c>
    </row>
    <row r="1745" spans="1:33" ht="18.75" customHeight="1" x14ac:dyDescent="0.3">
      <c r="A1745" s="1">
        <v>2023138301405</v>
      </c>
      <c r="B1745" t="s">
        <v>125</v>
      </c>
      <c r="C1745" t="s">
        <v>4770</v>
      </c>
      <c r="D1745" t="s">
        <v>1159</v>
      </c>
      <c r="E1745" t="s">
        <v>1874</v>
      </c>
      <c r="AG1745" t="s">
        <v>787</v>
      </c>
    </row>
    <row r="1746" spans="1:33" ht="18.75" customHeight="1" x14ac:dyDescent="0.3">
      <c r="A1746" s="1">
        <v>2001138305106</v>
      </c>
      <c r="B1746" t="s">
        <v>210</v>
      </c>
      <c r="C1746" t="s">
        <v>4771</v>
      </c>
      <c r="D1746" t="s">
        <v>4772</v>
      </c>
      <c r="E1746" t="s">
        <v>1874</v>
      </c>
      <c r="AG1746" t="s">
        <v>787</v>
      </c>
    </row>
    <row r="1747" spans="1:33" ht="18.75" customHeight="1" x14ac:dyDescent="0.3">
      <c r="A1747" s="1">
        <v>2008138301506</v>
      </c>
      <c r="B1747" t="s">
        <v>57</v>
      </c>
      <c r="C1747" t="s">
        <v>4773</v>
      </c>
      <c r="D1747" t="s">
        <v>4772</v>
      </c>
      <c r="E1747" t="s">
        <v>1874</v>
      </c>
      <c r="AG1747" t="s">
        <v>787</v>
      </c>
    </row>
    <row r="1748" spans="1:33" ht="18.75" customHeight="1" x14ac:dyDescent="0.3">
      <c r="A1748" s="1">
        <v>2010130400856</v>
      </c>
      <c r="B1748" t="s">
        <v>75</v>
      </c>
      <c r="C1748" t="s">
        <v>4774</v>
      </c>
      <c r="D1748" t="s">
        <v>4772</v>
      </c>
      <c r="E1748" t="s">
        <v>1874</v>
      </c>
      <c r="AG1748" t="s">
        <v>787</v>
      </c>
    </row>
    <row r="1749" spans="1:33" ht="18.75" customHeight="1" x14ac:dyDescent="0.3">
      <c r="A1749" s="1">
        <v>2010138302541</v>
      </c>
      <c r="B1749" t="s">
        <v>75</v>
      </c>
      <c r="C1749" t="s">
        <v>4775</v>
      </c>
      <c r="D1749" t="s">
        <v>4772</v>
      </c>
      <c r="E1749" t="s">
        <v>1874</v>
      </c>
      <c r="AG1749" t="s">
        <v>787</v>
      </c>
    </row>
    <row r="1750" spans="1:33" ht="18.75" customHeight="1" x14ac:dyDescent="0.3">
      <c r="A1750" s="1">
        <v>2010138306014</v>
      </c>
      <c r="B1750" t="s">
        <v>75</v>
      </c>
      <c r="C1750" t="s">
        <v>4776</v>
      </c>
      <c r="D1750" t="s">
        <v>4772</v>
      </c>
      <c r="E1750" t="s">
        <v>1874</v>
      </c>
      <c r="AG1750" t="s">
        <v>787</v>
      </c>
    </row>
    <row r="1751" spans="1:33" ht="18.75" customHeight="1" x14ac:dyDescent="0.3">
      <c r="A1751" s="1">
        <v>2011138307739</v>
      </c>
      <c r="B1751" t="s">
        <v>75</v>
      </c>
      <c r="C1751" t="s">
        <v>4777</v>
      </c>
      <c r="D1751" t="s">
        <v>4772</v>
      </c>
      <c r="E1751" t="s">
        <v>1874</v>
      </c>
      <c r="AG1751" t="s">
        <v>787</v>
      </c>
    </row>
    <row r="1752" spans="1:33" ht="18.75" customHeight="1" x14ac:dyDescent="0.3">
      <c r="A1752" s="1">
        <v>2012130402329</v>
      </c>
      <c r="B1752" t="s">
        <v>75</v>
      </c>
      <c r="C1752" t="s">
        <v>4778</v>
      </c>
      <c r="D1752" t="s">
        <v>4772</v>
      </c>
      <c r="E1752" t="s">
        <v>1874</v>
      </c>
      <c r="AG1752" t="s">
        <v>787</v>
      </c>
    </row>
    <row r="1753" spans="1:33" ht="18.75" customHeight="1" x14ac:dyDescent="0.3">
      <c r="A1753" s="1">
        <v>2013138300250</v>
      </c>
      <c r="B1753" t="s">
        <v>75</v>
      </c>
      <c r="C1753" t="s">
        <v>4779</v>
      </c>
      <c r="D1753" t="s">
        <v>4772</v>
      </c>
      <c r="E1753" t="s">
        <v>1874</v>
      </c>
      <c r="AG1753" t="s">
        <v>787</v>
      </c>
    </row>
    <row r="1754" spans="1:33" ht="18.75" customHeight="1" x14ac:dyDescent="0.3">
      <c r="A1754" s="1">
        <v>2014138300092</v>
      </c>
      <c r="B1754" t="s">
        <v>106</v>
      </c>
      <c r="C1754" t="s">
        <v>4780</v>
      </c>
      <c r="D1754" t="s">
        <v>4772</v>
      </c>
      <c r="E1754" t="s">
        <v>1874</v>
      </c>
      <c r="AG1754" t="s">
        <v>787</v>
      </c>
    </row>
    <row r="1755" spans="1:33" ht="18.75" customHeight="1" x14ac:dyDescent="0.3">
      <c r="A1755" s="1">
        <v>2014138313079</v>
      </c>
      <c r="B1755" t="s">
        <v>75</v>
      </c>
      <c r="C1755" t="s">
        <v>4781</v>
      </c>
      <c r="D1755" t="s">
        <v>4772</v>
      </c>
      <c r="E1755" t="s">
        <v>1874</v>
      </c>
      <c r="AG1755" t="s">
        <v>787</v>
      </c>
    </row>
    <row r="1756" spans="1:33" ht="18.75" customHeight="1" x14ac:dyDescent="0.3">
      <c r="A1756" s="1">
        <v>2015130401622</v>
      </c>
      <c r="B1756" t="s">
        <v>106</v>
      </c>
      <c r="C1756" t="s">
        <v>4782</v>
      </c>
      <c r="D1756" t="s">
        <v>4772</v>
      </c>
      <c r="E1756" t="s">
        <v>1874</v>
      </c>
      <c r="AG1756" t="s">
        <v>787</v>
      </c>
    </row>
    <row r="1757" spans="1:33" ht="18.75" customHeight="1" x14ac:dyDescent="0.3">
      <c r="A1757" s="1">
        <v>2015138318762</v>
      </c>
      <c r="B1757" t="s">
        <v>106</v>
      </c>
      <c r="C1757" t="s">
        <v>4783</v>
      </c>
      <c r="D1757" t="s">
        <v>4772</v>
      </c>
      <c r="E1757" t="s">
        <v>1874</v>
      </c>
      <c r="AG1757" t="s">
        <v>787</v>
      </c>
    </row>
    <row r="1758" spans="1:33" ht="18.75" customHeight="1" x14ac:dyDescent="0.3">
      <c r="A1758" s="1">
        <v>2015138322359</v>
      </c>
      <c r="B1758" t="s">
        <v>106</v>
      </c>
      <c r="C1758" t="s">
        <v>4784</v>
      </c>
      <c r="D1758" t="s">
        <v>4772</v>
      </c>
      <c r="E1758" t="s">
        <v>1874</v>
      </c>
      <c r="AG1758" t="s">
        <v>787</v>
      </c>
    </row>
    <row r="1759" spans="1:33" ht="18.75" customHeight="1" x14ac:dyDescent="0.3">
      <c r="A1759" s="1">
        <v>2016138300626</v>
      </c>
      <c r="B1759" t="s">
        <v>106</v>
      </c>
      <c r="C1759" t="s">
        <v>4785</v>
      </c>
      <c r="D1759" t="s">
        <v>4772</v>
      </c>
      <c r="E1759" t="s">
        <v>1874</v>
      </c>
      <c r="AG1759" t="s">
        <v>787</v>
      </c>
    </row>
    <row r="1760" spans="1:33" ht="18.75" customHeight="1" x14ac:dyDescent="0.3">
      <c r="A1760" s="1">
        <v>2016138305775</v>
      </c>
      <c r="B1760" t="s">
        <v>106</v>
      </c>
      <c r="C1760" t="s">
        <v>4786</v>
      </c>
      <c r="D1760" t="s">
        <v>4772</v>
      </c>
      <c r="E1760" t="s">
        <v>1874</v>
      </c>
      <c r="AG1760" t="s">
        <v>787</v>
      </c>
    </row>
    <row r="1761" spans="1:33" ht="18.75" customHeight="1" x14ac:dyDescent="0.3">
      <c r="A1761" s="1">
        <v>2017130401545</v>
      </c>
      <c r="B1761" t="s">
        <v>106</v>
      </c>
      <c r="C1761" t="s">
        <v>4787</v>
      </c>
      <c r="D1761" t="s">
        <v>4772</v>
      </c>
      <c r="E1761" t="s">
        <v>1874</v>
      </c>
      <c r="AG1761" t="s">
        <v>787</v>
      </c>
    </row>
    <row r="1762" spans="1:33" ht="18.75" customHeight="1" x14ac:dyDescent="0.3">
      <c r="A1762" s="1">
        <v>2018138308098</v>
      </c>
      <c r="B1762" t="s">
        <v>106</v>
      </c>
      <c r="C1762" t="s">
        <v>4788</v>
      </c>
      <c r="D1762" t="s">
        <v>4772</v>
      </c>
      <c r="E1762" t="s">
        <v>1874</v>
      </c>
      <c r="AG1762" t="s">
        <v>787</v>
      </c>
    </row>
    <row r="1763" spans="1:33" ht="18.75" customHeight="1" x14ac:dyDescent="0.3">
      <c r="A1763" s="1">
        <v>2019138301743</v>
      </c>
      <c r="B1763" t="s">
        <v>125</v>
      </c>
      <c r="C1763" t="s">
        <v>4789</v>
      </c>
      <c r="D1763" t="s">
        <v>4772</v>
      </c>
      <c r="E1763" t="s">
        <v>1874</v>
      </c>
      <c r="AG1763" t="s">
        <v>787</v>
      </c>
    </row>
    <row r="1764" spans="1:33" ht="18.75" customHeight="1" x14ac:dyDescent="0.3">
      <c r="A1764" s="1">
        <v>2019138305745</v>
      </c>
      <c r="B1764" t="s">
        <v>125</v>
      </c>
      <c r="C1764" t="s">
        <v>4790</v>
      </c>
      <c r="D1764" t="s">
        <v>4772</v>
      </c>
      <c r="E1764" t="s">
        <v>1874</v>
      </c>
      <c r="AG1764" t="s">
        <v>787</v>
      </c>
    </row>
    <row r="1765" spans="1:33" ht="18.75" customHeight="1" x14ac:dyDescent="0.3">
      <c r="A1765" s="1">
        <v>2019138306933</v>
      </c>
      <c r="B1765" t="s">
        <v>125</v>
      </c>
      <c r="C1765" t="s">
        <v>4791</v>
      </c>
      <c r="D1765" t="s">
        <v>4772</v>
      </c>
      <c r="E1765" t="s">
        <v>1874</v>
      </c>
      <c r="AG1765" t="s">
        <v>787</v>
      </c>
    </row>
    <row r="1766" spans="1:33" ht="18.75" customHeight="1" x14ac:dyDescent="0.3">
      <c r="A1766" s="1">
        <v>2019138315570</v>
      </c>
      <c r="B1766" t="s">
        <v>125</v>
      </c>
      <c r="C1766" t="s">
        <v>4792</v>
      </c>
      <c r="D1766" t="s">
        <v>4772</v>
      </c>
      <c r="E1766" t="s">
        <v>1874</v>
      </c>
      <c r="AG1766" t="s">
        <v>787</v>
      </c>
    </row>
    <row r="1767" spans="1:33" ht="18.75" customHeight="1" x14ac:dyDescent="0.3">
      <c r="A1767" s="1">
        <v>2019138316122</v>
      </c>
      <c r="B1767" t="s">
        <v>125</v>
      </c>
      <c r="C1767" t="s">
        <v>4793</v>
      </c>
      <c r="D1767" t="s">
        <v>4772</v>
      </c>
      <c r="E1767" t="s">
        <v>1874</v>
      </c>
      <c r="AG1767" t="s">
        <v>787</v>
      </c>
    </row>
    <row r="1768" spans="1:33" ht="18.75" customHeight="1" x14ac:dyDescent="0.3">
      <c r="A1768" s="1">
        <v>2021131806969</v>
      </c>
      <c r="B1768" t="s">
        <v>125</v>
      </c>
      <c r="C1768" t="s">
        <v>4794</v>
      </c>
      <c r="D1768" t="s">
        <v>4772</v>
      </c>
      <c r="E1768" t="s">
        <v>1874</v>
      </c>
      <c r="AG1768" t="s">
        <v>787</v>
      </c>
    </row>
    <row r="1769" spans="1:33" ht="18.75" customHeight="1" x14ac:dyDescent="0.3">
      <c r="A1769" s="1">
        <v>2021138301136</v>
      </c>
      <c r="B1769" t="s">
        <v>125</v>
      </c>
      <c r="C1769" t="s">
        <v>4795</v>
      </c>
      <c r="D1769" t="s">
        <v>4772</v>
      </c>
      <c r="E1769" t="s">
        <v>1874</v>
      </c>
      <c r="AG1769" t="s">
        <v>787</v>
      </c>
    </row>
    <row r="1770" spans="1:33" ht="18.75" customHeight="1" x14ac:dyDescent="0.3">
      <c r="A1770" s="1">
        <v>2021138309320</v>
      </c>
      <c r="B1770" t="s">
        <v>125</v>
      </c>
      <c r="C1770" t="s">
        <v>4796</v>
      </c>
      <c r="D1770" t="s">
        <v>4772</v>
      </c>
      <c r="E1770" t="s">
        <v>1874</v>
      </c>
      <c r="AG1770" t="s">
        <v>787</v>
      </c>
    </row>
    <row r="1771" spans="1:33" ht="18.75" customHeight="1" x14ac:dyDescent="0.3">
      <c r="A1771" s="1">
        <v>2021138309461</v>
      </c>
      <c r="B1771" t="s">
        <v>125</v>
      </c>
      <c r="C1771" t="s">
        <v>4797</v>
      </c>
      <c r="D1771" t="s">
        <v>4772</v>
      </c>
      <c r="E1771" t="s">
        <v>1874</v>
      </c>
      <c r="AG1771" t="s">
        <v>787</v>
      </c>
    </row>
    <row r="1772" spans="1:33" ht="18.75" customHeight="1" x14ac:dyDescent="0.3">
      <c r="A1772" s="1">
        <v>2021138309594</v>
      </c>
      <c r="B1772" t="s">
        <v>125</v>
      </c>
      <c r="C1772" t="s">
        <v>4798</v>
      </c>
      <c r="D1772" t="s">
        <v>4772</v>
      </c>
      <c r="E1772" t="s">
        <v>1874</v>
      </c>
      <c r="AG1772" t="s">
        <v>787</v>
      </c>
    </row>
    <row r="1773" spans="1:33" ht="18.75" customHeight="1" x14ac:dyDescent="0.3">
      <c r="A1773" s="1">
        <v>2021138309859</v>
      </c>
      <c r="B1773" t="s">
        <v>125</v>
      </c>
      <c r="C1773" t="s">
        <v>4799</v>
      </c>
      <c r="D1773" t="s">
        <v>4772</v>
      </c>
      <c r="E1773" t="s">
        <v>1874</v>
      </c>
      <c r="AG1773" t="s">
        <v>787</v>
      </c>
    </row>
    <row r="1774" spans="1:33" ht="18.75" customHeight="1" x14ac:dyDescent="0.3">
      <c r="A1774" s="1">
        <v>2021138310468</v>
      </c>
      <c r="B1774" t="s">
        <v>125</v>
      </c>
      <c r="C1774" t="s">
        <v>4800</v>
      </c>
      <c r="D1774" t="s">
        <v>4772</v>
      </c>
      <c r="E1774" t="s">
        <v>1874</v>
      </c>
      <c r="AG1774" t="s">
        <v>787</v>
      </c>
    </row>
    <row r="1775" spans="1:33" ht="18.75" customHeight="1" x14ac:dyDescent="0.3">
      <c r="A1775" s="1">
        <v>2023130900073</v>
      </c>
      <c r="B1775" t="s">
        <v>125</v>
      </c>
      <c r="C1775" t="s">
        <v>4801</v>
      </c>
      <c r="D1775" t="s">
        <v>4772</v>
      </c>
      <c r="E1775" t="s">
        <v>1874</v>
      </c>
      <c r="AG1775" t="s">
        <v>787</v>
      </c>
    </row>
    <row r="1776" spans="1:33" ht="18.75" customHeight="1" x14ac:dyDescent="0.3">
      <c r="A1776" s="1">
        <v>2023138302205</v>
      </c>
      <c r="B1776" t="s">
        <v>125</v>
      </c>
      <c r="C1776" t="s">
        <v>4802</v>
      </c>
      <c r="D1776" t="s">
        <v>4772</v>
      </c>
      <c r="E1776" t="s">
        <v>1874</v>
      </c>
      <c r="AG1776" t="s">
        <v>787</v>
      </c>
    </row>
    <row r="1777" spans="1:34" ht="18.75" customHeight="1" x14ac:dyDescent="0.3">
      <c r="A1777" s="1">
        <v>2002135100721</v>
      </c>
      <c r="B1777" t="s">
        <v>210</v>
      </c>
      <c r="C1777" t="s">
        <v>4803</v>
      </c>
      <c r="D1777" t="s">
        <v>4804</v>
      </c>
      <c r="E1777" t="s">
        <v>1874</v>
      </c>
      <c r="AG1777" t="s">
        <v>787</v>
      </c>
    </row>
    <row r="1778" spans="1:34" ht="18.75" customHeight="1" x14ac:dyDescent="0.3">
      <c r="A1778" s="1">
        <v>2015135105691</v>
      </c>
      <c r="B1778" t="s">
        <v>106</v>
      </c>
      <c r="C1778" t="s">
        <v>4805</v>
      </c>
      <c r="D1778" t="s">
        <v>4804</v>
      </c>
      <c r="E1778" t="s">
        <v>1874</v>
      </c>
      <c r="F1778">
        <v>155</v>
      </c>
      <c r="G1778">
        <v>42369</v>
      </c>
      <c r="H1778">
        <v>42932</v>
      </c>
      <c r="I1778">
        <v>44927</v>
      </c>
      <c r="M1778" t="s">
        <v>4806</v>
      </c>
      <c r="N1778" t="s">
        <v>127</v>
      </c>
      <c r="O1778" t="s">
        <v>4807</v>
      </c>
      <c r="Q1778" t="s">
        <v>49</v>
      </c>
      <c r="R1778">
        <v>0</v>
      </c>
      <c r="S1778">
        <v>0</v>
      </c>
      <c r="T1778">
        <v>0</v>
      </c>
      <c r="U1778">
        <v>1099569621</v>
      </c>
      <c r="X1778">
        <v>35010</v>
      </c>
      <c r="Y1778" t="s">
        <v>51</v>
      </c>
      <c r="Z1778">
        <v>2</v>
      </c>
      <c r="AF1778">
        <v>77</v>
      </c>
      <c r="AG1778">
        <v>172</v>
      </c>
      <c r="AH1778" t="str">
        <f>IF([2]!Table1[[#This Row],[الوزن]]&lt;&gt;"",[2]!Table1[[#This Row],[الوزن]]-([2]!Table1[[#This Row],[الطول]]-100),"")</f>
        <v/>
      </c>
    </row>
    <row r="1779" spans="1:34" ht="18.75" customHeight="1" x14ac:dyDescent="0.3">
      <c r="A1779" s="1">
        <v>2015135106003</v>
      </c>
      <c r="B1779" t="s">
        <v>106</v>
      </c>
      <c r="C1779" t="s">
        <v>4808</v>
      </c>
      <c r="D1779" t="s">
        <v>4804</v>
      </c>
      <c r="E1779" t="s">
        <v>1874</v>
      </c>
      <c r="AG1779" t="s">
        <v>787</v>
      </c>
    </row>
    <row r="1780" spans="1:34" ht="18.75" customHeight="1" x14ac:dyDescent="0.3">
      <c r="A1780" s="1">
        <v>2016135100920</v>
      </c>
      <c r="B1780" t="s">
        <v>106</v>
      </c>
      <c r="C1780" t="s">
        <v>4809</v>
      </c>
      <c r="D1780" t="s">
        <v>4804</v>
      </c>
      <c r="E1780" t="s">
        <v>1874</v>
      </c>
      <c r="AG1780" t="s">
        <v>787</v>
      </c>
    </row>
    <row r="1781" spans="1:34" ht="18.75" customHeight="1" x14ac:dyDescent="0.3">
      <c r="A1781" s="1">
        <v>2016135101572</v>
      </c>
      <c r="B1781" t="s">
        <v>106</v>
      </c>
      <c r="C1781" t="s">
        <v>4810</v>
      </c>
      <c r="D1781" t="s">
        <v>4804</v>
      </c>
      <c r="E1781" t="s">
        <v>1874</v>
      </c>
      <c r="AG1781" t="s">
        <v>787</v>
      </c>
    </row>
    <row r="1782" spans="1:34" ht="18.75" customHeight="1" x14ac:dyDescent="0.3">
      <c r="A1782" s="1">
        <v>2018135104291</v>
      </c>
      <c r="B1782" t="s">
        <v>106</v>
      </c>
      <c r="C1782" t="s">
        <v>4811</v>
      </c>
      <c r="D1782" t="s">
        <v>4804</v>
      </c>
      <c r="E1782" t="s">
        <v>1874</v>
      </c>
      <c r="AG1782" t="s">
        <v>787</v>
      </c>
    </row>
    <row r="1783" spans="1:34" ht="18.75" customHeight="1" x14ac:dyDescent="0.3">
      <c r="A1783" s="1">
        <v>2019135103035</v>
      </c>
      <c r="B1783" t="s">
        <v>125</v>
      </c>
      <c r="C1783" t="s">
        <v>4812</v>
      </c>
      <c r="D1783" t="s">
        <v>4804</v>
      </c>
      <c r="E1783" t="s">
        <v>1874</v>
      </c>
      <c r="AG1783" t="s">
        <v>787</v>
      </c>
    </row>
    <row r="1784" spans="1:34" ht="18.75" customHeight="1" x14ac:dyDescent="0.3">
      <c r="A1784" s="1">
        <v>2021131814615</v>
      </c>
      <c r="B1784" t="s">
        <v>125</v>
      </c>
      <c r="C1784" t="s">
        <v>4813</v>
      </c>
      <c r="D1784" t="s">
        <v>4804</v>
      </c>
      <c r="E1784" t="s">
        <v>1874</v>
      </c>
      <c r="AG1784" t="s">
        <v>787</v>
      </c>
    </row>
    <row r="1785" spans="1:34" ht="18.75" customHeight="1" x14ac:dyDescent="0.3">
      <c r="A1785" s="1">
        <v>2023135101139</v>
      </c>
      <c r="B1785" t="s">
        <v>125</v>
      </c>
      <c r="C1785" t="s">
        <v>4814</v>
      </c>
      <c r="D1785" t="s">
        <v>4804</v>
      </c>
      <c r="E1785" t="s">
        <v>1874</v>
      </c>
      <c r="AG1785" t="s">
        <v>787</v>
      </c>
    </row>
    <row r="1786" spans="1:34" ht="18.75" customHeight="1" x14ac:dyDescent="0.3">
      <c r="A1786" s="1">
        <v>2001134791143</v>
      </c>
      <c r="B1786" t="s">
        <v>495</v>
      </c>
      <c r="C1786" t="s">
        <v>4815</v>
      </c>
      <c r="D1786" t="s">
        <v>4816</v>
      </c>
      <c r="E1786" t="s">
        <v>1874</v>
      </c>
      <c r="F1786" t="s">
        <v>4817</v>
      </c>
      <c r="G1786">
        <v>37136</v>
      </c>
      <c r="H1786">
        <v>37137</v>
      </c>
      <c r="I1786">
        <v>44197</v>
      </c>
      <c r="L1786" t="s">
        <v>135</v>
      </c>
      <c r="M1786" t="s">
        <v>136</v>
      </c>
      <c r="N1786" t="s">
        <v>47</v>
      </c>
      <c r="O1786" t="s">
        <v>499</v>
      </c>
      <c r="P1786" t="s">
        <v>49</v>
      </c>
      <c r="R1786">
        <v>8</v>
      </c>
      <c r="S1786">
        <v>0</v>
      </c>
      <c r="T1786">
        <v>0</v>
      </c>
      <c r="U1786" t="s">
        <v>4818</v>
      </c>
      <c r="V1786" t="s">
        <v>4819</v>
      </c>
      <c r="W1786">
        <v>2001134791143</v>
      </c>
      <c r="X1786">
        <v>31069</v>
      </c>
      <c r="Y1786" t="s">
        <v>51</v>
      </c>
      <c r="Z1786">
        <v>3</v>
      </c>
      <c r="AB1786">
        <v>2</v>
      </c>
      <c r="AF1786">
        <v>80</v>
      </c>
      <c r="AG1786">
        <v>176</v>
      </c>
      <c r="AH1786">
        <v>4</v>
      </c>
    </row>
    <row r="1787" spans="1:34" ht="18.75" customHeight="1" x14ac:dyDescent="0.3">
      <c r="A1787" s="1">
        <v>2012134704367</v>
      </c>
      <c r="B1787" t="s">
        <v>57</v>
      </c>
      <c r="C1787" t="s">
        <v>4820</v>
      </c>
      <c r="D1787" t="s">
        <v>4816</v>
      </c>
      <c r="E1787" t="s">
        <v>1874</v>
      </c>
      <c r="F1787">
        <v>148</v>
      </c>
      <c r="G1787">
        <v>41111</v>
      </c>
      <c r="H1787">
        <v>41309</v>
      </c>
      <c r="I1787">
        <v>45108</v>
      </c>
      <c r="L1787" t="s">
        <v>88</v>
      </c>
      <c r="M1787" t="s">
        <v>46</v>
      </c>
      <c r="N1787" t="s">
        <v>47</v>
      </c>
      <c r="O1787" t="s">
        <v>4821</v>
      </c>
      <c r="P1787" t="s">
        <v>49</v>
      </c>
      <c r="R1787">
        <v>2</v>
      </c>
      <c r="S1787">
        <v>0</v>
      </c>
      <c r="T1787">
        <v>0</v>
      </c>
      <c r="U1787" t="s">
        <v>4822</v>
      </c>
      <c r="W1787">
        <v>29309051800036</v>
      </c>
      <c r="X1787">
        <v>34217</v>
      </c>
      <c r="Y1787" t="s">
        <v>103</v>
      </c>
      <c r="AA1787">
        <v>1</v>
      </c>
      <c r="AH1787" t="s">
        <v>787</v>
      </c>
    </row>
    <row r="1788" spans="1:34" ht="18.75" customHeight="1" x14ac:dyDescent="0.3">
      <c r="A1788" s="1">
        <v>2015131804453</v>
      </c>
      <c r="B1788" t="s">
        <v>106</v>
      </c>
      <c r="C1788" t="s">
        <v>4823</v>
      </c>
      <c r="D1788" t="s">
        <v>4584</v>
      </c>
      <c r="E1788" t="s">
        <v>750</v>
      </c>
      <c r="F1788">
        <v>154</v>
      </c>
      <c r="G1788">
        <v>42224</v>
      </c>
      <c r="I1788">
        <v>44743</v>
      </c>
      <c r="J1788">
        <v>44144</v>
      </c>
      <c r="K1788">
        <v>44144</v>
      </c>
      <c r="L1788" t="s">
        <v>135</v>
      </c>
      <c r="M1788" t="s">
        <v>46</v>
      </c>
      <c r="N1788" t="s">
        <v>727</v>
      </c>
      <c r="O1788" t="s">
        <v>4585</v>
      </c>
      <c r="Q1788" t="s">
        <v>49</v>
      </c>
      <c r="R1788">
        <v>19</v>
      </c>
      <c r="S1788">
        <v>0</v>
      </c>
      <c r="T1788">
        <v>0</v>
      </c>
      <c r="U1788" t="s">
        <v>4824</v>
      </c>
      <c r="W1788">
        <v>29812191400716</v>
      </c>
      <c r="X1788">
        <v>36148</v>
      </c>
      <c r="Y1788" t="s">
        <v>103</v>
      </c>
      <c r="Z1788">
        <v>3</v>
      </c>
      <c r="AA1788">
        <v>1</v>
      </c>
      <c r="AB1788">
        <v>2</v>
      </c>
      <c r="AC1788" t="s">
        <v>4825</v>
      </c>
      <c r="AD1788" t="s">
        <v>3957</v>
      </c>
      <c r="AE1788" t="s">
        <v>176</v>
      </c>
      <c r="AF1788">
        <v>76</v>
      </c>
      <c r="AG1788">
        <v>169</v>
      </c>
    </row>
    <row r="1789" spans="1:34" ht="18.75" customHeight="1" x14ac:dyDescent="0.3">
      <c r="A1789" s="1">
        <v>2013134705371</v>
      </c>
      <c r="B1789" t="s">
        <v>57</v>
      </c>
      <c r="C1789" t="s">
        <v>4826</v>
      </c>
      <c r="D1789" t="s">
        <v>4816</v>
      </c>
      <c r="E1789" t="s">
        <v>1874</v>
      </c>
      <c r="F1789">
        <v>150</v>
      </c>
      <c r="G1789">
        <v>41510</v>
      </c>
      <c r="H1789">
        <v>41707</v>
      </c>
      <c r="I1789">
        <v>45474</v>
      </c>
      <c r="L1789" t="s">
        <v>88</v>
      </c>
      <c r="M1789" t="s">
        <v>342</v>
      </c>
      <c r="N1789" t="s">
        <v>47</v>
      </c>
      <c r="O1789" t="s">
        <v>394</v>
      </c>
      <c r="P1789" t="s">
        <v>49</v>
      </c>
      <c r="R1789">
        <v>0</v>
      </c>
      <c r="S1789">
        <v>0</v>
      </c>
      <c r="T1789">
        <v>0</v>
      </c>
      <c r="U1789" t="s">
        <v>4827</v>
      </c>
      <c r="V1789" t="s">
        <v>4828</v>
      </c>
      <c r="W1789">
        <v>29002041801095</v>
      </c>
      <c r="X1789">
        <v>32908</v>
      </c>
      <c r="Y1789" t="s">
        <v>103</v>
      </c>
      <c r="AA1789">
        <v>0</v>
      </c>
      <c r="AF1789">
        <v>72</v>
      </c>
      <c r="AG1789">
        <v>176</v>
      </c>
      <c r="AH1789">
        <v>-4</v>
      </c>
    </row>
    <row r="1790" spans="1:34" ht="18.75" customHeight="1" x14ac:dyDescent="0.3">
      <c r="A1790" s="1">
        <v>2014134703191</v>
      </c>
      <c r="B1790" t="s">
        <v>57</v>
      </c>
      <c r="C1790" t="s">
        <v>4829</v>
      </c>
      <c r="D1790" t="s">
        <v>4816</v>
      </c>
      <c r="E1790" t="s">
        <v>1874</v>
      </c>
      <c r="F1790">
        <v>151</v>
      </c>
      <c r="G1790">
        <v>41853</v>
      </c>
      <c r="H1790">
        <v>42051</v>
      </c>
      <c r="I1790">
        <v>45839</v>
      </c>
      <c r="L1790" t="s">
        <v>88</v>
      </c>
      <c r="M1790" t="s">
        <v>46</v>
      </c>
      <c r="N1790" t="s">
        <v>47</v>
      </c>
      <c r="O1790" t="s">
        <v>96</v>
      </c>
      <c r="P1790" t="s">
        <v>49</v>
      </c>
      <c r="R1790">
        <v>0</v>
      </c>
      <c r="S1790">
        <v>0</v>
      </c>
      <c r="T1790">
        <v>0</v>
      </c>
      <c r="U1790" t="s">
        <v>4830</v>
      </c>
      <c r="W1790">
        <v>29308011712219</v>
      </c>
      <c r="X1790">
        <v>34182</v>
      </c>
      <c r="Y1790" t="s">
        <v>103</v>
      </c>
      <c r="AA1790">
        <v>1</v>
      </c>
      <c r="AF1790">
        <v>78</v>
      </c>
      <c r="AG1790">
        <v>182</v>
      </c>
      <c r="AH1790">
        <v>-4</v>
      </c>
    </row>
    <row r="1791" spans="1:34" ht="18.75" customHeight="1" x14ac:dyDescent="0.3">
      <c r="A1791" s="1">
        <v>2015134700442</v>
      </c>
      <c r="B1791" t="s">
        <v>57</v>
      </c>
      <c r="C1791" t="s">
        <v>4831</v>
      </c>
      <c r="D1791" t="s">
        <v>4816</v>
      </c>
      <c r="E1791" t="s">
        <v>1874</v>
      </c>
      <c r="F1791">
        <v>153</v>
      </c>
      <c r="G1791">
        <v>42030</v>
      </c>
      <c r="H1791">
        <v>42227</v>
      </c>
      <c r="I1791">
        <v>46023</v>
      </c>
      <c r="L1791" t="s">
        <v>88</v>
      </c>
      <c r="M1791" t="s">
        <v>136</v>
      </c>
      <c r="N1791" t="s">
        <v>47</v>
      </c>
      <c r="O1791" t="s">
        <v>4832</v>
      </c>
      <c r="P1791" t="s">
        <v>49</v>
      </c>
      <c r="R1791">
        <v>7</v>
      </c>
      <c r="S1791">
        <v>0</v>
      </c>
      <c r="T1791">
        <v>0</v>
      </c>
      <c r="U1791" t="s">
        <v>4833</v>
      </c>
      <c r="W1791">
        <v>29511252100079</v>
      </c>
      <c r="X1791">
        <v>35028</v>
      </c>
      <c r="Y1791" t="s">
        <v>103</v>
      </c>
      <c r="AA1791">
        <v>1</v>
      </c>
      <c r="AF1791">
        <v>74</v>
      </c>
      <c r="AG1791">
        <v>176</v>
      </c>
      <c r="AH1791">
        <v>-2</v>
      </c>
    </row>
    <row r="1792" spans="1:34" ht="18.75" customHeight="1" x14ac:dyDescent="0.3">
      <c r="A1792" s="1">
        <v>2017131804152</v>
      </c>
      <c r="B1792" t="s">
        <v>106</v>
      </c>
      <c r="C1792" t="s">
        <v>4834</v>
      </c>
      <c r="D1792" t="s">
        <v>4584</v>
      </c>
      <c r="E1792" t="s">
        <v>750</v>
      </c>
      <c r="F1792">
        <v>157</v>
      </c>
      <c r="G1792">
        <v>42915</v>
      </c>
      <c r="I1792">
        <v>45658</v>
      </c>
      <c r="J1792">
        <v>44638</v>
      </c>
      <c r="K1792">
        <v>44638</v>
      </c>
      <c r="L1792" t="s">
        <v>135</v>
      </c>
      <c r="M1792" t="s">
        <v>46</v>
      </c>
      <c r="N1792" t="s">
        <v>727</v>
      </c>
      <c r="O1792" t="s">
        <v>4585</v>
      </c>
      <c r="Q1792" t="s">
        <v>49</v>
      </c>
      <c r="R1792">
        <v>9</v>
      </c>
      <c r="S1792">
        <v>0</v>
      </c>
      <c r="T1792">
        <v>0</v>
      </c>
      <c r="U1792" t="s">
        <v>4835</v>
      </c>
      <c r="W1792">
        <v>30007011207498</v>
      </c>
      <c r="X1792">
        <v>36708</v>
      </c>
      <c r="Y1792" t="s">
        <v>103</v>
      </c>
      <c r="Z1792">
        <v>1</v>
      </c>
      <c r="AA1792">
        <v>1</v>
      </c>
      <c r="AB1792">
        <v>0</v>
      </c>
      <c r="AC1792" t="s">
        <v>4836</v>
      </c>
      <c r="AD1792" t="s">
        <v>1293</v>
      </c>
      <c r="AE1792" t="s">
        <v>118</v>
      </c>
      <c r="AF1792">
        <v>83</v>
      </c>
      <c r="AG1792">
        <v>175</v>
      </c>
    </row>
    <row r="1793" spans="1:34" ht="18.75" customHeight="1" x14ac:dyDescent="0.3">
      <c r="A1793" s="1">
        <v>2018138305094</v>
      </c>
      <c r="B1793" t="s">
        <v>106</v>
      </c>
      <c r="C1793" t="s">
        <v>4837</v>
      </c>
      <c r="D1793" t="s">
        <v>4816</v>
      </c>
      <c r="E1793" t="s">
        <v>1874</v>
      </c>
      <c r="F1793">
        <v>158</v>
      </c>
      <c r="G1793">
        <v>43279</v>
      </c>
      <c r="H1793">
        <v>44117</v>
      </c>
      <c r="I1793">
        <v>46023</v>
      </c>
      <c r="L1793" t="s">
        <v>135</v>
      </c>
      <c r="M1793" t="s">
        <v>46</v>
      </c>
      <c r="N1793" t="s">
        <v>127</v>
      </c>
      <c r="O1793" t="s">
        <v>813</v>
      </c>
      <c r="P1793" t="s">
        <v>49</v>
      </c>
      <c r="R1793">
        <v>0</v>
      </c>
      <c r="S1793">
        <v>0</v>
      </c>
      <c r="T1793">
        <v>0</v>
      </c>
      <c r="U1793" t="s">
        <v>4838</v>
      </c>
      <c r="W1793">
        <v>30102151600095</v>
      </c>
      <c r="X1793">
        <v>36937</v>
      </c>
      <c r="Y1793" t="s">
        <v>153</v>
      </c>
      <c r="Z1793">
        <v>0</v>
      </c>
      <c r="AF1793">
        <v>78</v>
      </c>
      <c r="AG1793">
        <v>179</v>
      </c>
      <c r="AH1793">
        <v>-1</v>
      </c>
    </row>
    <row r="1794" spans="1:34" ht="18.75" customHeight="1" x14ac:dyDescent="0.3">
      <c r="A1794" s="1">
        <v>2019134700139</v>
      </c>
      <c r="B1794" t="s">
        <v>125</v>
      </c>
      <c r="C1794" t="s">
        <v>4839</v>
      </c>
      <c r="D1794" t="s">
        <v>4816</v>
      </c>
      <c r="E1794" t="s">
        <v>1874</v>
      </c>
      <c r="F1794">
        <v>159</v>
      </c>
      <c r="G1794">
        <v>43692</v>
      </c>
      <c r="H1794">
        <v>44482</v>
      </c>
      <c r="I1794">
        <v>44482</v>
      </c>
      <c r="L1794" t="s">
        <v>88</v>
      </c>
      <c r="M1794" t="s">
        <v>46</v>
      </c>
      <c r="N1794" t="s">
        <v>47</v>
      </c>
      <c r="O1794" t="s">
        <v>48</v>
      </c>
      <c r="P1794" t="s">
        <v>49</v>
      </c>
      <c r="R1794">
        <v>1</v>
      </c>
      <c r="S1794">
        <v>0</v>
      </c>
      <c r="T1794">
        <v>0</v>
      </c>
      <c r="U1794" t="s">
        <v>4840</v>
      </c>
      <c r="V1794" t="s">
        <v>4841</v>
      </c>
      <c r="W1794">
        <v>30011301402232</v>
      </c>
      <c r="X1794">
        <v>36860</v>
      </c>
      <c r="Y1794" t="s">
        <v>51</v>
      </c>
      <c r="Z1794">
        <v>0</v>
      </c>
      <c r="AF1794">
        <v>83</v>
      </c>
      <c r="AG1794">
        <v>183</v>
      </c>
      <c r="AH1794">
        <v>0</v>
      </c>
    </row>
    <row r="1795" spans="1:34" ht="18.75" customHeight="1" x14ac:dyDescent="0.3">
      <c r="A1795" s="1">
        <v>2021134703500</v>
      </c>
      <c r="B1795" t="s">
        <v>125</v>
      </c>
      <c r="C1795" t="s">
        <v>4842</v>
      </c>
      <c r="D1795" t="s">
        <v>4816</v>
      </c>
      <c r="E1795" t="s">
        <v>1874</v>
      </c>
      <c r="F1795">
        <v>160</v>
      </c>
      <c r="G1795">
        <v>44205</v>
      </c>
      <c r="H1795">
        <v>45197</v>
      </c>
      <c r="I1795">
        <v>45197</v>
      </c>
      <c r="L1795" t="s">
        <v>88</v>
      </c>
      <c r="M1795" t="s">
        <v>46</v>
      </c>
      <c r="N1795" t="s">
        <v>47</v>
      </c>
      <c r="O1795" t="s">
        <v>2118</v>
      </c>
      <c r="P1795" t="s">
        <v>49</v>
      </c>
      <c r="R1795">
        <v>1</v>
      </c>
      <c r="S1795">
        <v>0</v>
      </c>
      <c r="T1795">
        <v>0</v>
      </c>
      <c r="U1795">
        <v>1151030440</v>
      </c>
      <c r="V1795" t="s">
        <v>4843</v>
      </c>
      <c r="W1795">
        <v>30110251300997</v>
      </c>
      <c r="X1795">
        <v>37189</v>
      </c>
      <c r="Y1795" t="s">
        <v>51</v>
      </c>
      <c r="Z1795">
        <v>0</v>
      </c>
      <c r="AF1795">
        <v>74</v>
      </c>
      <c r="AG1795">
        <v>174</v>
      </c>
      <c r="AH1795">
        <v>0</v>
      </c>
    </row>
    <row r="1796" spans="1:34" ht="18.75" customHeight="1" x14ac:dyDescent="0.3">
      <c r="A1796" s="1">
        <v>2021134709011</v>
      </c>
      <c r="B1796" t="s">
        <v>125</v>
      </c>
      <c r="C1796" t="s">
        <v>4844</v>
      </c>
      <c r="D1796" t="s">
        <v>4816</v>
      </c>
      <c r="E1796" t="s">
        <v>1874</v>
      </c>
      <c r="F1796">
        <v>160</v>
      </c>
      <c r="G1796">
        <v>44205</v>
      </c>
      <c r="H1796">
        <v>45197</v>
      </c>
      <c r="I1796">
        <v>45197</v>
      </c>
      <c r="L1796" t="s">
        <v>45</v>
      </c>
      <c r="M1796" t="s">
        <v>342</v>
      </c>
      <c r="N1796" t="s">
        <v>47</v>
      </c>
      <c r="O1796" t="s">
        <v>4845</v>
      </c>
      <c r="P1796" t="s">
        <v>49</v>
      </c>
      <c r="R1796">
        <v>0</v>
      </c>
      <c r="S1796">
        <v>0</v>
      </c>
      <c r="T1796">
        <v>0</v>
      </c>
      <c r="U1796" t="s">
        <v>4846</v>
      </c>
      <c r="V1796" t="s">
        <v>4847</v>
      </c>
      <c r="W1796">
        <v>30004252400036</v>
      </c>
      <c r="X1796">
        <v>36641</v>
      </c>
      <c r="Y1796" t="s">
        <v>153</v>
      </c>
      <c r="Z1796">
        <v>0</v>
      </c>
      <c r="AF1796">
        <v>75</v>
      </c>
      <c r="AG1796">
        <v>177</v>
      </c>
      <c r="AH1796">
        <v>-2</v>
      </c>
    </row>
    <row r="1797" spans="1:34" ht="18.75" customHeight="1" x14ac:dyDescent="0.3">
      <c r="A1797" s="1">
        <v>2021134714698</v>
      </c>
      <c r="B1797" t="s">
        <v>125</v>
      </c>
      <c r="C1797" t="s">
        <v>4848</v>
      </c>
      <c r="D1797" t="s">
        <v>4816</v>
      </c>
      <c r="E1797" t="s">
        <v>1874</v>
      </c>
      <c r="F1797">
        <v>161</v>
      </c>
      <c r="G1797">
        <v>44546</v>
      </c>
      <c r="H1797">
        <v>45581</v>
      </c>
      <c r="I1797">
        <v>45581</v>
      </c>
      <c r="L1797" t="s">
        <v>135</v>
      </c>
      <c r="M1797" t="s">
        <v>46</v>
      </c>
      <c r="N1797" t="s">
        <v>47</v>
      </c>
      <c r="O1797" t="s">
        <v>4849</v>
      </c>
      <c r="P1797" t="s">
        <v>49</v>
      </c>
      <c r="R1797">
        <v>0</v>
      </c>
      <c r="S1797">
        <v>0</v>
      </c>
      <c r="T1797">
        <v>0</v>
      </c>
      <c r="U1797" t="s">
        <v>4850</v>
      </c>
      <c r="V1797" t="s">
        <v>4851</v>
      </c>
      <c r="W1797">
        <v>30002061801135</v>
      </c>
      <c r="X1797">
        <v>36562</v>
      </c>
      <c r="Y1797" t="s">
        <v>51</v>
      </c>
      <c r="Z1797">
        <v>0</v>
      </c>
      <c r="AF1797">
        <v>68</v>
      </c>
      <c r="AG1797">
        <v>182</v>
      </c>
      <c r="AH1797">
        <v>-14</v>
      </c>
    </row>
    <row r="1798" spans="1:34" ht="18.75" customHeight="1" x14ac:dyDescent="0.3">
      <c r="A1798" s="1">
        <v>2021134716157</v>
      </c>
      <c r="B1798" t="s">
        <v>125</v>
      </c>
      <c r="C1798" t="s">
        <v>4852</v>
      </c>
      <c r="D1798" t="s">
        <v>4816</v>
      </c>
      <c r="E1798" t="s">
        <v>1874</v>
      </c>
      <c r="F1798">
        <v>161</v>
      </c>
      <c r="G1798">
        <v>44546</v>
      </c>
      <c r="H1798">
        <v>45581</v>
      </c>
      <c r="I1798">
        <v>45597</v>
      </c>
      <c r="L1798" t="s">
        <v>88</v>
      </c>
      <c r="M1798" t="s">
        <v>136</v>
      </c>
      <c r="N1798" t="s">
        <v>47</v>
      </c>
      <c r="O1798" t="s">
        <v>4853</v>
      </c>
      <c r="P1798" t="s">
        <v>49</v>
      </c>
      <c r="R1798">
        <v>0</v>
      </c>
      <c r="S1798">
        <v>0</v>
      </c>
      <c r="T1798">
        <v>0</v>
      </c>
      <c r="U1798" t="s">
        <v>4854</v>
      </c>
      <c r="V1798" t="s">
        <v>4855</v>
      </c>
      <c r="W1798">
        <v>2021134716157</v>
      </c>
      <c r="X1798">
        <v>37854</v>
      </c>
      <c r="Y1798" t="s">
        <v>153</v>
      </c>
      <c r="Z1798">
        <v>0</v>
      </c>
      <c r="AF1798">
        <v>72</v>
      </c>
      <c r="AG1798">
        <v>172</v>
      </c>
      <c r="AH1798">
        <v>0</v>
      </c>
    </row>
    <row r="1799" spans="1:34" ht="18.75" customHeight="1" x14ac:dyDescent="0.3">
      <c r="A1799" s="1">
        <v>2021134723219</v>
      </c>
      <c r="B1799" t="s">
        <v>125</v>
      </c>
      <c r="C1799" t="s">
        <v>4856</v>
      </c>
      <c r="D1799" t="s">
        <v>4816</v>
      </c>
      <c r="E1799" t="s">
        <v>1874</v>
      </c>
      <c r="F1799">
        <v>161</v>
      </c>
      <c r="G1799">
        <v>44546</v>
      </c>
      <c r="H1799">
        <v>45581</v>
      </c>
      <c r="I1799">
        <v>45581</v>
      </c>
      <c r="L1799" t="s">
        <v>135</v>
      </c>
      <c r="M1799" t="s">
        <v>136</v>
      </c>
      <c r="N1799" t="s">
        <v>47</v>
      </c>
      <c r="O1799" t="s">
        <v>499</v>
      </c>
      <c r="P1799" t="s">
        <v>49</v>
      </c>
      <c r="R1799">
        <v>0</v>
      </c>
      <c r="S1799">
        <v>0</v>
      </c>
      <c r="T1799">
        <v>0</v>
      </c>
      <c r="U1799" t="s">
        <v>4857</v>
      </c>
      <c r="V1799" t="s">
        <v>4858</v>
      </c>
      <c r="W1799">
        <v>30504201703096</v>
      </c>
      <c r="X1799">
        <v>38462</v>
      </c>
      <c r="Y1799" t="s">
        <v>153</v>
      </c>
      <c r="Z1799">
        <v>0</v>
      </c>
      <c r="AF1799">
        <v>75</v>
      </c>
      <c r="AG1799">
        <v>182</v>
      </c>
      <c r="AH1799">
        <v>-7</v>
      </c>
    </row>
    <row r="1800" spans="1:34" ht="18.75" customHeight="1" x14ac:dyDescent="0.3">
      <c r="A1800" s="1">
        <v>2023134701592</v>
      </c>
      <c r="B1800" t="s">
        <v>125</v>
      </c>
      <c r="C1800" t="s">
        <v>4859</v>
      </c>
      <c r="D1800" t="s">
        <v>4816</v>
      </c>
      <c r="E1800" t="s">
        <v>1874</v>
      </c>
      <c r="F1800">
        <v>162</v>
      </c>
      <c r="G1800">
        <v>44941</v>
      </c>
      <c r="H1800">
        <v>45931</v>
      </c>
      <c r="I1800">
        <v>45931</v>
      </c>
      <c r="L1800" t="s">
        <v>135</v>
      </c>
      <c r="M1800" t="s">
        <v>46</v>
      </c>
      <c r="N1800" t="s">
        <v>47</v>
      </c>
      <c r="O1800" t="s">
        <v>48</v>
      </c>
      <c r="P1800" t="s">
        <v>49</v>
      </c>
      <c r="R1800">
        <v>0</v>
      </c>
      <c r="S1800">
        <v>0</v>
      </c>
      <c r="T1800">
        <v>0</v>
      </c>
      <c r="U1800" t="s">
        <v>4860</v>
      </c>
      <c r="V1800" t="s">
        <v>4861</v>
      </c>
      <c r="W1800">
        <v>30601151800155</v>
      </c>
      <c r="X1800">
        <v>38732</v>
      </c>
      <c r="Y1800" t="s">
        <v>153</v>
      </c>
      <c r="Z1800">
        <v>0</v>
      </c>
      <c r="AF1800">
        <v>80</v>
      </c>
      <c r="AG1800">
        <v>181</v>
      </c>
      <c r="AH1800">
        <v>-1</v>
      </c>
    </row>
    <row r="1801" spans="1:34" ht="18.75" customHeight="1" x14ac:dyDescent="0.3">
      <c r="A1801" s="1">
        <v>2005138305207</v>
      </c>
      <c r="B1801" t="s">
        <v>57</v>
      </c>
      <c r="C1801" t="s">
        <v>4862</v>
      </c>
      <c r="D1801" t="s">
        <v>1855</v>
      </c>
      <c r="E1801" t="s">
        <v>850</v>
      </c>
      <c r="F1801">
        <v>134</v>
      </c>
      <c r="G1801">
        <v>38549</v>
      </c>
      <c r="H1801">
        <v>39022</v>
      </c>
      <c r="I1801">
        <v>44743</v>
      </c>
      <c r="K1801">
        <v>44505</v>
      </c>
      <c r="L1801" t="s">
        <v>135</v>
      </c>
      <c r="M1801" t="s">
        <v>1720</v>
      </c>
      <c r="N1801" t="s">
        <v>127</v>
      </c>
      <c r="O1801" t="s">
        <v>4464</v>
      </c>
      <c r="Q1801" t="s">
        <v>49</v>
      </c>
      <c r="R1801">
        <v>3</v>
      </c>
      <c r="S1801">
        <v>0</v>
      </c>
      <c r="T1801">
        <v>1</v>
      </c>
      <c r="U1801" t="s">
        <v>4863</v>
      </c>
      <c r="W1801">
        <v>28603310201253</v>
      </c>
      <c r="X1801">
        <v>31502</v>
      </c>
      <c r="Y1801" t="s">
        <v>103</v>
      </c>
      <c r="AB1801">
        <v>2</v>
      </c>
      <c r="AF1801">
        <v>80</v>
      </c>
      <c r="AG1801">
        <v>180</v>
      </c>
      <c r="AH1801">
        <v>0</v>
      </c>
    </row>
    <row r="1802" spans="1:34" ht="18.75" customHeight="1" x14ac:dyDescent="0.3">
      <c r="A1802" s="1">
        <v>2008138306621</v>
      </c>
      <c r="B1802" t="s">
        <v>57</v>
      </c>
      <c r="C1802" t="s">
        <v>4864</v>
      </c>
      <c r="D1802" t="s">
        <v>1855</v>
      </c>
      <c r="E1802" t="s">
        <v>850</v>
      </c>
      <c r="F1802">
        <v>141</v>
      </c>
      <c r="G1802">
        <v>39655</v>
      </c>
      <c r="H1802">
        <v>40128</v>
      </c>
      <c r="I1802">
        <v>45658</v>
      </c>
      <c r="K1802">
        <v>45585</v>
      </c>
      <c r="L1802" t="s">
        <v>135</v>
      </c>
      <c r="M1802" t="s">
        <v>1720</v>
      </c>
      <c r="N1802" t="s">
        <v>127</v>
      </c>
      <c r="O1802" t="s">
        <v>4464</v>
      </c>
      <c r="Q1802" t="s">
        <v>49</v>
      </c>
      <c r="R1802">
        <v>2</v>
      </c>
      <c r="S1802">
        <v>0</v>
      </c>
      <c r="T1802">
        <v>0</v>
      </c>
      <c r="U1802" t="s">
        <v>4865</v>
      </c>
      <c r="W1802">
        <v>29005201801932</v>
      </c>
      <c r="X1802">
        <v>33013</v>
      </c>
      <c r="Y1802" t="s">
        <v>103</v>
      </c>
      <c r="AB1802">
        <v>4</v>
      </c>
      <c r="AF1802">
        <v>70</v>
      </c>
      <c r="AG1802">
        <v>174</v>
      </c>
      <c r="AH1802">
        <v>-4</v>
      </c>
    </row>
    <row r="1803" spans="1:34" ht="18.75" customHeight="1" x14ac:dyDescent="0.3">
      <c r="A1803" s="1">
        <v>2011138302044</v>
      </c>
      <c r="B1803" t="s">
        <v>75</v>
      </c>
      <c r="C1803" t="s">
        <v>4866</v>
      </c>
      <c r="D1803" t="s">
        <v>1855</v>
      </c>
      <c r="E1803" t="s">
        <v>850</v>
      </c>
      <c r="F1803">
        <v>145</v>
      </c>
      <c r="G1803">
        <v>40544</v>
      </c>
      <c r="H1803">
        <v>41054</v>
      </c>
      <c r="I1803">
        <v>44743</v>
      </c>
      <c r="K1803">
        <v>44505</v>
      </c>
      <c r="L1803" t="s">
        <v>135</v>
      </c>
      <c r="M1803" t="s">
        <v>1720</v>
      </c>
      <c r="N1803" t="s">
        <v>127</v>
      </c>
      <c r="O1803" t="s">
        <v>4464</v>
      </c>
      <c r="Q1803" t="s">
        <v>49</v>
      </c>
      <c r="R1803">
        <v>6</v>
      </c>
      <c r="S1803">
        <v>2</v>
      </c>
      <c r="T1803">
        <v>0</v>
      </c>
      <c r="U1803">
        <v>1021558372</v>
      </c>
      <c r="W1803">
        <v>29406081301595</v>
      </c>
      <c r="X1803">
        <v>34493</v>
      </c>
      <c r="Y1803" t="s">
        <v>103</v>
      </c>
      <c r="AB1803">
        <v>3</v>
      </c>
      <c r="AF1803">
        <v>80</v>
      </c>
      <c r="AG1803">
        <v>178</v>
      </c>
      <c r="AH1803">
        <v>2</v>
      </c>
    </row>
    <row r="1804" spans="1:34" ht="18.75" customHeight="1" x14ac:dyDescent="0.3">
      <c r="A1804" s="1">
        <v>2016138309371</v>
      </c>
      <c r="B1804" t="s">
        <v>106</v>
      </c>
      <c r="C1804" t="s">
        <v>4867</v>
      </c>
      <c r="D1804" t="s">
        <v>1855</v>
      </c>
      <c r="E1804" t="s">
        <v>850</v>
      </c>
      <c r="F1804">
        <v>156</v>
      </c>
      <c r="G1804">
        <v>42575</v>
      </c>
      <c r="H1804">
        <v>43321</v>
      </c>
      <c r="I1804">
        <v>45292</v>
      </c>
      <c r="K1804">
        <v>45592</v>
      </c>
      <c r="L1804" t="s">
        <v>135</v>
      </c>
      <c r="M1804" t="s">
        <v>1720</v>
      </c>
      <c r="N1804" t="s">
        <v>127</v>
      </c>
      <c r="O1804" t="s">
        <v>4868</v>
      </c>
      <c r="Q1804" t="s">
        <v>49</v>
      </c>
      <c r="R1804">
        <v>5</v>
      </c>
      <c r="S1804">
        <v>0</v>
      </c>
      <c r="T1804">
        <v>0</v>
      </c>
      <c r="U1804" t="s">
        <v>4869</v>
      </c>
      <c r="W1804">
        <v>29906241601097</v>
      </c>
      <c r="X1804">
        <v>36335</v>
      </c>
      <c r="Y1804" t="s">
        <v>550</v>
      </c>
      <c r="Z1804">
        <v>0</v>
      </c>
      <c r="AB1804">
        <v>0</v>
      </c>
      <c r="AF1804">
        <v>81</v>
      </c>
      <c r="AG1804">
        <v>182</v>
      </c>
      <c r="AH1804">
        <v>-1</v>
      </c>
    </row>
    <row r="1805" spans="1:34" ht="18.75" customHeight="1" x14ac:dyDescent="0.3">
      <c r="A1805" s="1">
        <v>2017131809037</v>
      </c>
      <c r="B1805" t="s">
        <v>106</v>
      </c>
      <c r="C1805" t="s">
        <v>4870</v>
      </c>
      <c r="D1805" t="s">
        <v>4584</v>
      </c>
      <c r="E1805" t="s">
        <v>750</v>
      </c>
      <c r="F1805">
        <v>157</v>
      </c>
      <c r="G1805">
        <v>42915</v>
      </c>
      <c r="I1805">
        <v>46023</v>
      </c>
      <c r="J1805">
        <v>44137</v>
      </c>
      <c r="K1805">
        <v>44137</v>
      </c>
      <c r="L1805" t="s">
        <v>135</v>
      </c>
      <c r="M1805" t="s">
        <v>46</v>
      </c>
      <c r="N1805" t="s">
        <v>727</v>
      </c>
      <c r="O1805" t="s">
        <v>4585</v>
      </c>
      <c r="Q1805" t="s">
        <v>49</v>
      </c>
      <c r="R1805">
        <v>1</v>
      </c>
      <c r="S1805">
        <v>0</v>
      </c>
      <c r="T1805">
        <v>0</v>
      </c>
      <c r="U1805" t="s">
        <v>4871</v>
      </c>
      <c r="W1805">
        <v>29808131700331</v>
      </c>
      <c r="X1805">
        <v>36020</v>
      </c>
      <c r="Y1805" t="s">
        <v>153</v>
      </c>
      <c r="Z1805">
        <v>0</v>
      </c>
      <c r="AA1805">
        <v>0</v>
      </c>
      <c r="AB1805">
        <v>0</v>
      </c>
      <c r="AC1805" t="s">
        <v>4872</v>
      </c>
      <c r="AD1805" t="s">
        <v>321</v>
      </c>
      <c r="AE1805" t="s">
        <v>167</v>
      </c>
      <c r="AF1805">
        <v>82</v>
      </c>
      <c r="AG1805">
        <v>180</v>
      </c>
    </row>
    <row r="1806" spans="1:34" ht="18.75" customHeight="1" x14ac:dyDescent="0.3">
      <c r="A1806" s="1">
        <v>2017138300327</v>
      </c>
      <c r="B1806" t="s">
        <v>106</v>
      </c>
      <c r="C1806" t="s">
        <v>4873</v>
      </c>
      <c r="D1806" t="s">
        <v>1855</v>
      </c>
      <c r="E1806" t="s">
        <v>850</v>
      </c>
      <c r="F1806">
        <v>151</v>
      </c>
      <c r="G1806">
        <v>42915</v>
      </c>
      <c r="H1806">
        <v>43663</v>
      </c>
      <c r="I1806">
        <v>45658</v>
      </c>
      <c r="K1806">
        <v>45588</v>
      </c>
      <c r="L1806" t="s">
        <v>135</v>
      </c>
      <c r="M1806" t="s">
        <v>1720</v>
      </c>
      <c r="N1806" t="s">
        <v>127</v>
      </c>
      <c r="O1806" t="s">
        <v>4464</v>
      </c>
      <c r="Q1806" t="s">
        <v>49</v>
      </c>
      <c r="R1806">
        <v>2</v>
      </c>
      <c r="S1806">
        <v>2</v>
      </c>
      <c r="T1806">
        <v>0</v>
      </c>
      <c r="U1806" t="s">
        <v>4874</v>
      </c>
      <c r="W1806">
        <v>29702181400238</v>
      </c>
      <c r="X1806">
        <v>35479</v>
      </c>
      <c r="Y1806" t="s">
        <v>51</v>
      </c>
      <c r="AF1806">
        <v>81</v>
      </c>
      <c r="AG1806">
        <v>173</v>
      </c>
      <c r="AH1806">
        <v>8</v>
      </c>
    </row>
    <row r="1807" spans="1:34" ht="18.75" customHeight="1" x14ac:dyDescent="0.3">
      <c r="A1807" s="1">
        <v>2017138300393</v>
      </c>
      <c r="B1807" t="s">
        <v>106</v>
      </c>
      <c r="C1807" t="s">
        <v>4875</v>
      </c>
      <c r="D1807" t="s">
        <v>1855</v>
      </c>
      <c r="E1807" t="s">
        <v>850</v>
      </c>
      <c r="F1807">
        <v>157</v>
      </c>
      <c r="G1807">
        <v>42915</v>
      </c>
      <c r="H1807">
        <v>43663</v>
      </c>
      <c r="I1807">
        <v>45658</v>
      </c>
      <c r="K1807">
        <v>45979</v>
      </c>
      <c r="L1807" t="s">
        <v>135</v>
      </c>
      <c r="M1807" t="s">
        <v>1720</v>
      </c>
      <c r="N1807" t="s">
        <v>127</v>
      </c>
      <c r="O1807" t="s">
        <v>4876</v>
      </c>
      <c r="Q1807" t="s">
        <v>49</v>
      </c>
      <c r="R1807">
        <v>0</v>
      </c>
      <c r="S1807">
        <v>0</v>
      </c>
      <c r="T1807">
        <v>0</v>
      </c>
      <c r="U1807">
        <v>1155530119</v>
      </c>
      <c r="W1807">
        <v>29811072300235</v>
      </c>
      <c r="X1807">
        <v>36106</v>
      </c>
      <c r="Y1807" t="s">
        <v>550</v>
      </c>
      <c r="Z1807">
        <v>0</v>
      </c>
      <c r="AB1807">
        <v>0</v>
      </c>
      <c r="AF1807">
        <v>71</v>
      </c>
      <c r="AG1807">
        <v>175</v>
      </c>
      <c r="AH1807">
        <v>-4</v>
      </c>
    </row>
    <row r="1808" spans="1:34" ht="18.75" customHeight="1" x14ac:dyDescent="0.3">
      <c r="A1808" s="1">
        <v>2017138313700</v>
      </c>
      <c r="B1808" t="s">
        <v>106</v>
      </c>
      <c r="C1808" t="s">
        <v>4877</v>
      </c>
      <c r="D1808" t="s">
        <v>1855</v>
      </c>
      <c r="E1808" t="s">
        <v>850</v>
      </c>
      <c r="F1808">
        <v>157</v>
      </c>
      <c r="G1808">
        <v>42915</v>
      </c>
      <c r="H1808">
        <v>43663</v>
      </c>
      <c r="I1808">
        <v>45658</v>
      </c>
      <c r="K1808">
        <v>45222</v>
      </c>
      <c r="L1808" t="s">
        <v>135</v>
      </c>
      <c r="M1808" t="s">
        <v>1720</v>
      </c>
      <c r="N1808" t="s">
        <v>127</v>
      </c>
      <c r="O1808" t="s">
        <v>4464</v>
      </c>
      <c r="Q1808" t="s">
        <v>49</v>
      </c>
      <c r="R1808">
        <v>6</v>
      </c>
      <c r="S1808">
        <v>2</v>
      </c>
      <c r="T1808">
        <v>0</v>
      </c>
      <c r="W1808">
        <v>30105240102758</v>
      </c>
      <c r="X1808">
        <v>37035</v>
      </c>
      <c r="Y1808" t="s">
        <v>550</v>
      </c>
      <c r="Z1808">
        <v>0</v>
      </c>
      <c r="AB1808">
        <v>0</v>
      </c>
      <c r="AF1808">
        <v>71</v>
      </c>
      <c r="AG1808">
        <v>169</v>
      </c>
      <c r="AH1808">
        <v>2</v>
      </c>
    </row>
    <row r="1809" spans="1:34" ht="18.75" customHeight="1" x14ac:dyDescent="0.3">
      <c r="A1809" s="1">
        <v>2021138310509</v>
      </c>
      <c r="B1809" t="s">
        <v>125</v>
      </c>
      <c r="C1809" t="s">
        <v>4878</v>
      </c>
      <c r="D1809" t="s">
        <v>1855</v>
      </c>
      <c r="E1809" t="s">
        <v>850</v>
      </c>
      <c r="F1809">
        <v>162</v>
      </c>
      <c r="G1809">
        <v>44546</v>
      </c>
      <c r="H1809">
        <v>45581</v>
      </c>
      <c r="I1809">
        <v>45581</v>
      </c>
      <c r="K1809">
        <v>45588</v>
      </c>
      <c r="L1809" t="s">
        <v>135</v>
      </c>
      <c r="M1809" t="s">
        <v>1720</v>
      </c>
      <c r="N1809" t="s">
        <v>127</v>
      </c>
      <c r="O1809" t="s">
        <v>4464</v>
      </c>
      <c r="Q1809" t="s">
        <v>49</v>
      </c>
      <c r="R1809">
        <v>1</v>
      </c>
      <c r="S1809">
        <v>1</v>
      </c>
      <c r="T1809">
        <v>0</v>
      </c>
      <c r="W1809">
        <v>30501130200498</v>
      </c>
      <c r="X1809">
        <v>38365</v>
      </c>
      <c r="Y1809" t="s">
        <v>153</v>
      </c>
      <c r="Z1809">
        <v>0</v>
      </c>
      <c r="AB1809">
        <v>0</v>
      </c>
      <c r="AF1809">
        <v>75</v>
      </c>
      <c r="AG1809">
        <v>178</v>
      </c>
      <c r="AH1809">
        <v>-3</v>
      </c>
    </row>
    <row r="1810" spans="1:34" ht="18.75" customHeight="1" x14ac:dyDescent="0.3">
      <c r="A1810" s="1">
        <v>2023138300176</v>
      </c>
      <c r="B1810" t="s">
        <v>125</v>
      </c>
      <c r="C1810" t="s">
        <v>4879</v>
      </c>
      <c r="D1810" t="s">
        <v>1855</v>
      </c>
      <c r="E1810" t="s">
        <v>850</v>
      </c>
      <c r="F1810">
        <v>162</v>
      </c>
      <c r="G1810">
        <v>44941</v>
      </c>
      <c r="H1810">
        <v>45976</v>
      </c>
      <c r="I1810">
        <v>45976</v>
      </c>
      <c r="K1810">
        <v>45932</v>
      </c>
      <c r="L1810" t="s">
        <v>135</v>
      </c>
      <c r="M1810" t="s">
        <v>1720</v>
      </c>
      <c r="N1810" t="s">
        <v>127</v>
      </c>
      <c r="O1810" t="s">
        <v>4464</v>
      </c>
      <c r="Q1810" t="s">
        <v>49</v>
      </c>
      <c r="R1810">
        <v>0</v>
      </c>
      <c r="S1810">
        <v>0</v>
      </c>
      <c r="T1810">
        <v>0</v>
      </c>
      <c r="U1810" t="s">
        <v>4880</v>
      </c>
      <c r="W1810">
        <v>30506300104857</v>
      </c>
      <c r="X1810">
        <v>38533</v>
      </c>
      <c r="Y1810" t="s">
        <v>153</v>
      </c>
      <c r="Z1810">
        <v>0</v>
      </c>
      <c r="AB1810">
        <v>0</v>
      </c>
      <c r="AF1810">
        <v>81</v>
      </c>
      <c r="AG1810">
        <v>179</v>
      </c>
      <c r="AH1810">
        <v>2</v>
      </c>
    </row>
    <row r="1811" spans="1:34" ht="18.75" customHeight="1" x14ac:dyDescent="0.3">
      <c r="A1811" s="1">
        <v>2023138301372</v>
      </c>
      <c r="B1811" t="s">
        <v>125</v>
      </c>
      <c r="C1811" t="s">
        <v>4881</v>
      </c>
      <c r="D1811" t="s">
        <v>1855</v>
      </c>
      <c r="E1811" t="s">
        <v>850</v>
      </c>
      <c r="F1811">
        <v>162</v>
      </c>
      <c r="G1811">
        <v>44941</v>
      </c>
      <c r="H1811">
        <v>45976</v>
      </c>
      <c r="I1811">
        <v>45976</v>
      </c>
      <c r="K1811">
        <v>45932</v>
      </c>
      <c r="L1811" t="s">
        <v>135</v>
      </c>
      <c r="M1811" t="s">
        <v>1720</v>
      </c>
      <c r="N1811" t="s">
        <v>127</v>
      </c>
      <c r="O1811" t="s">
        <v>4464</v>
      </c>
      <c r="Q1811" t="s">
        <v>49</v>
      </c>
      <c r="R1811">
        <v>0</v>
      </c>
      <c r="S1811">
        <v>0</v>
      </c>
      <c r="T1811">
        <v>0</v>
      </c>
      <c r="U1811" t="s">
        <v>4882</v>
      </c>
      <c r="W1811">
        <v>29608151600635</v>
      </c>
      <c r="X1811">
        <v>38596</v>
      </c>
      <c r="Y1811" t="s">
        <v>153</v>
      </c>
      <c r="Z1811">
        <v>0</v>
      </c>
      <c r="AB1811">
        <v>0</v>
      </c>
      <c r="AF1811">
        <v>63</v>
      </c>
      <c r="AG1811">
        <v>175</v>
      </c>
      <c r="AH1811">
        <v>-12</v>
      </c>
    </row>
    <row r="1812" spans="1:34" ht="18.75" customHeight="1" x14ac:dyDescent="0.3">
      <c r="A1812" s="1">
        <v>2018138307967</v>
      </c>
      <c r="B1812" t="s">
        <v>125</v>
      </c>
      <c r="C1812" t="s">
        <v>4883</v>
      </c>
      <c r="D1812" t="s">
        <v>4884</v>
      </c>
      <c r="E1812" t="s">
        <v>850</v>
      </c>
      <c r="F1812">
        <v>153</v>
      </c>
      <c r="G1812">
        <v>43279</v>
      </c>
      <c r="H1812">
        <v>44117</v>
      </c>
      <c r="I1812">
        <v>46023</v>
      </c>
      <c r="K1812">
        <v>44106</v>
      </c>
      <c r="L1812" t="s">
        <v>135</v>
      </c>
      <c r="M1812" t="s">
        <v>2546</v>
      </c>
      <c r="N1812" t="s">
        <v>127</v>
      </c>
      <c r="O1812" t="s">
        <v>2555</v>
      </c>
      <c r="Q1812" t="s">
        <v>49</v>
      </c>
      <c r="R1812">
        <v>1</v>
      </c>
      <c r="S1812">
        <v>0</v>
      </c>
      <c r="T1812">
        <v>0</v>
      </c>
      <c r="V1812" t="s">
        <v>4885</v>
      </c>
      <c r="W1812">
        <v>3000106220333</v>
      </c>
      <c r="X1812">
        <v>36531</v>
      </c>
      <c r="AE1812" t="s">
        <v>1520</v>
      </c>
      <c r="AF1812">
        <v>68</v>
      </c>
      <c r="AG1812">
        <v>174</v>
      </c>
    </row>
    <row r="1813" spans="1:34" ht="18.75" customHeight="1" x14ac:dyDescent="0.3">
      <c r="A1813" s="1">
        <v>2021138313248</v>
      </c>
      <c r="B1813" t="s">
        <v>125</v>
      </c>
      <c r="C1813" t="s">
        <v>4886</v>
      </c>
      <c r="D1813" t="s">
        <v>4884</v>
      </c>
      <c r="E1813" t="s">
        <v>850</v>
      </c>
      <c r="F1813">
        <v>160</v>
      </c>
      <c r="G1813">
        <v>44546</v>
      </c>
      <c r="H1813">
        <v>45581</v>
      </c>
      <c r="I1813">
        <v>45581</v>
      </c>
      <c r="K1813">
        <v>45588</v>
      </c>
      <c r="L1813" t="s">
        <v>135</v>
      </c>
      <c r="M1813" t="s">
        <v>2546</v>
      </c>
      <c r="N1813" t="s">
        <v>127</v>
      </c>
      <c r="O1813" t="s">
        <v>2555</v>
      </c>
      <c r="Q1813" t="s">
        <v>49</v>
      </c>
      <c r="R1813">
        <v>0</v>
      </c>
      <c r="S1813">
        <v>0</v>
      </c>
      <c r="T1813">
        <v>0</v>
      </c>
      <c r="V1813" t="s">
        <v>4887</v>
      </c>
      <c r="W1813">
        <v>30109012620132</v>
      </c>
      <c r="X1813">
        <v>37135</v>
      </c>
      <c r="AE1813" t="s">
        <v>1257</v>
      </c>
      <c r="AF1813">
        <v>68</v>
      </c>
      <c r="AG1813">
        <v>172</v>
      </c>
    </row>
    <row r="1814" spans="1:34" ht="18.75" customHeight="1" x14ac:dyDescent="0.3">
      <c r="A1814" s="1">
        <v>2021138301855</v>
      </c>
      <c r="B1814" t="s">
        <v>125</v>
      </c>
      <c r="C1814" t="s">
        <v>4888</v>
      </c>
      <c r="D1814" t="s">
        <v>4889</v>
      </c>
      <c r="E1814" t="s">
        <v>850</v>
      </c>
      <c r="F1814">
        <v>160</v>
      </c>
      <c r="G1814">
        <v>44205</v>
      </c>
      <c r="H1814">
        <v>45197</v>
      </c>
      <c r="I1814">
        <v>45197</v>
      </c>
      <c r="K1814">
        <v>45201</v>
      </c>
      <c r="L1814" t="s">
        <v>135</v>
      </c>
      <c r="M1814" t="s">
        <v>4510</v>
      </c>
      <c r="N1814" t="s">
        <v>127</v>
      </c>
      <c r="O1814" t="s">
        <v>4890</v>
      </c>
      <c r="Q1814" t="s">
        <v>49</v>
      </c>
      <c r="R1814">
        <v>0</v>
      </c>
      <c r="S1814">
        <v>0</v>
      </c>
      <c r="T1814">
        <v>0</v>
      </c>
      <c r="U1814" t="s">
        <v>4891</v>
      </c>
      <c r="W1814">
        <v>30202021307773</v>
      </c>
      <c r="X1814">
        <v>37289</v>
      </c>
      <c r="Y1814" t="s">
        <v>153</v>
      </c>
      <c r="Z1814">
        <v>0</v>
      </c>
      <c r="AF1814">
        <v>56</v>
      </c>
      <c r="AG1814">
        <v>172</v>
      </c>
      <c r="AH1814">
        <v>-16</v>
      </c>
    </row>
    <row r="1815" spans="1:34" ht="18.75" customHeight="1" x14ac:dyDescent="0.3">
      <c r="A1815" s="1">
        <v>2021131804799</v>
      </c>
      <c r="B1815" t="s">
        <v>125</v>
      </c>
      <c r="C1815" t="s">
        <v>4892</v>
      </c>
      <c r="D1815" t="s">
        <v>4889</v>
      </c>
      <c r="E1815" t="s">
        <v>850</v>
      </c>
      <c r="F1815">
        <v>160</v>
      </c>
      <c r="G1815">
        <v>44205</v>
      </c>
      <c r="H1815">
        <v>45197</v>
      </c>
      <c r="I1815">
        <v>45197</v>
      </c>
      <c r="K1815">
        <v>45245</v>
      </c>
      <c r="L1815" t="s">
        <v>135</v>
      </c>
      <c r="M1815" t="s">
        <v>4510</v>
      </c>
      <c r="N1815" t="s">
        <v>127</v>
      </c>
      <c r="O1815" t="s">
        <v>1868</v>
      </c>
      <c r="Q1815" t="s">
        <v>49</v>
      </c>
      <c r="R1815">
        <v>1</v>
      </c>
      <c r="S1815">
        <v>0</v>
      </c>
      <c r="T1815">
        <v>0</v>
      </c>
      <c r="U1815" t="s">
        <v>4893</v>
      </c>
      <c r="W1815">
        <v>30111171600619</v>
      </c>
      <c r="X1815">
        <v>37212</v>
      </c>
      <c r="Y1815" t="s">
        <v>550</v>
      </c>
      <c r="Z1815">
        <v>0</v>
      </c>
      <c r="AF1815">
        <v>75</v>
      </c>
      <c r="AG1815">
        <v>175</v>
      </c>
      <c r="AH1815">
        <v>0</v>
      </c>
    </row>
    <row r="1816" spans="1:34" ht="18.75" customHeight="1" x14ac:dyDescent="0.3">
      <c r="A1816" s="1">
        <v>2008138302017</v>
      </c>
      <c r="B1816" t="s">
        <v>57</v>
      </c>
      <c r="C1816" t="s">
        <v>4894</v>
      </c>
      <c r="D1816" t="s">
        <v>4315</v>
      </c>
      <c r="E1816" t="s">
        <v>850</v>
      </c>
      <c r="F1816">
        <v>141</v>
      </c>
      <c r="G1816">
        <v>39473</v>
      </c>
      <c r="H1816">
        <v>39945</v>
      </c>
      <c r="I1816">
        <v>45474</v>
      </c>
      <c r="K1816">
        <v>44497</v>
      </c>
      <c r="L1816" t="s">
        <v>135</v>
      </c>
      <c r="M1816" t="s">
        <v>751</v>
      </c>
      <c r="N1816" t="s">
        <v>127</v>
      </c>
      <c r="O1816" t="s">
        <v>4895</v>
      </c>
      <c r="Q1816" t="s">
        <v>49</v>
      </c>
      <c r="R1816">
        <v>7</v>
      </c>
      <c r="S1816">
        <v>0</v>
      </c>
      <c r="T1816">
        <v>0</v>
      </c>
      <c r="U1816">
        <v>1094307499</v>
      </c>
      <c r="W1816">
        <v>28709011308613</v>
      </c>
      <c r="X1816">
        <v>32021</v>
      </c>
      <c r="Y1816" t="s">
        <v>103</v>
      </c>
      <c r="Z1816">
        <v>3</v>
      </c>
      <c r="AF1816">
        <v>79</v>
      </c>
      <c r="AG1816">
        <v>170</v>
      </c>
      <c r="AH1816">
        <v>9</v>
      </c>
    </row>
    <row r="1817" spans="1:34" ht="18.75" customHeight="1" x14ac:dyDescent="0.3">
      <c r="A1817" s="1">
        <v>2008138302637</v>
      </c>
      <c r="B1817" t="s">
        <v>57</v>
      </c>
      <c r="C1817" t="s">
        <v>4896</v>
      </c>
      <c r="D1817" t="s">
        <v>4315</v>
      </c>
      <c r="E1817" t="s">
        <v>850</v>
      </c>
      <c r="F1817">
        <v>141</v>
      </c>
      <c r="G1817">
        <v>39473</v>
      </c>
      <c r="H1817">
        <v>39945</v>
      </c>
      <c r="I1817">
        <v>45474</v>
      </c>
      <c r="K1817">
        <v>44860</v>
      </c>
      <c r="L1817" t="s">
        <v>135</v>
      </c>
      <c r="M1817" t="s">
        <v>751</v>
      </c>
      <c r="N1817" t="s">
        <v>127</v>
      </c>
      <c r="O1817" t="s">
        <v>4897</v>
      </c>
      <c r="Q1817" t="s">
        <v>49</v>
      </c>
      <c r="R1817">
        <v>5</v>
      </c>
      <c r="S1817">
        <v>0</v>
      </c>
      <c r="T1817">
        <v>0</v>
      </c>
      <c r="U1817">
        <v>1020259237</v>
      </c>
      <c r="W1817">
        <v>28611181700593</v>
      </c>
      <c r="X1817">
        <v>31734</v>
      </c>
      <c r="Y1817" t="s">
        <v>103</v>
      </c>
      <c r="Z1817">
        <v>3</v>
      </c>
      <c r="AF1817">
        <v>70</v>
      </c>
      <c r="AG1817">
        <v>175</v>
      </c>
      <c r="AH1817">
        <v>-5</v>
      </c>
    </row>
    <row r="1818" spans="1:34" ht="18.75" customHeight="1" x14ac:dyDescent="0.3">
      <c r="A1818" s="1">
        <v>2018131807724</v>
      </c>
      <c r="B1818" t="s">
        <v>106</v>
      </c>
      <c r="C1818" t="s">
        <v>4898</v>
      </c>
      <c r="D1818" t="s">
        <v>4584</v>
      </c>
      <c r="E1818" t="s">
        <v>750</v>
      </c>
      <c r="F1818">
        <v>158</v>
      </c>
      <c r="G1818">
        <v>43279</v>
      </c>
      <c r="I1818">
        <v>46023</v>
      </c>
      <c r="J1818">
        <v>44650</v>
      </c>
      <c r="K1818">
        <v>44650</v>
      </c>
      <c r="L1818" t="s">
        <v>135</v>
      </c>
      <c r="M1818" t="s">
        <v>46</v>
      </c>
      <c r="N1818" t="s">
        <v>727</v>
      </c>
      <c r="O1818" t="s">
        <v>4585</v>
      </c>
      <c r="Q1818" t="s">
        <v>49</v>
      </c>
      <c r="R1818">
        <v>3</v>
      </c>
      <c r="S1818">
        <v>0</v>
      </c>
      <c r="T1818">
        <v>0</v>
      </c>
      <c r="U1818" t="s">
        <v>4899</v>
      </c>
      <c r="W1818">
        <v>30202261400975</v>
      </c>
      <c r="X1818">
        <v>37313</v>
      </c>
      <c r="Y1818" t="s">
        <v>153</v>
      </c>
      <c r="Z1818">
        <v>0</v>
      </c>
      <c r="AA1818">
        <v>0</v>
      </c>
      <c r="AB1818">
        <v>0</v>
      </c>
      <c r="AC1818" t="s">
        <v>4900</v>
      </c>
      <c r="AD1818" t="s">
        <v>396</v>
      </c>
      <c r="AE1818" t="s">
        <v>176</v>
      </c>
      <c r="AF1818">
        <v>83</v>
      </c>
      <c r="AG1818">
        <v>195</v>
      </c>
    </row>
    <row r="1819" spans="1:34" ht="18.75" customHeight="1" x14ac:dyDescent="0.3">
      <c r="A1819" s="1">
        <v>2005132700304</v>
      </c>
      <c r="B1819" t="s">
        <v>210</v>
      </c>
      <c r="C1819" t="s">
        <v>4901</v>
      </c>
      <c r="D1819" t="s">
        <v>4902</v>
      </c>
      <c r="E1819" t="s">
        <v>850</v>
      </c>
      <c r="F1819" t="s">
        <v>4903</v>
      </c>
      <c r="G1819">
        <v>38612</v>
      </c>
      <c r="H1819">
        <v>39723</v>
      </c>
      <c r="I1819">
        <v>44927</v>
      </c>
      <c r="K1819">
        <v>45654</v>
      </c>
      <c r="L1819" t="s">
        <v>135</v>
      </c>
      <c r="M1819" t="s">
        <v>264</v>
      </c>
      <c r="N1819" t="s">
        <v>127</v>
      </c>
      <c r="O1819" t="s">
        <v>1237</v>
      </c>
      <c r="Q1819" t="s">
        <v>49</v>
      </c>
      <c r="R1819">
        <v>0</v>
      </c>
      <c r="S1819">
        <v>2</v>
      </c>
      <c r="T1819">
        <v>0</v>
      </c>
      <c r="W1819">
        <v>29105221200352</v>
      </c>
      <c r="X1819">
        <v>33380</v>
      </c>
      <c r="Y1819" t="s">
        <v>103</v>
      </c>
      <c r="Z1819">
        <v>3</v>
      </c>
      <c r="AF1819">
        <v>80</v>
      </c>
      <c r="AG1819">
        <v>175</v>
      </c>
      <c r="AH1819">
        <v>5</v>
      </c>
    </row>
    <row r="1820" spans="1:34" ht="18.75" customHeight="1" x14ac:dyDescent="0.3">
      <c r="A1820" s="1">
        <v>2017132700333</v>
      </c>
      <c r="B1820" t="s">
        <v>75</v>
      </c>
      <c r="C1820" t="s">
        <v>4904</v>
      </c>
      <c r="D1820" t="s">
        <v>4902</v>
      </c>
      <c r="E1820" t="s">
        <v>850</v>
      </c>
      <c r="F1820" t="s">
        <v>4905</v>
      </c>
      <c r="G1820">
        <v>43040</v>
      </c>
      <c r="H1820">
        <v>43683</v>
      </c>
      <c r="I1820">
        <v>45658</v>
      </c>
      <c r="K1820">
        <v>45972</v>
      </c>
      <c r="L1820" t="s">
        <v>4906</v>
      </c>
      <c r="M1820" t="s">
        <v>264</v>
      </c>
      <c r="N1820" t="s">
        <v>127</v>
      </c>
      <c r="O1820" t="s">
        <v>4907</v>
      </c>
      <c r="Q1820" t="s">
        <v>49</v>
      </c>
      <c r="R1820">
        <v>5</v>
      </c>
      <c r="S1820">
        <v>0</v>
      </c>
      <c r="T1820">
        <v>0</v>
      </c>
      <c r="W1820">
        <v>29801221600373</v>
      </c>
      <c r="X1820">
        <v>35817</v>
      </c>
      <c r="Y1820" t="s">
        <v>103</v>
      </c>
      <c r="Z1820">
        <v>1</v>
      </c>
      <c r="AF1820">
        <v>57</v>
      </c>
      <c r="AG1820">
        <v>172</v>
      </c>
      <c r="AH1820">
        <v>-15</v>
      </c>
    </row>
    <row r="1821" spans="1:34" ht="18.75" customHeight="1" x14ac:dyDescent="0.3">
      <c r="A1821" s="1">
        <v>2018132703591</v>
      </c>
      <c r="B1821" t="s">
        <v>75</v>
      </c>
      <c r="C1821" t="s">
        <v>4908</v>
      </c>
      <c r="D1821" t="s">
        <v>4902</v>
      </c>
      <c r="E1821" t="s">
        <v>850</v>
      </c>
      <c r="F1821" t="s">
        <v>4523</v>
      </c>
      <c r="G1821">
        <v>43394</v>
      </c>
      <c r="H1821">
        <v>44123</v>
      </c>
      <c r="I1821">
        <v>45839</v>
      </c>
      <c r="K1821">
        <v>45980</v>
      </c>
      <c r="L1821" t="s">
        <v>263</v>
      </c>
      <c r="M1821" t="s">
        <v>264</v>
      </c>
      <c r="N1821" t="s">
        <v>127</v>
      </c>
      <c r="O1821" t="s">
        <v>1237</v>
      </c>
      <c r="Q1821" t="s">
        <v>49</v>
      </c>
      <c r="R1821">
        <v>0</v>
      </c>
      <c r="S1821">
        <v>0</v>
      </c>
      <c r="T1821">
        <v>0</v>
      </c>
      <c r="W1821">
        <v>29811092400597</v>
      </c>
      <c r="X1821">
        <v>36108</v>
      </c>
      <c r="Y1821" t="s">
        <v>103</v>
      </c>
      <c r="Z1821">
        <v>1</v>
      </c>
      <c r="AF1821">
        <v>80</v>
      </c>
      <c r="AG1821">
        <v>169</v>
      </c>
      <c r="AH1821">
        <v>11</v>
      </c>
    </row>
    <row r="1822" spans="1:34" ht="18.75" customHeight="1" x14ac:dyDescent="0.3">
      <c r="A1822" s="1">
        <v>2019132704761</v>
      </c>
      <c r="B1822" t="s">
        <v>106</v>
      </c>
      <c r="C1822" t="s">
        <v>4909</v>
      </c>
      <c r="D1822" t="s">
        <v>4902</v>
      </c>
      <c r="E1822" t="s">
        <v>850</v>
      </c>
      <c r="F1822" t="s">
        <v>4910</v>
      </c>
      <c r="G1822">
        <v>43775</v>
      </c>
      <c r="H1822">
        <v>44500</v>
      </c>
      <c r="I1822">
        <v>44500</v>
      </c>
      <c r="K1822">
        <v>45984</v>
      </c>
      <c r="L1822" t="s">
        <v>4911</v>
      </c>
      <c r="M1822" t="s">
        <v>264</v>
      </c>
      <c r="N1822" t="s">
        <v>127</v>
      </c>
      <c r="O1822" t="s">
        <v>1237</v>
      </c>
      <c r="Q1822" t="s">
        <v>49</v>
      </c>
      <c r="R1822">
        <v>4</v>
      </c>
      <c r="S1822">
        <v>0</v>
      </c>
      <c r="T1822">
        <v>0</v>
      </c>
      <c r="W1822">
        <v>30103182402352</v>
      </c>
      <c r="X1822">
        <v>36968</v>
      </c>
      <c r="Y1822" t="s">
        <v>550</v>
      </c>
      <c r="Z1822">
        <v>0</v>
      </c>
      <c r="AF1822">
        <v>72</v>
      </c>
      <c r="AG1822">
        <v>177</v>
      </c>
      <c r="AH1822">
        <v>-5</v>
      </c>
    </row>
    <row r="1823" spans="1:34" ht="18.75" customHeight="1" x14ac:dyDescent="0.3">
      <c r="A1823" s="1">
        <v>2019131807938</v>
      </c>
      <c r="B1823" t="s">
        <v>125</v>
      </c>
      <c r="C1823" t="s">
        <v>4912</v>
      </c>
      <c r="D1823" t="s">
        <v>4584</v>
      </c>
      <c r="E1823" t="s">
        <v>750</v>
      </c>
      <c r="F1823">
        <v>159</v>
      </c>
      <c r="G1823">
        <v>43692</v>
      </c>
      <c r="I1823">
        <v>44562</v>
      </c>
      <c r="J1823">
        <v>44511</v>
      </c>
      <c r="K1823">
        <v>44511</v>
      </c>
      <c r="L1823" t="s">
        <v>135</v>
      </c>
      <c r="M1823" t="s">
        <v>46</v>
      </c>
      <c r="N1823" t="s">
        <v>727</v>
      </c>
      <c r="O1823" t="s">
        <v>4585</v>
      </c>
      <c r="P1823" t="s">
        <v>49</v>
      </c>
      <c r="R1823">
        <v>1</v>
      </c>
      <c r="S1823">
        <v>1</v>
      </c>
      <c r="T1823">
        <v>1</v>
      </c>
      <c r="U1823" t="s">
        <v>4913</v>
      </c>
      <c r="W1823">
        <v>30307032501837</v>
      </c>
      <c r="X1823">
        <v>37805</v>
      </c>
      <c r="Y1823" t="s">
        <v>103</v>
      </c>
      <c r="Z1823">
        <v>1</v>
      </c>
      <c r="AA1823">
        <v>1</v>
      </c>
      <c r="AB1823">
        <v>0</v>
      </c>
      <c r="AC1823" t="s">
        <v>4914</v>
      </c>
      <c r="AD1823">
        <v>46301</v>
      </c>
      <c r="AE1823" t="s">
        <v>1127</v>
      </c>
      <c r="AF1823">
        <v>63</v>
      </c>
      <c r="AG1823">
        <v>167</v>
      </c>
    </row>
    <row r="1824" spans="1:34" ht="18.75" customHeight="1" x14ac:dyDescent="0.3">
      <c r="A1824" s="1">
        <v>2013138308460</v>
      </c>
      <c r="B1824" t="s">
        <v>75</v>
      </c>
      <c r="C1824" t="s">
        <v>4915</v>
      </c>
      <c r="D1824" t="s">
        <v>1896</v>
      </c>
      <c r="E1824" t="s">
        <v>850</v>
      </c>
      <c r="F1824">
        <v>145</v>
      </c>
      <c r="G1824">
        <v>41510</v>
      </c>
      <c r="H1824">
        <v>41982</v>
      </c>
      <c r="K1824">
        <v>45588</v>
      </c>
      <c r="L1824" t="s">
        <v>135</v>
      </c>
      <c r="M1824" t="s">
        <v>726</v>
      </c>
      <c r="N1824" t="s">
        <v>127</v>
      </c>
      <c r="O1824" t="s">
        <v>4916</v>
      </c>
      <c r="Q1824" t="s">
        <v>49</v>
      </c>
      <c r="R1824">
        <v>0</v>
      </c>
      <c r="S1824">
        <v>0</v>
      </c>
      <c r="U1824" t="s">
        <v>4917</v>
      </c>
      <c r="W1824">
        <v>29608011602158</v>
      </c>
      <c r="X1824">
        <v>35278</v>
      </c>
      <c r="AE1824" t="s">
        <v>73</v>
      </c>
      <c r="AF1824">
        <v>80</v>
      </c>
      <c r="AG1824">
        <v>175</v>
      </c>
      <c r="AH1824">
        <v>5</v>
      </c>
    </row>
    <row r="1825" spans="1:34" ht="18.75" customHeight="1" x14ac:dyDescent="0.3">
      <c r="A1825" s="1">
        <v>2003131800828</v>
      </c>
      <c r="B1825" t="s">
        <v>57</v>
      </c>
      <c r="C1825" t="s">
        <v>4918</v>
      </c>
      <c r="D1825" t="s">
        <v>4919</v>
      </c>
      <c r="E1825" t="s">
        <v>850</v>
      </c>
      <c r="AF1825" t="s">
        <v>787</v>
      </c>
    </row>
    <row r="1826" spans="1:34" ht="18.75" customHeight="1" x14ac:dyDescent="0.3">
      <c r="A1826" s="1">
        <v>2014138303244</v>
      </c>
      <c r="B1826" t="s">
        <v>75</v>
      </c>
      <c r="C1826" t="s">
        <v>4920</v>
      </c>
      <c r="D1826" t="s">
        <v>4921</v>
      </c>
      <c r="E1826" t="s">
        <v>850</v>
      </c>
      <c r="F1826">
        <v>150</v>
      </c>
      <c r="G1826">
        <v>41665</v>
      </c>
      <c r="H1826">
        <v>42135</v>
      </c>
      <c r="I1826">
        <v>45839</v>
      </c>
      <c r="K1826">
        <v>45976</v>
      </c>
      <c r="L1826" t="s">
        <v>135</v>
      </c>
      <c r="M1826" t="s">
        <v>554</v>
      </c>
      <c r="N1826" t="s">
        <v>127</v>
      </c>
      <c r="O1826" t="s">
        <v>4922</v>
      </c>
      <c r="Q1826" t="s">
        <v>49</v>
      </c>
      <c r="R1826">
        <v>0</v>
      </c>
      <c r="S1826">
        <v>0</v>
      </c>
      <c r="T1826">
        <v>0</v>
      </c>
      <c r="W1826">
        <v>29403041600311</v>
      </c>
      <c r="X1826">
        <v>34394</v>
      </c>
      <c r="Y1826" t="s">
        <v>103</v>
      </c>
      <c r="AB1826">
        <v>2</v>
      </c>
      <c r="AF1826">
        <v>88</v>
      </c>
      <c r="AG1826">
        <v>180</v>
      </c>
      <c r="AH1826">
        <v>8</v>
      </c>
    </row>
    <row r="1827" spans="1:34" ht="18.75" customHeight="1" x14ac:dyDescent="0.3">
      <c r="A1827" s="1">
        <v>2016138306616</v>
      </c>
      <c r="B1827" t="s">
        <v>106</v>
      </c>
      <c r="C1827" t="s">
        <v>4923</v>
      </c>
      <c r="D1827" t="s">
        <v>4921</v>
      </c>
      <c r="E1827" t="s">
        <v>850</v>
      </c>
      <c r="F1827">
        <v>156</v>
      </c>
      <c r="G1827">
        <v>42575</v>
      </c>
      <c r="H1827">
        <v>43321</v>
      </c>
      <c r="I1827">
        <v>45292</v>
      </c>
      <c r="K1827">
        <v>45586</v>
      </c>
      <c r="L1827" t="s">
        <v>135</v>
      </c>
      <c r="M1827" t="s">
        <v>554</v>
      </c>
      <c r="N1827" t="s">
        <v>127</v>
      </c>
      <c r="O1827" t="s">
        <v>4922</v>
      </c>
      <c r="Q1827" t="s">
        <v>49</v>
      </c>
      <c r="R1827">
        <v>2</v>
      </c>
      <c r="S1827">
        <v>0</v>
      </c>
      <c r="T1827">
        <v>0</v>
      </c>
      <c r="W1827">
        <v>29701011711372</v>
      </c>
      <c r="X1827">
        <v>35431</v>
      </c>
      <c r="Y1827" t="s">
        <v>153</v>
      </c>
      <c r="AB1827">
        <v>0</v>
      </c>
      <c r="AF1827">
        <v>83</v>
      </c>
      <c r="AG1827">
        <v>181</v>
      </c>
      <c r="AH1827">
        <v>2</v>
      </c>
    </row>
    <row r="1828" spans="1:34" ht="18.75" customHeight="1" x14ac:dyDescent="0.3">
      <c r="A1828" s="1">
        <v>2017138305442</v>
      </c>
      <c r="B1828" t="s">
        <v>106</v>
      </c>
      <c r="C1828" t="s">
        <v>4924</v>
      </c>
      <c r="D1828" t="s">
        <v>4921</v>
      </c>
      <c r="E1828" t="s">
        <v>850</v>
      </c>
      <c r="F1828">
        <v>158</v>
      </c>
      <c r="G1828">
        <v>42915</v>
      </c>
      <c r="H1828">
        <v>43663</v>
      </c>
      <c r="I1828">
        <v>45658</v>
      </c>
      <c r="K1828">
        <v>45970</v>
      </c>
      <c r="L1828" t="s">
        <v>135</v>
      </c>
      <c r="M1828" t="s">
        <v>554</v>
      </c>
      <c r="N1828" t="s">
        <v>127</v>
      </c>
      <c r="O1828" t="s">
        <v>4922</v>
      </c>
      <c r="Q1828" t="s">
        <v>49</v>
      </c>
      <c r="R1828">
        <v>1</v>
      </c>
      <c r="S1828">
        <v>0</v>
      </c>
      <c r="T1828">
        <v>0</v>
      </c>
      <c r="W1828">
        <v>29902011609298</v>
      </c>
      <c r="X1828">
        <v>36192</v>
      </c>
      <c r="Y1828" t="s">
        <v>51</v>
      </c>
      <c r="AB1828">
        <v>0</v>
      </c>
      <c r="AF1828">
        <v>80</v>
      </c>
      <c r="AG1828">
        <v>180</v>
      </c>
      <c r="AH1828">
        <v>0</v>
      </c>
    </row>
    <row r="1829" spans="1:34" ht="18.75" customHeight="1" x14ac:dyDescent="0.3">
      <c r="A1829" s="1">
        <v>2017138305715</v>
      </c>
      <c r="B1829" t="s">
        <v>106</v>
      </c>
      <c r="C1829" t="s">
        <v>4925</v>
      </c>
      <c r="D1829" t="s">
        <v>4921</v>
      </c>
      <c r="E1829" t="s">
        <v>850</v>
      </c>
      <c r="F1829">
        <v>152</v>
      </c>
      <c r="G1829">
        <v>42915</v>
      </c>
      <c r="H1829">
        <v>43663</v>
      </c>
      <c r="I1829">
        <v>45658</v>
      </c>
      <c r="K1829">
        <v>45586</v>
      </c>
      <c r="L1829" t="s">
        <v>135</v>
      </c>
      <c r="M1829" t="s">
        <v>554</v>
      </c>
      <c r="N1829" t="s">
        <v>127</v>
      </c>
      <c r="O1829" t="s">
        <v>4926</v>
      </c>
      <c r="Q1829" t="s">
        <v>49</v>
      </c>
      <c r="R1829">
        <v>0</v>
      </c>
      <c r="S1829">
        <v>0</v>
      </c>
      <c r="T1829">
        <v>0</v>
      </c>
      <c r="W1829">
        <v>29902011510674</v>
      </c>
      <c r="X1829">
        <v>36192</v>
      </c>
      <c r="Y1829" t="s">
        <v>51</v>
      </c>
      <c r="AB1829">
        <v>0</v>
      </c>
      <c r="AF1829">
        <v>70</v>
      </c>
      <c r="AG1829">
        <v>178</v>
      </c>
      <c r="AH1829">
        <v>-8</v>
      </c>
    </row>
    <row r="1830" spans="1:34" ht="18.75" customHeight="1" x14ac:dyDescent="0.3">
      <c r="A1830" s="1">
        <v>2021138317266</v>
      </c>
      <c r="B1830" t="s">
        <v>125</v>
      </c>
      <c r="C1830" t="s">
        <v>4927</v>
      </c>
      <c r="D1830" t="s">
        <v>4921</v>
      </c>
      <c r="E1830" t="s">
        <v>850</v>
      </c>
      <c r="F1830">
        <v>161</v>
      </c>
      <c r="K1830">
        <v>45581</v>
      </c>
      <c r="M1830" t="s">
        <v>554</v>
      </c>
      <c r="N1830" t="s">
        <v>127</v>
      </c>
      <c r="AH1830" t="s">
        <v>787</v>
      </c>
    </row>
    <row r="1831" spans="1:34" ht="18.75" customHeight="1" x14ac:dyDescent="0.3">
      <c r="A1831" s="1">
        <v>2023138308922</v>
      </c>
      <c r="B1831" t="s">
        <v>125</v>
      </c>
      <c r="C1831" t="s">
        <v>4928</v>
      </c>
      <c r="D1831" t="s">
        <v>4921</v>
      </c>
      <c r="E1831" t="s">
        <v>850</v>
      </c>
      <c r="F1831">
        <v>162</v>
      </c>
      <c r="G1831">
        <v>44941</v>
      </c>
      <c r="H1831">
        <v>45976</v>
      </c>
      <c r="I1831">
        <v>45976</v>
      </c>
      <c r="J1831">
        <v>45932</v>
      </c>
      <c r="L1831" t="s">
        <v>135</v>
      </c>
      <c r="M1831" t="s">
        <v>554</v>
      </c>
      <c r="N1831" t="s">
        <v>127</v>
      </c>
      <c r="O1831" t="s">
        <v>4922</v>
      </c>
      <c r="Q1831" t="s">
        <v>49</v>
      </c>
      <c r="R1831">
        <v>0</v>
      </c>
      <c r="S1831">
        <v>0</v>
      </c>
      <c r="T1831">
        <v>0</v>
      </c>
      <c r="U1831" t="s">
        <v>4929</v>
      </c>
      <c r="W1831">
        <v>30606201202272</v>
      </c>
      <c r="X1831">
        <v>38888</v>
      </c>
      <c r="Y1831" t="s">
        <v>153</v>
      </c>
      <c r="Z1831">
        <v>0</v>
      </c>
      <c r="AC1831">
        <v>0</v>
      </c>
      <c r="AF1831">
        <v>91</v>
      </c>
      <c r="AG1831">
        <v>186</v>
      </c>
      <c r="AH1831">
        <v>5</v>
      </c>
    </row>
    <row r="1832" spans="1:34" ht="18.75" customHeight="1" x14ac:dyDescent="0.3">
      <c r="A1832" s="1">
        <v>2019138316180</v>
      </c>
      <c r="B1832" t="s">
        <v>125</v>
      </c>
      <c r="C1832" t="s">
        <v>4930</v>
      </c>
      <c r="D1832" t="s">
        <v>4931</v>
      </c>
      <c r="E1832" t="s">
        <v>850</v>
      </c>
      <c r="F1832">
        <v>159</v>
      </c>
      <c r="G1832">
        <v>43692</v>
      </c>
      <c r="H1832">
        <v>44482</v>
      </c>
      <c r="L1832" t="s">
        <v>135</v>
      </c>
      <c r="M1832" t="s">
        <v>1592</v>
      </c>
      <c r="N1832" t="s">
        <v>127</v>
      </c>
      <c r="O1832" t="s">
        <v>4932</v>
      </c>
      <c r="Q1832" t="s">
        <v>49</v>
      </c>
      <c r="R1832">
        <v>1</v>
      </c>
      <c r="S1832">
        <v>0</v>
      </c>
      <c r="T1832">
        <v>0</v>
      </c>
      <c r="U1832" t="s">
        <v>4933</v>
      </c>
      <c r="X1832">
        <v>37857</v>
      </c>
      <c r="Y1832" t="s">
        <v>153</v>
      </c>
      <c r="AF1832">
        <v>68</v>
      </c>
      <c r="AG1832">
        <v>174</v>
      </c>
      <c r="AH1832">
        <v>-6</v>
      </c>
    </row>
    <row r="1833" spans="1:34" ht="18.75" customHeight="1" x14ac:dyDescent="0.3">
      <c r="A1833" s="1">
        <v>2021138316747</v>
      </c>
      <c r="B1833" t="s">
        <v>125</v>
      </c>
      <c r="C1833" t="s">
        <v>4934</v>
      </c>
      <c r="D1833" t="s">
        <v>4931</v>
      </c>
      <c r="E1833" t="s">
        <v>850</v>
      </c>
      <c r="F1833">
        <v>162</v>
      </c>
      <c r="G1833">
        <v>44546</v>
      </c>
      <c r="H1833">
        <v>45581</v>
      </c>
      <c r="L1833" t="s">
        <v>135</v>
      </c>
      <c r="M1833" t="s">
        <v>1592</v>
      </c>
      <c r="N1833" t="s">
        <v>127</v>
      </c>
      <c r="O1833" t="s">
        <v>4935</v>
      </c>
      <c r="Q1833" t="s">
        <v>49</v>
      </c>
      <c r="R1833">
        <v>1</v>
      </c>
      <c r="S1833">
        <v>0</v>
      </c>
      <c r="T1833">
        <v>0</v>
      </c>
      <c r="U1833" t="s">
        <v>4936</v>
      </c>
      <c r="X1833">
        <v>38668</v>
      </c>
      <c r="Y1833" t="s">
        <v>153</v>
      </c>
      <c r="AF1833">
        <v>71</v>
      </c>
      <c r="AG1833">
        <v>178</v>
      </c>
      <c r="AH1833">
        <v>-7</v>
      </c>
    </row>
    <row r="1834" spans="1:34" ht="18.75" customHeight="1" x14ac:dyDescent="0.3">
      <c r="A1834" s="1">
        <v>2010130401101</v>
      </c>
      <c r="B1834" t="s">
        <v>75</v>
      </c>
      <c r="C1834" t="s">
        <v>4937</v>
      </c>
      <c r="D1834" t="s">
        <v>4938</v>
      </c>
      <c r="E1834" t="s">
        <v>850</v>
      </c>
      <c r="F1834">
        <v>143</v>
      </c>
      <c r="G1834">
        <v>40376</v>
      </c>
      <c r="H1834">
        <v>40849</v>
      </c>
      <c r="I1834">
        <v>44562</v>
      </c>
      <c r="K1834">
        <v>44499</v>
      </c>
      <c r="L1834" t="s">
        <v>135</v>
      </c>
      <c r="M1834" t="s">
        <v>158</v>
      </c>
      <c r="N1834" t="s">
        <v>78</v>
      </c>
      <c r="O1834" t="s">
        <v>1807</v>
      </c>
      <c r="Q1834" t="s">
        <v>49</v>
      </c>
      <c r="R1834">
        <v>1</v>
      </c>
      <c r="S1834">
        <v>0</v>
      </c>
      <c r="T1834">
        <v>0</v>
      </c>
      <c r="U1834">
        <v>1063088929</v>
      </c>
      <c r="W1834">
        <v>29401012515735</v>
      </c>
      <c r="X1834">
        <v>34335</v>
      </c>
      <c r="Y1834" t="s">
        <v>51</v>
      </c>
      <c r="AF1834">
        <v>72</v>
      </c>
      <c r="AG1834">
        <v>170</v>
      </c>
      <c r="AH1834">
        <v>2</v>
      </c>
    </row>
    <row r="1835" spans="1:34" ht="18.75" customHeight="1" x14ac:dyDescent="0.3">
      <c r="A1835" s="1">
        <v>2011138313702</v>
      </c>
      <c r="B1835" t="s">
        <v>75</v>
      </c>
      <c r="C1835" t="s">
        <v>4939</v>
      </c>
      <c r="D1835" t="s">
        <v>4938</v>
      </c>
      <c r="E1835" t="s">
        <v>850</v>
      </c>
      <c r="F1835">
        <v>145</v>
      </c>
      <c r="G1835">
        <v>40748</v>
      </c>
      <c r="H1835">
        <v>44510</v>
      </c>
      <c r="K1835">
        <v>45591</v>
      </c>
      <c r="L1835" t="s">
        <v>135</v>
      </c>
      <c r="M1835" t="s">
        <v>812</v>
      </c>
      <c r="N1835" t="s">
        <v>127</v>
      </c>
      <c r="O1835" t="s">
        <v>4935</v>
      </c>
      <c r="Q1835" t="s">
        <v>49</v>
      </c>
      <c r="R1835">
        <v>2</v>
      </c>
      <c r="S1835">
        <v>0</v>
      </c>
      <c r="T1835">
        <v>0</v>
      </c>
      <c r="U1835" t="s">
        <v>4940</v>
      </c>
      <c r="W1835">
        <v>29107201204273</v>
      </c>
      <c r="X1835">
        <v>33439</v>
      </c>
      <c r="Y1835" t="s">
        <v>103</v>
      </c>
      <c r="AF1835">
        <v>70</v>
      </c>
      <c r="AG1835">
        <v>165</v>
      </c>
      <c r="AH1835">
        <v>5</v>
      </c>
    </row>
    <row r="1836" spans="1:34" ht="18.75" customHeight="1" x14ac:dyDescent="0.3">
      <c r="A1836" s="1">
        <v>2012138306101</v>
      </c>
      <c r="B1836" t="s">
        <v>75</v>
      </c>
      <c r="C1836" t="s">
        <v>4941</v>
      </c>
      <c r="D1836" t="s">
        <v>4938</v>
      </c>
      <c r="E1836" t="s">
        <v>850</v>
      </c>
      <c r="F1836">
        <v>147</v>
      </c>
      <c r="G1836">
        <v>40936</v>
      </c>
      <c r="H1836">
        <v>41583</v>
      </c>
      <c r="K1836">
        <v>43702</v>
      </c>
      <c r="L1836" t="s">
        <v>135</v>
      </c>
      <c r="M1836" t="s">
        <v>812</v>
      </c>
      <c r="N1836" t="s">
        <v>127</v>
      </c>
      <c r="O1836" t="s">
        <v>4942</v>
      </c>
      <c r="Q1836" t="s">
        <v>49</v>
      </c>
      <c r="R1836">
        <v>0</v>
      </c>
      <c r="S1836">
        <v>0</v>
      </c>
      <c r="T1836">
        <v>0</v>
      </c>
      <c r="U1836" t="s">
        <v>4943</v>
      </c>
      <c r="W1836">
        <v>29101171701457</v>
      </c>
      <c r="X1836">
        <v>33255</v>
      </c>
      <c r="Y1836" t="s">
        <v>103</v>
      </c>
      <c r="AF1836">
        <v>70</v>
      </c>
      <c r="AG1836">
        <v>171</v>
      </c>
      <c r="AH1836">
        <v>-1</v>
      </c>
    </row>
    <row r="1837" spans="1:34" ht="18.75" customHeight="1" x14ac:dyDescent="0.3">
      <c r="A1837" s="1">
        <v>2013138317578</v>
      </c>
      <c r="B1837" t="s">
        <v>75</v>
      </c>
      <c r="C1837" t="s">
        <v>4944</v>
      </c>
      <c r="D1837" t="s">
        <v>4938</v>
      </c>
      <c r="E1837" t="s">
        <v>850</v>
      </c>
      <c r="F1837">
        <v>147</v>
      </c>
      <c r="G1837">
        <v>41510</v>
      </c>
      <c r="H1837">
        <v>41982</v>
      </c>
      <c r="I1837">
        <v>45658</v>
      </c>
      <c r="K1837">
        <v>45588</v>
      </c>
      <c r="L1837" t="s">
        <v>135</v>
      </c>
      <c r="M1837" t="s">
        <v>812</v>
      </c>
      <c r="N1837" t="s">
        <v>127</v>
      </c>
      <c r="O1837" t="s">
        <v>4945</v>
      </c>
      <c r="Q1837" t="s">
        <v>49</v>
      </c>
      <c r="R1837">
        <v>1</v>
      </c>
      <c r="S1837">
        <v>0</v>
      </c>
      <c r="T1837">
        <v>0</v>
      </c>
      <c r="U1837" t="s">
        <v>4946</v>
      </c>
      <c r="W1837">
        <v>29405082703798</v>
      </c>
      <c r="X1837">
        <v>34462</v>
      </c>
      <c r="Y1837" t="s">
        <v>103</v>
      </c>
      <c r="AF1837">
        <v>71</v>
      </c>
      <c r="AG1837">
        <v>172</v>
      </c>
      <c r="AH1837">
        <v>-1</v>
      </c>
    </row>
    <row r="1838" spans="1:34" ht="18.75" customHeight="1" x14ac:dyDescent="0.3">
      <c r="A1838" s="1">
        <v>2019130402276</v>
      </c>
      <c r="B1838" t="s">
        <v>125</v>
      </c>
      <c r="C1838" t="s">
        <v>4947</v>
      </c>
      <c r="D1838" t="s">
        <v>4938</v>
      </c>
      <c r="E1838" t="s">
        <v>850</v>
      </c>
      <c r="F1838">
        <v>159</v>
      </c>
      <c r="G1838">
        <v>43692</v>
      </c>
      <c r="H1838">
        <v>44482</v>
      </c>
      <c r="I1838">
        <v>44482</v>
      </c>
      <c r="K1838">
        <v>44522</v>
      </c>
      <c r="L1838" t="s">
        <v>135</v>
      </c>
      <c r="M1838" t="s">
        <v>158</v>
      </c>
      <c r="N1838" t="s">
        <v>78</v>
      </c>
      <c r="O1838" t="s">
        <v>148</v>
      </c>
      <c r="Q1838" t="s">
        <v>49</v>
      </c>
      <c r="R1838">
        <v>0</v>
      </c>
      <c r="S1838">
        <v>0</v>
      </c>
      <c r="T1838">
        <v>0</v>
      </c>
      <c r="U1838">
        <v>1277460968</v>
      </c>
      <c r="W1838">
        <v>30106302500514</v>
      </c>
      <c r="X1838">
        <v>37072</v>
      </c>
      <c r="Y1838" t="s">
        <v>153</v>
      </c>
      <c r="Z1838">
        <v>0</v>
      </c>
      <c r="AF1838">
        <v>75</v>
      </c>
      <c r="AG1838">
        <v>174</v>
      </c>
      <c r="AH1838">
        <v>1</v>
      </c>
    </row>
    <row r="1839" spans="1:34" ht="18.75" customHeight="1" x14ac:dyDescent="0.3">
      <c r="A1839" s="1">
        <v>2019131812010</v>
      </c>
      <c r="B1839" t="s">
        <v>125</v>
      </c>
      <c r="C1839" t="s">
        <v>4948</v>
      </c>
      <c r="D1839" t="s">
        <v>4938</v>
      </c>
      <c r="E1839" t="s">
        <v>850</v>
      </c>
      <c r="F1839">
        <v>160</v>
      </c>
      <c r="G1839">
        <v>43692</v>
      </c>
      <c r="H1839">
        <v>44482</v>
      </c>
      <c r="I1839">
        <v>44482</v>
      </c>
      <c r="K1839">
        <v>44509</v>
      </c>
      <c r="L1839" t="s">
        <v>135</v>
      </c>
      <c r="M1839" t="s">
        <v>46</v>
      </c>
      <c r="N1839" t="s">
        <v>307</v>
      </c>
      <c r="O1839" t="s">
        <v>608</v>
      </c>
      <c r="Q1839" t="s">
        <v>49</v>
      </c>
      <c r="R1839">
        <v>1</v>
      </c>
      <c r="S1839">
        <v>0</v>
      </c>
      <c r="T1839">
        <v>0</v>
      </c>
      <c r="U1839" t="s">
        <v>4949</v>
      </c>
      <c r="W1839">
        <v>30208162401194</v>
      </c>
      <c r="X1839">
        <v>37484</v>
      </c>
      <c r="Y1839" t="s">
        <v>153</v>
      </c>
      <c r="Z1839">
        <v>0</v>
      </c>
      <c r="AF1839">
        <v>69</v>
      </c>
      <c r="AG1839">
        <v>172</v>
      </c>
      <c r="AH1839">
        <v>-3</v>
      </c>
    </row>
    <row r="1840" spans="1:34" ht="18.75" customHeight="1" x14ac:dyDescent="0.3">
      <c r="A1840" s="1">
        <v>2021131807298</v>
      </c>
      <c r="B1840" t="s">
        <v>125</v>
      </c>
      <c r="C1840" t="s">
        <v>4950</v>
      </c>
      <c r="D1840" t="s">
        <v>4938</v>
      </c>
      <c r="E1840" t="s">
        <v>850</v>
      </c>
      <c r="F1840">
        <v>161</v>
      </c>
      <c r="G1840">
        <v>44205</v>
      </c>
      <c r="H1840">
        <v>45197</v>
      </c>
      <c r="I1840">
        <v>45197</v>
      </c>
      <c r="K1840">
        <v>44471</v>
      </c>
      <c r="L1840" t="s">
        <v>135</v>
      </c>
      <c r="M1840" t="s">
        <v>46</v>
      </c>
      <c r="N1840" t="s">
        <v>307</v>
      </c>
      <c r="O1840" t="s">
        <v>4585</v>
      </c>
      <c r="Q1840" t="s">
        <v>49</v>
      </c>
      <c r="R1840">
        <v>0</v>
      </c>
      <c r="S1840">
        <v>0</v>
      </c>
      <c r="T1840">
        <v>0</v>
      </c>
      <c r="U1840" t="s">
        <v>4949</v>
      </c>
      <c r="W1840">
        <v>30107252701536</v>
      </c>
      <c r="X1840">
        <v>37097</v>
      </c>
      <c r="Y1840" t="s">
        <v>51</v>
      </c>
      <c r="Z1840">
        <v>0</v>
      </c>
      <c r="AF1840">
        <v>70</v>
      </c>
      <c r="AG1840">
        <v>175</v>
      </c>
      <c r="AH1840">
        <v>-5</v>
      </c>
    </row>
    <row r="1841" spans="1:34" ht="18.75" customHeight="1" x14ac:dyDescent="0.3">
      <c r="A1841" s="1">
        <v>2023138303500</v>
      </c>
      <c r="B1841" t="s">
        <v>125</v>
      </c>
      <c r="C1841" t="s">
        <v>4951</v>
      </c>
      <c r="D1841" t="s">
        <v>4938</v>
      </c>
      <c r="E1841" t="s">
        <v>850</v>
      </c>
      <c r="F1841">
        <v>162</v>
      </c>
      <c r="G1841">
        <v>44941</v>
      </c>
      <c r="H1841">
        <v>45976</v>
      </c>
      <c r="I1841" t="s">
        <v>787</v>
      </c>
      <c r="L1841" t="s">
        <v>135</v>
      </c>
      <c r="M1841" t="s">
        <v>1332</v>
      </c>
      <c r="N1841" t="s">
        <v>127</v>
      </c>
      <c r="O1841" t="s">
        <v>787</v>
      </c>
      <c r="P1841" t="s">
        <v>787</v>
      </c>
      <c r="Q1841" t="s">
        <v>49</v>
      </c>
      <c r="R1841">
        <v>0</v>
      </c>
      <c r="S1841">
        <v>0</v>
      </c>
      <c r="T1841">
        <v>0</v>
      </c>
      <c r="U1841" t="s">
        <v>4952</v>
      </c>
      <c r="X1841">
        <v>38462</v>
      </c>
      <c r="Y1841" t="s">
        <v>153</v>
      </c>
      <c r="AF1841">
        <v>62</v>
      </c>
      <c r="AG1841">
        <v>175</v>
      </c>
      <c r="AH1841">
        <v>-13</v>
      </c>
    </row>
    <row r="1842" spans="1:34" ht="18.75" customHeight="1" x14ac:dyDescent="0.3">
      <c r="A1842" s="1">
        <v>2017138301846</v>
      </c>
      <c r="B1842" t="s">
        <v>106</v>
      </c>
      <c r="C1842" t="s">
        <v>4953</v>
      </c>
      <c r="D1842" t="s">
        <v>4919</v>
      </c>
      <c r="E1842" t="s">
        <v>850</v>
      </c>
      <c r="F1842">
        <v>157</v>
      </c>
      <c r="G1842">
        <v>42915</v>
      </c>
      <c r="H1842">
        <v>43663</v>
      </c>
      <c r="I1842">
        <v>43663</v>
      </c>
      <c r="J1842">
        <v>45975</v>
      </c>
      <c r="L1842" t="s">
        <v>45</v>
      </c>
      <c r="M1842" t="s">
        <v>812</v>
      </c>
      <c r="N1842" t="s">
        <v>127</v>
      </c>
      <c r="O1842" t="s">
        <v>1789</v>
      </c>
      <c r="R1842">
        <v>0</v>
      </c>
      <c r="S1842">
        <v>0</v>
      </c>
      <c r="T1842">
        <v>0</v>
      </c>
      <c r="U1842" t="s">
        <v>4954</v>
      </c>
      <c r="W1842">
        <v>29910142500456</v>
      </c>
      <c r="X1842">
        <v>36447</v>
      </c>
      <c r="Z1842" t="s">
        <v>103</v>
      </c>
      <c r="AF1842">
        <v>69</v>
      </c>
      <c r="AG1842">
        <v>181</v>
      </c>
      <c r="AH1842">
        <v>-12</v>
      </c>
    </row>
    <row r="1843" spans="1:34" ht="18.75" customHeight="1" x14ac:dyDescent="0.3">
      <c r="A1843" s="1">
        <v>2003138302140</v>
      </c>
      <c r="B1843" t="s">
        <v>210</v>
      </c>
      <c r="C1843" t="s">
        <v>4955</v>
      </c>
      <c r="D1843" t="s">
        <v>4919</v>
      </c>
      <c r="E1843" t="s">
        <v>850</v>
      </c>
      <c r="AF1843" t="s">
        <v>787</v>
      </c>
    </row>
    <row r="1844" spans="1:34" ht="18.75" customHeight="1" x14ac:dyDescent="0.3">
      <c r="A1844" s="1">
        <v>2003138307992</v>
      </c>
      <c r="B1844" t="s">
        <v>210</v>
      </c>
      <c r="C1844" t="s">
        <v>4956</v>
      </c>
      <c r="D1844" t="s">
        <v>4919</v>
      </c>
      <c r="E1844" t="s">
        <v>850</v>
      </c>
      <c r="AF1844" t="s">
        <v>787</v>
      </c>
    </row>
    <row r="1845" spans="1:34" ht="18.75" customHeight="1" x14ac:dyDescent="0.3">
      <c r="A1845" s="1">
        <v>2006138301253</v>
      </c>
      <c r="B1845" t="s">
        <v>57</v>
      </c>
      <c r="C1845" t="s">
        <v>4957</v>
      </c>
      <c r="D1845" t="s">
        <v>4919</v>
      </c>
      <c r="E1845" t="s">
        <v>850</v>
      </c>
      <c r="AF1845" t="s">
        <v>787</v>
      </c>
    </row>
    <row r="1846" spans="1:34" ht="18.75" customHeight="1" x14ac:dyDescent="0.3">
      <c r="A1846" s="1">
        <v>2008138302942</v>
      </c>
      <c r="B1846" t="s">
        <v>57</v>
      </c>
      <c r="C1846" t="s">
        <v>4958</v>
      </c>
      <c r="D1846" t="s">
        <v>4919</v>
      </c>
      <c r="E1846" t="s">
        <v>850</v>
      </c>
      <c r="AF1846" t="s">
        <v>787</v>
      </c>
    </row>
    <row r="1847" spans="1:34" ht="18.75" customHeight="1" x14ac:dyDescent="0.3">
      <c r="A1847" s="1">
        <v>2009138305077</v>
      </c>
      <c r="B1847" t="s">
        <v>57</v>
      </c>
      <c r="C1847" t="s">
        <v>4959</v>
      </c>
      <c r="D1847" t="s">
        <v>4919</v>
      </c>
      <c r="E1847" t="s">
        <v>850</v>
      </c>
      <c r="AF1847" t="s">
        <v>787</v>
      </c>
    </row>
    <row r="1848" spans="1:34" ht="18.75" customHeight="1" x14ac:dyDescent="0.3">
      <c r="A1848" s="1">
        <v>2010138308846</v>
      </c>
      <c r="B1848" t="s">
        <v>75</v>
      </c>
      <c r="C1848" t="s">
        <v>4960</v>
      </c>
      <c r="D1848" t="s">
        <v>4919</v>
      </c>
      <c r="E1848" t="s">
        <v>850</v>
      </c>
      <c r="AF1848" t="s">
        <v>787</v>
      </c>
    </row>
    <row r="1849" spans="1:34" ht="18.75" customHeight="1" x14ac:dyDescent="0.3">
      <c r="A1849" s="1">
        <v>2013130400082</v>
      </c>
      <c r="B1849" t="s">
        <v>75</v>
      </c>
      <c r="C1849" t="s">
        <v>4961</v>
      </c>
      <c r="D1849" t="s">
        <v>4919</v>
      </c>
      <c r="E1849" t="s">
        <v>850</v>
      </c>
      <c r="AF1849" t="s">
        <v>787</v>
      </c>
    </row>
    <row r="1850" spans="1:34" ht="18.75" customHeight="1" x14ac:dyDescent="0.3">
      <c r="A1850" s="1">
        <v>2013138303155</v>
      </c>
      <c r="B1850" t="s">
        <v>75</v>
      </c>
      <c r="C1850" t="s">
        <v>4962</v>
      </c>
      <c r="D1850" t="s">
        <v>4919</v>
      </c>
      <c r="E1850" t="s">
        <v>850</v>
      </c>
      <c r="AF1850" t="s">
        <v>787</v>
      </c>
    </row>
    <row r="1851" spans="1:34" ht="18.75" customHeight="1" x14ac:dyDescent="0.3">
      <c r="A1851" s="1">
        <v>2014138312716</v>
      </c>
      <c r="B1851" t="s">
        <v>75</v>
      </c>
      <c r="C1851" t="s">
        <v>4963</v>
      </c>
      <c r="D1851" t="s">
        <v>4919</v>
      </c>
      <c r="E1851" t="s">
        <v>850</v>
      </c>
      <c r="AF1851" t="s">
        <v>787</v>
      </c>
    </row>
    <row r="1852" spans="1:34" ht="18.75" customHeight="1" x14ac:dyDescent="0.3">
      <c r="A1852" s="1">
        <v>2015130401234</v>
      </c>
      <c r="B1852" t="s">
        <v>106</v>
      </c>
      <c r="C1852" t="s">
        <v>4964</v>
      </c>
      <c r="D1852" t="s">
        <v>4919</v>
      </c>
      <c r="E1852" t="s">
        <v>850</v>
      </c>
      <c r="AF1852" t="s">
        <v>787</v>
      </c>
    </row>
    <row r="1853" spans="1:34" ht="18.75" customHeight="1" x14ac:dyDescent="0.3">
      <c r="A1853" s="1">
        <v>2015138316196</v>
      </c>
      <c r="B1853" t="s">
        <v>106</v>
      </c>
      <c r="C1853" t="s">
        <v>4965</v>
      </c>
      <c r="D1853" t="s">
        <v>4919</v>
      </c>
      <c r="E1853" t="s">
        <v>850</v>
      </c>
      <c r="AF1853" t="s">
        <v>787</v>
      </c>
    </row>
    <row r="1854" spans="1:34" ht="18.75" customHeight="1" x14ac:dyDescent="0.3">
      <c r="A1854" s="1">
        <v>2016138309850</v>
      </c>
      <c r="B1854" t="s">
        <v>106</v>
      </c>
      <c r="C1854" t="s">
        <v>4966</v>
      </c>
      <c r="D1854" t="s">
        <v>4919</v>
      </c>
      <c r="E1854" t="s">
        <v>850</v>
      </c>
      <c r="AF1854" t="s">
        <v>787</v>
      </c>
    </row>
    <row r="1855" spans="1:34" ht="18.75" customHeight="1" x14ac:dyDescent="0.3">
      <c r="A1855" s="1">
        <v>2017131804186</v>
      </c>
      <c r="B1855" t="s">
        <v>106</v>
      </c>
      <c r="C1855" t="s">
        <v>4967</v>
      </c>
      <c r="D1855" t="s">
        <v>4919</v>
      </c>
      <c r="E1855" t="s">
        <v>850</v>
      </c>
      <c r="AF1855" t="s">
        <v>787</v>
      </c>
    </row>
    <row r="1856" spans="1:34" ht="18.75" customHeight="1" x14ac:dyDescent="0.3">
      <c r="A1856" s="1">
        <v>2019138306173</v>
      </c>
      <c r="B1856" t="s">
        <v>125</v>
      </c>
      <c r="C1856" t="s">
        <v>4968</v>
      </c>
      <c r="D1856" t="s">
        <v>4919</v>
      </c>
      <c r="E1856" t="s">
        <v>850</v>
      </c>
      <c r="AF1856" t="s">
        <v>787</v>
      </c>
    </row>
    <row r="1857" spans="1:35" ht="18.75" customHeight="1" x14ac:dyDescent="0.3">
      <c r="A1857" s="1">
        <v>2019138307048</v>
      </c>
      <c r="B1857" t="s">
        <v>125</v>
      </c>
      <c r="C1857" t="s">
        <v>4969</v>
      </c>
      <c r="D1857" t="s">
        <v>4919</v>
      </c>
      <c r="E1857" t="s">
        <v>850</v>
      </c>
      <c r="AF1857" t="s">
        <v>787</v>
      </c>
    </row>
    <row r="1858" spans="1:35" ht="18.75" customHeight="1" x14ac:dyDescent="0.3">
      <c r="A1858" s="1">
        <v>2019138309416</v>
      </c>
      <c r="B1858" t="s">
        <v>125</v>
      </c>
      <c r="C1858" t="s">
        <v>4970</v>
      </c>
      <c r="D1858" t="s">
        <v>4919</v>
      </c>
      <c r="E1858" t="s">
        <v>850</v>
      </c>
      <c r="AF1858" t="s">
        <v>787</v>
      </c>
    </row>
    <row r="1859" spans="1:35" ht="18.75" customHeight="1" x14ac:dyDescent="0.3">
      <c r="A1859" s="1">
        <v>2019138314530</v>
      </c>
      <c r="B1859" t="s">
        <v>125</v>
      </c>
      <c r="C1859" t="s">
        <v>4971</v>
      </c>
      <c r="D1859" t="s">
        <v>4919</v>
      </c>
      <c r="E1859" t="s">
        <v>850</v>
      </c>
      <c r="AF1859" t="s">
        <v>787</v>
      </c>
    </row>
    <row r="1860" spans="1:35" ht="18.75" customHeight="1" x14ac:dyDescent="0.3">
      <c r="A1860" s="1">
        <v>2019138316742</v>
      </c>
      <c r="B1860" t="s">
        <v>125</v>
      </c>
      <c r="C1860" t="s">
        <v>4972</v>
      </c>
      <c r="D1860" t="s">
        <v>4919</v>
      </c>
      <c r="E1860" t="s">
        <v>850</v>
      </c>
      <c r="AF1860" t="s">
        <v>787</v>
      </c>
    </row>
    <row r="1861" spans="1:35" ht="18.75" customHeight="1" x14ac:dyDescent="0.3">
      <c r="A1861" s="1">
        <v>2011138310360</v>
      </c>
      <c r="B1861" t="s">
        <v>75</v>
      </c>
      <c r="C1861" t="s">
        <v>4973</v>
      </c>
      <c r="D1861" t="s">
        <v>4919</v>
      </c>
      <c r="E1861" t="s">
        <v>850</v>
      </c>
      <c r="AF1861" t="s">
        <v>787</v>
      </c>
    </row>
    <row r="1862" spans="1:35" ht="18.75" customHeight="1" x14ac:dyDescent="0.3">
      <c r="A1862" s="1">
        <v>2019138314514</v>
      </c>
      <c r="B1862" t="s">
        <v>125</v>
      </c>
      <c r="C1862" t="s">
        <v>4974</v>
      </c>
      <c r="D1862" t="s">
        <v>4919</v>
      </c>
      <c r="E1862" t="s">
        <v>850</v>
      </c>
      <c r="AH1862" t="s">
        <v>787</v>
      </c>
    </row>
    <row r="1863" spans="1:35" ht="18.75" customHeight="1" x14ac:dyDescent="0.3">
      <c r="A1863" s="1">
        <v>2011138307987</v>
      </c>
      <c r="B1863" t="s">
        <v>75</v>
      </c>
      <c r="C1863" t="s">
        <v>4975</v>
      </c>
      <c r="D1863" t="s">
        <v>4976</v>
      </c>
      <c r="E1863" t="s">
        <v>850</v>
      </c>
      <c r="AG1863" t="s">
        <v>787</v>
      </c>
    </row>
    <row r="1864" spans="1:35" ht="18.75" customHeight="1" x14ac:dyDescent="0.3">
      <c r="A1864" s="1">
        <v>2003138303742</v>
      </c>
      <c r="B1864" t="s">
        <v>210</v>
      </c>
      <c r="C1864" t="s">
        <v>4977</v>
      </c>
      <c r="D1864" t="s">
        <v>4976</v>
      </c>
      <c r="E1864" t="s">
        <v>850</v>
      </c>
      <c r="F1864">
        <v>129</v>
      </c>
      <c r="G1864">
        <v>37639</v>
      </c>
      <c r="H1864">
        <v>38110</v>
      </c>
      <c r="I1864">
        <v>45658</v>
      </c>
      <c r="J1864">
        <v>46092</v>
      </c>
      <c r="L1864" t="s">
        <v>45</v>
      </c>
      <c r="M1864" t="s">
        <v>1720</v>
      </c>
      <c r="N1864" t="s">
        <v>127</v>
      </c>
      <c r="O1864" t="s">
        <v>4978</v>
      </c>
      <c r="P1864" t="s">
        <v>49</v>
      </c>
      <c r="R1864">
        <v>16</v>
      </c>
      <c r="S1864">
        <v>0</v>
      </c>
      <c r="T1864">
        <v>1</v>
      </c>
      <c r="U1864">
        <v>1273738694</v>
      </c>
      <c r="W1864">
        <v>28212191601419</v>
      </c>
      <c r="X1864">
        <v>30304</v>
      </c>
      <c r="AD1864" t="s">
        <v>4979</v>
      </c>
      <c r="AG1864" t="s">
        <v>787</v>
      </c>
    </row>
    <row r="1865" spans="1:35" ht="18.75" customHeight="1" x14ac:dyDescent="0.3">
      <c r="A1865" s="1">
        <v>2011130402800</v>
      </c>
      <c r="B1865" t="s">
        <v>75</v>
      </c>
      <c r="C1865" t="s">
        <v>4980</v>
      </c>
      <c r="D1865" t="s">
        <v>4981</v>
      </c>
      <c r="E1865" t="s">
        <v>850</v>
      </c>
      <c r="F1865">
        <v>146</v>
      </c>
      <c r="G1865">
        <v>40748</v>
      </c>
      <c r="H1865">
        <v>41221</v>
      </c>
      <c r="I1865">
        <v>44927</v>
      </c>
      <c r="J1865">
        <v>44501</v>
      </c>
      <c r="L1865" t="s">
        <v>77</v>
      </c>
      <c r="M1865" t="s">
        <v>1720</v>
      </c>
      <c r="N1865" t="s">
        <v>127</v>
      </c>
      <c r="O1865" t="s">
        <v>78</v>
      </c>
      <c r="P1865" t="s">
        <v>49</v>
      </c>
      <c r="R1865">
        <v>7</v>
      </c>
      <c r="S1865">
        <v>0</v>
      </c>
      <c r="T1865">
        <v>0</v>
      </c>
      <c r="W1865" t="s">
        <v>4982</v>
      </c>
      <c r="X1865">
        <v>34497</v>
      </c>
      <c r="Y1865" t="s">
        <v>103</v>
      </c>
      <c r="AF1865">
        <v>74</v>
      </c>
      <c r="AG1865">
        <v>175</v>
      </c>
      <c r="AH1865">
        <v>-1</v>
      </c>
    </row>
    <row r="1866" spans="1:35" ht="18.75" customHeight="1" x14ac:dyDescent="0.3">
      <c r="A1866" s="1">
        <v>2013138314110</v>
      </c>
      <c r="B1866" t="s">
        <v>75</v>
      </c>
      <c r="C1866" t="s">
        <v>4983</v>
      </c>
      <c r="D1866" t="s">
        <v>4981</v>
      </c>
      <c r="E1866" t="s">
        <v>850</v>
      </c>
      <c r="F1866">
        <v>150</v>
      </c>
      <c r="G1866">
        <v>41510</v>
      </c>
      <c r="H1866">
        <v>41982</v>
      </c>
      <c r="I1866">
        <v>45658</v>
      </c>
      <c r="J1866">
        <v>45969</v>
      </c>
      <c r="L1866" t="s">
        <v>77</v>
      </c>
      <c r="M1866" t="s">
        <v>1720</v>
      </c>
      <c r="N1866" t="s">
        <v>127</v>
      </c>
      <c r="O1866" t="s">
        <v>4984</v>
      </c>
      <c r="Q1866" t="s">
        <v>49</v>
      </c>
      <c r="R1866">
        <v>7</v>
      </c>
      <c r="S1866" t="s">
        <v>4670</v>
      </c>
      <c r="T1866" t="s">
        <v>4670</v>
      </c>
      <c r="W1866">
        <v>29207012402271</v>
      </c>
      <c r="X1866">
        <v>34497</v>
      </c>
      <c r="Y1866" t="s">
        <v>103</v>
      </c>
      <c r="AF1866">
        <v>79</v>
      </c>
      <c r="AG1866">
        <v>183</v>
      </c>
      <c r="AH1866">
        <v>-4</v>
      </c>
      <c r="AI1866" t="s">
        <v>4985</v>
      </c>
    </row>
    <row r="1867" spans="1:35" ht="18.75" customHeight="1" x14ac:dyDescent="0.3">
      <c r="A1867" s="1">
        <v>2014138305266</v>
      </c>
      <c r="B1867" t="s">
        <v>75</v>
      </c>
      <c r="C1867" t="s">
        <v>4986</v>
      </c>
      <c r="D1867" t="s">
        <v>4981</v>
      </c>
      <c r="E1867" t="s">
        <v>850</v>
      </c>
      <c r="F1867">
        <v>151</v>
      </c>
      <c r="G1867">
        <v>41666</v>
      </c>
      <c r="H1867">
        <v>42135</v>
      </c>
      <c r="I1867" t="s">
        <v>4987</v>
      </c>
      <c r="J1867">
        <v>44145</v>
      </c>
      <c r="L1867" t="s">
        <v>77</v>
      </c>
      <c r="M1867" t="s">
        <v>1720</v>
      </c>
      <c r="N1867" t="s">
        <v>127</v>
      </c>
      <c r="O1867" t="s">
        <v>4988</v>
      </c>
      <c r="Q1867" t="s">
        <v>49</v>
      </c>
      <c r="R1867">
        <v>3</v>
      </c>
      <c r="S1867" t="s">
        <v>4670</v>
      </c>
      <c r="T1867" t="s">
        <v>4670</v>
      </c>
      <c r="W1867">
        <v>29204151701896</v>
      </c>
      <c r="X1867">
        <v>33709</v>
      </c>
      <c r="Y1867" t="s">
        <v>103</v>
      </c>
      <c r="AF1867">
        <v>85</v>
      </c>
      <c r="AG1867">
        <v>180</v>
      </c>
      <c r="AH1867">
        <v>5</v>
      </c>
      <c r="AI1867" t="s">
        <v>4989</v>
      </c>
    </row>
    <row r="1868" spans="1:35" ht="18.75" customHeight="1" x14ac:dyDescent="0.3">
      <c r="A1868" s="1">
        <v>2014138311338</v>
      </c>
      <c r="B1868" t="s">
        <v>106</v>
      </c>
      <c r="C1868" t="s">
        <v>4990</v>
      </c>
      <c r="D1868" t="s">
        <v>4981</v>
      </c>
      <c r="E1868" t="s">
        <v>850</v>
      </c>
      <c r="F1868">
        <v>153</v>
      </c>
      <c r="G1868">
        <v>41853</v>
      </c>
      <c r="H1868">
        <v>42326</v>
      </c>
      <c r="I1868">
        <v>44197</v>
      </c>
      <c r="J1868">
        <v>44517</v>
      </c>
      <c r="L1868" t="s">
        <v>77</v>
      </c>
      <c r="M1868" t="s">
        <v>1720</v>
      </c>
      <c r="N1868" t="s">
        <v>127</v>
      </c>
      <c r="O1868" t="s">
        <v>4991</v>
      </c>
      <c r="P1868" t="s">
        <v>49</v>
      </c>
      <c r="R1868">
        <v>7</v>
      </c>
      <c r="S1868" t="s">
        <v>4670</v>
      </c>
      <c r="T1868" t="s">
        <v>4670</v>
      </c>
      <c r="W1868">
        <v>29801051801352</v>
      </c>
      <c r="X1868">
        <v>35800</v>
      </c>
      <c r="Y1868" t="s">
        <v>103</v>
      </c>
      <c r="AF1868">
        <v>91</v>
      </c>
      <c r="AG1868">
        <v>186</v>
      </c>
      <c r="AH1868">
        <v>5</v>
      </c>
    </row>
    <row r="1869" spans="1:35" ht="18.75" customHeight="1" x14ac:dyDescent="0.3">
      <c r="A1869" s="1">
        <v>2017138302597</v>
      </c>
      <c r="B1869" t="s">
        <v>106</v>
      </c>
      <c r="C1869" t="s">
        <v>4992</v>
      </c>
      <c r="D1869" t="s">
        <v>4981</v>
      </c>
      <c r="E1869" t="s">
        <v>850</v>
      </c>
      <c r="F1869">
        <v>157</v>
      </c>
      <c r="G1869">
        <v>42915</v>
      </c>
      <c r="H1869">
        <v>43663</v>
      </c>
      <c r="I1869">
        <v>45658</v>
      </c>
      <c r="J1869">
        <v>45594</v>
      </c>
      <c r="L1869" t="s">
        <v>77</v>
      </c>
      <c r="M1869" t="s">
        <v>1720</v>
      </c>
      <c r="N1869" t="s">
        <v>127</v>
      </c>
      <c r="O1869" t="s">
        <v>4984</v>
      </c>
      <c r="Q1869" t="s">
        <v>49</v>
      </c>
      <c r="R1869">
        <v>1</v>
      </c>
      <c r="S1869">
        <v>0</v>
      </c>
      <c r="T1869">
        <v>0</v>
      </c>
      <c r="W1869">
        <v>29711151701291</v>
      </c>
      <c r="X1869">
        <v>37332</v>
      </c>
      <c r="Y1869" t="s">
        <v>103</v>
      </c>
      <c r="AF1869">
        <v>80</v>
      </c>
      <c r="AG1869">
        <v>175</v>
      </c>
      <c r="AH1869">
        <v>5</v>
      </c>
    </row>
    <row r="1870" spans="1:35" ht="18.75" customHeight="1" x14ac:dyDescent="0.3">
      <c r="A1870" s="1">
        <v>2018138302355</v>
      </c>
      <c r="B1870" t="s">
        <v>106</v>
      </c>
      <c r="C1870" t="s">
        <v>4993</v>
      </c>
      <c r="D1870" t="s">
        <v>4981</v>
      </c>
      <c r="E1870" t="s">
        <v>850</v>
      </c>
      <c r="F1870">
        <v>158</v>
      </c>
      <c r="G1870">
        <v>43279</v>
      </c>
      <c r="H1870">
        <v>44117</v>
      </c>
      <c r="I1870">
        <v>46023</v>
      </c>
      <c r="J1870">
        <v>45974</v>
      </c>
      <c r="L1870" t="s">
        <v>77</v>
      </c>
      <c r="M1870" t="s">
        <v>1720</v>
      </c>
      <c r="N1870" t="s">
        <v>127</v>
      </c>
      <c r="O1870" t="s">
        <v>4994</v>
      </c>
      <c r="P1870" t="s">
        <v>49</v>
      </c>
      <c r="R1870">
        <v>0</v>
      </c>
      <c r="S1870">
        <v>0</v>
      </c>
      <c r="T1870">
        <v>0</v>
      </c>
      <c r="W1870">
        <v>30203171801675</v>
      </c>
      <c r="X1870">
        <v>37332</v>
      </c>
      <c r="Y1870" t="s">
        <v>767</v>
      </c>
      <c r="AF1870">
        <v>73</v>
      </c>
      <c r="AG1870">
        <v>175</v>
      </c>
      <c r="AH1870">
        <v>-2</v>
      </c>
      <c r="AI1870" t="s">
        <v>4995</v>
      </c>
    </row>
    <row r="1871" spans="1:35" ht="18.75" customHeight="1" x14ac:dyDescent="0.3">
      <c r="A1871" s="1">
        <v>2018138308014</v>
      </c>
      <c r="B1871" t="s">
        <v>106</v>
      </c>
      <c r="C1871" t="s">
        <v>4996</v>
      </c>
      <c r="D1871" t="s">
        <v>4981</v>
      </c>
      <c r="E1871" t="s">
        <v>850</v>
      </c>
      <c r="F1871">
        <v>158</v>
      </c>
      <c r="G1871">
        <v>43279</v>
      </c>
      <c r="H1871">
        <v>44117</v>
      </c>
      <c r="I1871">
        <v>46023</v>
      </c>
      <c r="J1871">
        <v>45974</v>
      </c>
      <c r="L1871" t="s">
        <v>77</v>
      </c>
      <c r="M1871" t="s">
        <v>1720</v>
      </c>
      <c r="N1871" t="s">
        <v>127</v>
      </c>
      <c r="O1871" t="s">
        <v>4994</v>
      </c>
      <c r="Q1871" t="s">
        <v>49</v>
      </c>
      <c r="R1871">
        <v>2</v>
      </c>
      <c r="S1871">
        <v>0</v>
      </c>
      <c r="T1871">
        <v>0</v>
      </c>
      <c r="W1871">
        <v>29704272400292</v>
      </c>
      <c r="X1871">
        <v>34497</v>
      </c>
      <c r="Y1871" t="s">
        <v>103</v>
      </c>
      <c r="AF1871">
        <v>86</v>
      </c>
      <c r="AG1871">
        <v>181</v>
      </c>
      <c r="AH1871">
        <v>5</v>
      </c>
    </row>
    <row r="1872" spans="1:35" ht="18.75" customHeight="1" x14ac:dyDescent="0.3">
      <c r="A1872" s="1">
        <v>2019131807996</v>
      </c>
      <c r="B1872" t="s">
        <v>125</v>
      </c>
      <c r="C1872" t="s">
        <v>4997</v>
      </c>
      <c r="D1872" t="s">
        <v>4981</v>
      </c>
      <c r="E1872" t="s">
        <v>850</v>
      </c>
      <c r="F1872">
        <v>159</v>
      </c>
      <c r="G1872">
        <v>43692</v>
      </c>
      <c r="H1872">
        <v>44482</v>
      </c>
      <c r="I1872">
        <v>44482</v>
      </c>
      <c r="J1872">
        <v>44522</v>
      </c>
      <c r="L1872" t="s">
        <v>77</v>
      </c>
      <c r="M1872" t="s">
        <v>1720</v>
      </c>
      <c r="N1872" t="s">
        <v>127</v>
      </c>
      <c r="O1872" t="s">
        <v>1900</v>
      </c>
      <c r="Q1872" t="s">
        <v>49</v>
      </c>
      <c r="R1872">
        <v>3</v>
      </c>
      <c r="S1872">
        <v>1</v>
      </c>
      <c r="T1872">
        <v>0</v>
      </c>
      <c r="W1872" t="s">
        <v>4998</v>
      </c>
      <c r="X1872">
        <v>44499</v>
      </c>
      <c r="Y1872" t="s">
        <v>767</v>
      </c>
      <c r="AF1872">
        <v>55</v>
      </c>
      <c r="AG1872">
        <v>167</v>
      </c>
      <c r="AH1872">
        <v>-12</v>
      </c>
      <c r="AI1872" t="s">
        <v>4995</v>
      </c>
    </row>
    <row r="1873" spans="1:40" ht="18.75" customHeight="1" x14ac:dyDescent="0.3">
      <c r="A1873" s="1">
        <v>2019138304937</v>
      </c>
      <c r="B1873" t="s">
        <v>125</v>
      </c>
      <c r="C1873" t="s">
        <v>4999</v>
      </c>
      <c r="D1873" t="s">
        <v>4981</v>
      </c>
      <c r="E1873" t="s">
        <v>850</v>
      </c>
      <c r="F1873">
        <v>159</v>
      </c>
      <c r="G1873">
        <v>43692</v>
      </c>
      <c r="H1873">
        <v>44482</v>
      </c>
      <c r="I1873">
        <v>44482</v>
      </c>
      <c r="J1873">
        <v>44855</v>
      </c>
      <c r="L1873" t="s">
        <v>77</v>
      </c>
      <c r="M1873" t="s">
        <v>1720</v>
      </c>
      <c r="N1873" t="s">
        <v>127</v>
      </c>
      <c r="O1873" t="s">
        <v>4991</v>
      </c>
      <c r="Q1873" t="s">
        <v>49</v>
      </c>
      <c r="R1873">
        <v>1</v>
      </c>
      <c r="S1873">
        <v>0</v>
      </c>
      <c r="T1873">
        <v>0</v>
      </c>
      <c r="W1873">
        <v>30112031801335</v>
      </c>
      <c r="X1873">
        <v>37228</v>
      </c>
      <c r="Y1873" t="s">
        <v>767</v>
      </c>
      <c r="AF1873">
        <v>79</v>
      </c>
      <c r="AG1873">
        <v>183</v>
      </c>
      <c r="AH1873">
        <v>-4</v>
      </c>
    </row>
    <row r="1874" spans="1:40" ht="18.75" customHeight="1" x14ac:dyDescent="0.3">
      <c r="A1874" s="1">
        <v>2021138305881</v>
      </c>
      <c r="B1874" t="s">
        <v>125</v>
      </c>
      <c r="C1874" t="s">
        <v>5000</v>
      </c>
      <c r="D1874" t="s">
        <v>4981</v>
      </c>
      <c r="E1874" t="s">
        <v>850</v>
      </c>
      <c r="F1874">
        <v>160</v>
      </c>
      <c r="G1874">
        <v>44205</v>
      </c>
      <c r="H1874">
        <v>45197</v>
      </c>
      <c r="I1874">
        <v>45197</v>
      </c>
      <c r="J1874">
        <v>45201</v>
      </c>
      <c r="L1874" t="s">
        <v>77</v>
      </c>
      <c r="M1874" t="s">
        <v>1720</v>
      </c>
      <c r="N1874" t="s">
        <v>127</v>
      </c>
      <c r="O1874" t="s">
        <v>4991</v>
      </c>
      <c r="Q1874" t="s">
        <v>49</v>
      </c>
      <c r="R1874">
        <v>0</v>
      </c>
      <c r="S1874">
        <v>0</v>
      </c>
      <c r="T1874">
        <v>0</v>
      </c>
      <c r="W1874">
        <v>3010815704271</v>
      </c>
      <c r="X1874">
        <v>37118</v>
      </c>
      <c r="Y1874" t="s">
        <v>767</v>
      </c>
      <c r="AF1874">
        <v>82</v>
      </c>
      <c r="AG1874">
        <v>179</v>
      </c>
      <c r="AH1874">
        <v>3</v>
      </c>
    </row>
    <row r="1875" spans="1:40" ht="18.75" customHeight="1" x14ac:dyDescent="0.3">
      <c r="A1875" s="1">
        <v>2023138308196</v>
      </c>
      <c r="B1875" t="s">
        <v>125</v>
      </c>
      <c r="C1875" t="s">
        <v>5001</v>
      </c>
      <c r="D1875" t="s">
        <v>4981</v>
      </c>
      <c r="E1875" t="s">
        <v>850</v>
      </c>
      <c r="F1875">
        <v>162</v>
      </c>
      <c r="G1875">
        <v>44941</v>
      </c>
      <c r="H1875">
        <v>45976</v>
      </c>
      <c r="M1875" t="s">
        <v>1720</v>
      </c>
      <c r="N1875" t="s">
        <v>127</v>
      </c>
      <c r="O1875" t="s">
        <v>5002</v>
      </c>
      <c r="Q1875" t="s">
        <v>49</v>
      </c>
      <c r="S1875">
        <v>0</v>
      </c>
      <c r="T1875">
        <v>0</v>
      </c>
      <c r="U1875" t="s">
        <v>5003</v>
      </c>
      <c r="X1875">
        <v>38239</v>
      </c>
      <c r="Y1875" t="s">
        <v>767</v>
      </c>
      <c r="AF1875">
        <v>80</v>
      </c>
      <c r="AG1875">
        <v>179</v>
      </c>
      <c r="AH1875">
        <v>1</v>
      </c>
    </row>
    <row r="1876" spans="1:40" ht="18.75" customHeight="1" x14ac:dyDescent="0.3">
      <c r="A1876" s="1">
        <v>2008131100187</v>
      </c>
      <c r="B1876" t="s">
        <v>57</v>
      </c>
      <c r="C1876" t="s">
        <v>5004</v>
      </c>
      <c r="D1876" t="s">
        <v>849</v>
      </c>
      <c r="E1876" t="s">
        <v>850</v>
      </c>
      <c r="F1876">
        <v>139</v>
      </c>
      <c r="G1876">
        <v>39473</v>
      </c>
      <c r="H1876">
        <v>39944</v>
      </c>
      <c r="I1876">
        <v>45474</v>
      </c>
      <c r="M1876" t="s">
        <v>136</v>
      </c>
      <c r="N1876" t="s">
        <v>127</v>
      </c>
      <c r="O1876" t="s">
        <v>1097</v>
      </c>
      <c r="Q1876" t="s">
        <v>49</v>
      </c>
      <c r="R1876">
        <v>9</v>
      </c>
      <c r="S1876">
        <v>0</v>
      </c>
      <c r="T1876">
        <v>0</v>
      </c>
      <c r="U1876" t="s">
        <v>5005</v>
      </c>
      <c r="V1876" t="s">
        <v>5006</v>
      </c>
      <c r="X1876">
        <v>31061</v>
      </c>
      <c r="Y1876" t="s">
        <v>103</v>
      </c>
      <c r="AF1876">
        <v>85</v>
      </c>
      <c r="AG1876">
        <v>187</v>
      </c>
      <c r="AH1876">
        <v>-2</v>
      </c>
    </row>
    <row r="1877" spans="1:40" ht="18.75" customHeight="1" x14ac:dyDescent="0.3">
      <c r="A1877" s="1">
        <v>2008138304089</v>
      </c>
      <c r="B1877" t="s">
        <v>57</v>
      </c>
      <c r="C1877" t="s">
        <v>5007</v>
      </c>
      <c r="D1877" t="s">
        <v>849</v>
      </c>
      <c r="E1877" t="s">
        <v>850</v>
      </c>
      <c r="F1877">
        <v>139</v>
      </c>
      <c r="G1877">
        <v>39473</v>
      </c>
      <c r="H1877">
        <v>39945</v>
      </c>
      <c r="I1877">
        <v>45474</v>
      </c>
      <c r="M1877" t="s">
        <v>136</v>
      </c>
      <c r="N1877" t="s">
        <v>127</v>
      </c>
      <c r="O1877" t="s">
        <v>1097</v>
      </c>
      <c r="Q1877" t="s">
        <v>49</v>
      </c>
      <c r="R1877">
        <v>1</v>
      </c>
      <c r="S1877">
        <v>3</v>
      </c>
      <c r="T1877">
        <v>0</v>
      </c>
      <c r="U1877">
        <v>1066004597</v>
      </c>
      <c r="V1877" t="s">
        <v>5008</v>
      </c>
      <c r="X1877">
        <v>32629</v>
      </c>
      <c r="Y1877" t="s">
        <v>103</v>
      </c>
      <c r="AF1877">
        <v>71</v>
      </c>
      <c r="AG1877">
        <v>171</v>
      </c>
      <c r="AH1877">
        <v>0</v>
      </c>
    </row>
    <row r="1878" spans="1:40" ht="18.75" customHeight="1" x14ac:dyDescent="0.3">
      <c r="A1878" s="1">
        <v>2015138316154</v>
      </c>
      <c r="B1878" t="s">
        <v>106</v>
      </c>
      <c r="C1878" t="s">
        <v>5009</v>
      </c>
      <c r="D1878" t="s">
        <v>849</v>
      </c>
      <c r="E1878" t="s">
        <v>850</v>
      </c>
      <c r="F1878">
        <v>154</v>
      </c>
      <c r="G1878">
        <v>42224</v>
      </c>
      <c r="H1878">
        <v>42790</v>
      </c>
      <c r="I1878">
        <v>44743</v>
      </c>
      <c r="M1878" t="s">
        <v>136</v>
      </c>
      <c r="N1878" t="s">
        <v>127</v>
      </c>
      <c r="O1878" t="s">
        <v>1097</v>
      </c>
      <c r="P1878" t="s">
        <v>49</v>
      </c>
      <c r="R1878">
        <v>0</v>
      </c>
      <c r="S1878">
        <v>0</v>
      </c>
      <c r="T1878">
        <v>0</v>
      </c>
      <c r="U1878">
        <v>1090994875</v>
      </c>
      <c r="V1878" t="s">
        <v>5010</v>
      </c>
      <c r="X1878">
        <v>34112</v>
      </c>
      <c r="Y1878" t="s">
        <v>103</v>
      </c>
      <c r="AF1878">
        <v>70</v>
      </c>
      <c r="AG1878">
        <v>164</v>
      </c>
      <c r="AH1878">
        <v>6</v>
      </c>
    </row>
    <row r="1879" spans="1:40" ht="18.75" customHeight="1" x14ac:dyDescent="0.3">
      <c r="A1879" s="1">
        <v>2016131101592</v>
      </c>
      <c r="B1879" t="s">
        <v>106</v>
      </c>
      <c r="C1879" t="s">
        <v>5011</v>
      </c>
      <c r="D1879" t="s">
        <v>849</v>
      </c>
      <c r="E1879" t="s">
        <v>850</v>
      </c>
      <c r="F1879">
        <v>156</v>
      </c>
      <c r="G1879">
        <v>42575</v>
      </c>
      <c r="H1879">
        <v>43321</v>
      </c>
      <c r="I1879">
        <v>45292</v>
      </c>
      <c r="M1879" t="s">
        <v>136</v>
      </c>
      <c r="N1879" t="s">
        <v>448</v>
      </c>
      <c r="O1879" t="s">
        <v>5012</v>
      </c>
      <c r="Q1879" t="s">
        <v>49</v>
      </c>
      <c r="R1879">
        <v>1</v>
      </c>
      <c r="S1879">
        <v>0</v>
      </c>
      <c r="T1879">
        <v>0</v>
      </c>
      <c r="U1879" t="s">
        <v>5013</v>
      </c>
      <c r="V1879" t="s">
        <v>5014</v>
      </c>
      <c r="X1879">
        <v>34212</v>
      </c>
      <c r="Y1879" t="s">
        <v>103</v>
      </c>
      <c r="AF1879">
        <v>72</v>
      </c>
      <c r="AG1879">
        <v>169</v>
      </c>
      <c r="AH1879">
        <v>3</v>
      </c>
    </row>
    <row r="1880" spans="1:40" ht="18.75" customHeight="1" x14ac:dyDescent="0.3">
      <c r="A1880" s="1">
        <v>2010130400202</v>
      </c>
      <c r="B1880" t="s">
        <v>75</v>
      </c>
      <c r="C1880" t="s">
        <v>5015</v>
      </c>
      <c r="D1880" t="s">
        <v>849</v>
      </c>
      <c r="E1880" t="s">
        <v>850</v>
      </c>
      <c r="F1880">
        <v>143</v>
      </c>
      <c r="G1880">
        <v>40194</v>
      </c>
      <c r="H1880">
        <v>40664</v>
      </c>
      <c r="I1880">
        <v>44378</v>
      </c>
      <c r="M1880" t="s">
        <v>136</v>
      </c>
      <c r="N1880" t="s">
        <v>78</v>
      </c>
      <c r="O1880" t="s">
        <v>78</v>
      </c>
      <c r="P1880" t="s">
        <v>49</v>
      </c>
      <c r="R1880">
        <v>6</v>
      </c>
      <c r="S1880">
        <v>0</v>
      </c>
      <c r="T1880">
        <v>0</v>
      </c>
      <c r="U1880" t="s">
        <v>5016</v>
      </c>
      <c r="V1880" t="s">
        <v>5017</v>
      </c>
      <c r="X1880">
        <v>33161</v>
      </c>
      <c r="Y1880" t="s">
        <v>406</v>
      </c>
      <c r="AF1880">
        <v>68</v>
      </c>
      <c r="AG1880">
        <v>169</v>
      </c>
      <c r="AH1880">
        <v>-1</v>
      </c>
    </row>
    <row r="1881" spans="1:40" ht="18.75" customHeight="1" x14ac:dyDescent="0.3">
      <c r="A1881" s="1">
        <v>2011134702248</v>
      </c>
      <c r="B1881" t="s">
        <v>210</v>
      </c>
      <c r="C1881" t="s">
        <v>5018</v>
      </c>
      <c r="D1881" t="s">
        <v>849</v>
      </c>
      <c r="E1881" t="s">
        <v>850</v>
      </c>
      <c r="F1881">
        <v>144</v>
      </c>
      <c r="G1881">
        <v>40558</v>
      </c>
      <c r="H1881">
        <v>40753</v>
      </c>
      <c r="I1881">
        <v>44562</v>
      </c>
      <c r="M1881" t="s">
        <v>136</v>
      </c>
      <c r="N1881" t="s">
        <v>47</v>
      </c>
      <c r="O1881" t="s">
        <v>4832</v>
      </c>
      <c r="Q1881" t="s">
        <v>49</v>
      </c>
      <c r="R1881">
        <v>9</v>
      </c>
      <c r="S1881">
        <v>1</v>
      </c>
      <c r="T1881">
        <v>0</v>
      </c>
      <c r="U1881" t="s">
        <v>5019</v>
      </c>
      <c r="V1881" t="s">
        <v>5019</v>
      </c>
      <c r="X1881">
        <v>32296</v>
      </c>
      <c r="Y1881" t="s">
        <v>103</v>
      </c>
      <c r="AF1881">
        <v>68</v>
      </c>
      <c r="AG1881">
        <v>176</v>
      </c>
      <c r="AH1881">
        <v>-8</v>
      </c>
    </row>
    <row r="1882" spans="1:40" ht="18.75" customHeight="1" x14ac:dyDescent="0.3">
      <c r="A1882" s="1">
        <v>2019131812185</v>
      </c>
      <c r="B1882" t="s">
        <v>125</v>
      </c>
      <c r="C1882" t="s">
        <v>5020</v>
      </c>
      <c r="D1882" t="s">
        <v>4584</v>
      </c>
      <c r="E1882" t="s">
        <v>750</v>
      </c>
      <c r="F1882">
        <v>159</v>
      </c>
      <c r="G1882">
        <v>43692</v>
      </c>
      <c r="I1882">
        <v>44562</v>
      </c>
      <c r="J1882">
        <v>44516</v>
      </c>
      <c r="K1882">
        <v>44516</v>
      </c>
      <c r="L1882" t="s">
        <v>135</v>
      </c>
      <c r="M1882" t="s">
        <v>46</v>
      </c>
      <c r="N1882" t="s">
        <v>727</v>
      </c>
      <c r="O1882" t="s">
        <v>4585</v>
      </c>
      <c r="Q1882" t="s">
        <v>49</v>
      </c>
      <c r="R1882">
        <v>2</v>
      </c>
      <c r="S1882">
        <v>0</v>
      </c>
      <c r="T1882">
        <v>0</v>
      </c>
      <c r="U1882" t="s">
        <v>5021</v>
      </c>
      <c r="W1882">
        <v>30311222202094</v>
      </c>
      <c r="X1882">
        <v>37947</v>
      </c>
      <c r="Y1882" t="s">
        <v>153</v>
      </c>
      <c r="Z1882">
        <v>0</v>
      </c>
      <c r="AA1882">
        <v>0</v>
      </c>
      <c r="AB1882">
        <v>0</v>
      </c>
      <c r="AC1882" t="s">
        <v>5022</v>
      </c>
      <c r="AD1882" t="s">
        <v>4721</v>
      </c>
      <c r="AE1882" t="s">
        <v>1520</v>
      </c>
      <c r="AF1882">
        <v>65</v>
      </c>
      <c r="AG1882">
        <v>170</v>
      </c>
    </row>
    <row r="1883" spans="1:40" ht="18.75" customHeight="1" x14ac:dyDescent="0.3">
      <c r="A1883" s="1">
        <v>2017131807528</v>
      </c>
      <c r="B1883" t="s">
        <v>106</v>
      </c>
      <c r="C1883" t="s">
        <v>5023</v>
      </c>
      <c r="D1883" t="s">
        <v>3845</v>
      </c>
      <c r="E1883" t="s">
        <v>335</v>
      </c>
      <c r="G1883">
        <v>42945</v>
      </c>
      <c r="H1883">
        <v>43660</v>
      </c>
      <c r="I1883">
        <v>43663</v>
      </c>
      <c r="J1883">
        <v>45592</v>
      </c>
      <c r="L1883" t="s">
        <v>135</v>
      </c>
      <c r="M1883" t="s">
        <v>335</v>
      </c>
      <c r="N1883" t="s">
        <v>727</v>
      </c>
      <c r="O1883" t="s">
        <v>4585</v>
      </c>
      <c r="R1883">
        <v>0</v>
      </c>
      <c r="S1883">
        <v>0</v>
      </c>
      <c r="U1883" t="s">
        <v>5024</v>
      </c>
      <c r="V1883" t="s">
        <v>5025</v>
      </c>
      <c r="W1883">
        <v>29501011376078</v>
      </c>
      <c r="X1883">
        <v>34700</v>
      </c>
      <c r="Y1883" t="s">
        <v>103</v>
      </c>
      <c r="AE1883">
        <v>76</v>
      </c>
      <c r="AF1883">
        <v>179</v>
      </c>
      <c r="AG1883">
        <v>-3</v>
      </c>
      <c r="AN1883" t="s">
        <v>145</v>
      </c>
    </row>
    <row r="1884" spans="1:40" ht="18.75" customHeight="1" x14ac:dyDescent="0.3">
      <c r="A1884" s="1">
        <v>2018131802849</v>
      </c>
      <c r="B1884" t="s">
        <v>106</v>
      </c>
      <c r="C1884" t="s">
        <v>5026</v>
      </c>
      <c r="D1884" t="s">
        <v>3845</v>
      </c>
      <c r="E1884" t="s">
        <v>335</v>
      </c>
      <c r="F1884">
        <v>158</v>
      </c>
      <c r="G1884">
        <v>43279</v>
      </c>
      <c r="H1884">
        <v>44117</v>
      </c>
      <c r="I1884">
        <v>45587</v>
      </c>
      <c r="J1884">
        <v>41934</v>
      </c>
      <c r="L1884" t="s">
        <v>135</v>
      </c>
      <c r="M1884" t="s">
        <v>335</v>
      </c>
      <c r="N1884" t="s">
        <v>727</v>
      </c>
      <c r="O1884" t="s">
        <v>4585</v>
      </c>
      <c r="R1884">
        <v>0</v>
      </c>
      <c r="S1884">
        <v>0</v>
      </c>
      <c r="U1884" t="s">
        <v>5027</v>
      </c>
      <c r="V1884" t="s">
        <v>5028</v>
      </c>
      <c r="W1884">
        <v>30001201302618</v>
      </c>
      <c r="X1884">
        <v>36545</v>
      </c>
      <c r="Y1884" t="s">
        <v>550</v>
      </c>
      <c r="AE1884">
        <v>76</v>
      </c>
      <c r="AF1884">
        <v>185</v>
      </c>
      <c r="AG1884">
        <v>-9</v>
      </c>
      <c r="AN1884" t="s">
        <v>145</v>
      </c>
    </row>
    <row r="1885" spans="1:40" ht="18.75" customHeight="1" x14ac:dyDescent="0.3">
      <c r="A1885" s="1">
        <v>2013131100863</v>
      </c>
      <c r="B1885" t="s">
        <v>75</v>
      </c>
      <c r="C1885" t="s">
        <v>5029</v>
      </c>
      <c r="D1885" t="s">
        <v>849</v>
      </c>
      <c r="E1885" t="s">
        <v>850</v>
      </c>
      <c r="F1885">
        <v>147</v>
      </c>
      <c r="G1885">
        <v>41510</v>
      </c>
      <c r="H1885">
        <v>41982</v>
      </c>
      <c r="I1885">
        <v>45658</v>
      </c>
      <c r="M1885" t="s">
        <v>136</v>
      </c>
      <c r="N1885" t="s">
        <v>448</v>
      </c>
      <c r="O1885" t="s">
        <v>5012</v>
      </c>
      <c r="Q1885" t="s">
        <v>49</v>
      </c>
      <c r="R1885">
        <v>11</v>
      </c>
      <c r="S1885">
        <v>0</v>
      </c>
      <c r="T1885">
        <v>0</v>
      </c>
      <c r="U1885" t="s">
        <v>5030</v>
      </c>
      <c r="V1885" t="s">
        <v>5031</v>
      </c>
      <c r="X1885">
        <v>34335</v>
      </c>
      <c r="Y1885" t="s">
        <v>103</v>
      </c>
      <c r="AF1885">
        <v>68</v>
      </c>
      <c r="AG1885">
        <v>166</v>
      </c>
      <c r="AH1885">
        <v>2</v>
      </c>
    </row>
    <row r="1886" spans="1:40" ht="18.75" customHeight="1" x14ac:dyDescent="0.3">
      <c r="A1886" s="1">
        <v>2018131808847</v>
      </c>
      <c r="B1886" t="s">
        <v>106</v>
      </c>
      <c r="C1886" t="s">
        <v>5032</v>
      </c>
      <c r="D1886" t="s">
        <v>3845</v>
      </c>
      <c r="E1886" t="s">
        <v>335</v>
      </c>
      <c r="F1886">
        <v>158</v>
      </c>
      <c r="G1886">
        <v>43279</v>
      </c>
      <c r="H1886">
        <v>44117</v>
      </c>
      <c r="I1886">
        <v>45587</v>
      </c>
      <c r="J1886">
        <v>45969</v>
      </c>
      <c r="L1886" t="s">
        <v>135</v>
      </c>
      <c r="M1886" t="s">
        <v>335</v>
      </c>
      <c r="N1886" t="s">
        <v>727</v>
      </c>
      <c r="O1886" t="s">
        <v>4585</v>
      </c>
      <c r="R1886">
        <v>1</v>
      </c>
      <c r="S1886">
        <v>0</v>
      </c>
      <c r="U1886" t="s">
        <v>5033</v>
      </c>
      <c r="V1886" t="s">
        <v>5034</v>
      </c>
      <c r="W1886">
        <v>30202230201117</v>
      </c>
      <c r="X1886">
        <v>37310</v>
      </c>
      <c r="Y1886" t="s">
        <v>51</v>
      </c>
      <c r="AE1886">
        <v>68</v>
      </c>
      <c r="AF1886">
        <v>175</v>
      </c>
      <c r="AG1886">
        <v>-7</v>
      </c>
      <c r="AN1886" t="s">
        <v>145</v>
      </c>
    </row>
    <row r="1887" spans="1:40" ht="18.75" customHeight="1" x14ac:dyDescent="0.3">
      <c r="A1887" s="1">
        <v>2023131100185</v>
      </c>
      <c r="B1887" t="s">
        <v>125</v>
      </c>
      <c r="C1887" t="s">
        <v>5035</v>
      </c>
      <c r="D1887" t="s">
        <v>849</v>
      </c>
      <c r="E1887" t="s">
        <v>850</v>
      </c>
      <c r="F1887">
        <v>162</v>
      </c>
      <c r="G1887">
        <v>44941</v>
      </c>
      <c r="H1887">
        <v>45976</v>
      </c>
      <c r="I1887">
        <v>45976</v>
      </c>
      <c r="M1887" t="s">
        <v>136</v>
      </c>
      <c r="N1887" t="s">
        <v>448</v>
      </c>
      <c r="O1887" t="s">
        <v>5012</v>
      </c>
      <c r="Q1887" t="s">
        <v>49</v>
      </c>
      <c r="R1887">
        <v>0</v>
      </c>
      <c r="S1887">
        <v>0</v>
      </c>
      <c r="T1887">
        <v>0</v>
      </c>
      <c r="U1887" t="s">
        <v>5036</v>
      </c>
      <c r="V1887" t="s">
        <v>5037</v>
      </c>
      <c r="X1887">
        <v>38402</v>
      </c>
      <c r="Y1887" t="s">
        <v>153</v>
      </c>
      <c r="AF1887">
        <v>77</v>
      </c>
      <c r="AG1887">
        <v>177</v>
      </c>
      <c r="AH1887">
        <v>0</v>
      </c>
    </row>
    <row r="1888" spans="1:40" ht="18.75" customHeight="1" x14ac:dyDescent="0.3">
      <c r="A1888" s="1">
        <v>2019131811161</v>
      </c>
      <c r="B1888" t="s">
        <v>125</v>
      </c>
      <c r="C1888" t="s">
        <v>5038</v>
      </c>
      <c r="D1888" t="s">
        <v>3845</v>
      </c>
      <c r="E1888" t="s">
        <v>335</v>
      </c>
      <c r="F1888">
        <v>159</v>
      </c>
      <c r="G1888">
        <v>43692</v>
      </c>
      <c r="H1888">
        <v>44482</v>
      </c>
      <c r="I1888">
        <v>45587</v>
      </c>
      <c r="J1888">
        <v>44482</v>
      </c>
      <c r="L1888" t="s">
        <v>135</v>
      </c>
      <c r="M1888" t="s">
        <v>335</v>
      </c>
      <c r="N1888" t="s">
        <v>727</v>
      </c>
      <c r="O1888" t="s">
        <v>4585</v>
      </c>
      <c r="R1888">
        <v>0</v>
      </c>
      <c r="S1888">
        <v>0</v>
      </c>
      <c r="U1888" t="s">
        <v>5039</v>
      </c>
      <c r="V1888" t="s">
        <v>5040</v>
      </c>
      <c r="W1888">
        <v>30211211201652</v>
      </c>
      <c r="X1888">
        <v>37268</v>
      </c>
      <c r="Y1888" t="s">
        <v>550</v>
      </c>
      <c r="AE1888">
        <v>72</v>
      </c>
      <c r="AF1888">
        <v>177</v>
      </c>
      <c r="AG1888">
        <v>-5</v>
      </c>
      <c r="AN1888" t="s">
        <v>145</v>
      </c>
    </row>
    <row r="1889" spans="1:36" ht="18.75" customHeight="1" x14ac:dyDescent="0.3">
      <c r="A1889" s="1">
        <v>2021134722708</v>
      </c>
      <c r="B1889" t="s">
        <v>125</v>
      </c>
      <c r="C1889" t="s">
        <v>5041</v>
      </c>
      <c r="D1889" t="s">
        <v>849</v>
      </c>
      <c r="E1889" t="s">
        <v>850</v>
      </c>
      <c r="F1889">
        <v>161</v>
      </c>
      <c r="G1889">
        <v>44546</v>
      </c>
      <c r="H1889">
        <v>45581</v>
      </c>
      <c r="I1889">
        <v>45581</v>
      </c>
      <c r="M1889" t="s">
        <v>136</v>
      </c>
      <c r="N1889" t="s">
        <v>47</v>
      </c>
      <c r="O1889" t="s">
        <v>499</v>
      </c>
      <c r="Q1889" t="s">
        <v>49</v>
      </c>
      <c r="R1889">
        <v>1</v>
      </c>
      <c r="S1889">
        <v>0</v>
      </c>
      <c r="T1889">
        <v>0</v>
      </c>
      <c r="U1889" t="s">
        <v>5042</v>
      </c>
      <c r="V1889" t="s">
        <v>5043</v>
      </c>
      <c r="X1889">
        <v>38176</v>
      </c>
      <c r="Y1889" t="s">
        <v>767</v>
      </c>
      <c r="AF1889">
        <v>67</v>
      </c>
      <c r="AG1889">
        <v>173</v>
      </c>
      <c r="AH1889">
        <v>-6</v>
      </c>
    </row>
    <row r="1890" spans="1:36" ht="18.75" customHeight="1" x14ac:dyDescent="0.3">
      <c r="A1890" s="1">
        <v>2021134723392</v>
      </c>
      <c r="B1890" t="s">
        <v>125</v>
      </c>
      <c r="C1890" t="s">
        <v>5044</v>
      </c>
      <c r="D1890" t="s">
        <v>849</v>
      </c>
      <c r="E1890" t="s">
        <v>850</v>
      </c>
      <c r="F1890">
        <v>161</v>
      </c>
      <c r="G1890">
        <v>44546</v>
      </c>
      <c r="H1890">
        <v>45581</v>
      </c>
      <c r="I1890">
        <v>45581</v>
      </c>
      <c r="M1890" t="s">
        <v>136</v>
      </c>
      <c r="N1890" t="s">
        <v>47</v>
      </c>
      <c r="O1890" t="s">
        <v>4832</v>
      </c>
      <c r="Q1890" t="s">
        <v>49</v>
      </c>
      <c r="R1890">
        <v>1</v>
      </c>
      <c r="S1890">
        <v>0</v>
      </c>
      <c r="T1890">
        <v>0</v>
      </c>
      <c r="U1890" t="s">
        <v>5045</v>
      </c>
      <c r="V1890" t="s">
        <v>5046</v>
      </c>
      <c r="X1890">
        <v>37836</v>
      </c>
      <c r="Y1890" t="s">
        <v>153</v>
      </c>
      <c r="AF1890">
        <v>55</v>
      </c>
      <c r="AG1890">
        <v>173</v>
      </c>
      <c r="AH1890">
        <v>-18</v>
      </c>
    </row>
    <row r="1891" spans="1:36" ht="18.75" customHeight="1" x14ac:dyDescent="0.3">
      <c r="A1891" s="1">
        <v>2018131812385</v>
      </c>
      <c r="B1891" t="s">
        <v>125</v>
      </c>
      <c r="C1891" t="s">
        <v>5047</v>
      </c>
      <c r="D1891" t="s">
        <v>4613</v>
      </c>
      <c r="E1891" t="s">
        <v>1874</v>
      </c>
      <c r="F1891">
        <v>158</v>
      </c>
      <c r="G1891">
        <v>43279</v>
      </c>
      <c r="H1891">
        <v>44117</v>
      </c>
      <c r="I1891">
        <v>46023</v>
      </c>
      <c r="M1891" t="s">
        <v>46</v>
      </c>
      <c r="N1891" t="s">
        <v>727</v>
      </c>
      <c r="O1891" t="s">
        <v>4585</v>
      </c>
      <c r="R1891">
        <v>0</v>
      </c>
      <c r="S1891">
        <v>0</v>
      </c>
      <c r="U1891" t="s">
        <v>5048</v>
      </c>
      <c r="V1891" t="s">
        <v>5049</v>
      </c>
      <c r="X1891">
        <v>35857</v>
      </c>
      <c r="Y1891" t="s">
        <v>153</v>
      </c>
      <c r="AF1891">
        <v>82</v>
      </c>
      <c r="AG1891">
        <v>180</v>
      </c>
      <c r="AH1891">
        <f>IF([2]!Table1[[#This Row],[الوزن]]&lt;&gt;"",[2]!Table1[[#This Row],[الوزن]]-([2]!Table1[[#This Row],[الطول]]-100),"")</f>
        <v>9</v>
      </c>
    </row>
    <row r="1892" spans="1:36" ht="18.75" customHeight="1" x14ac:dyDescent="0.3">
      <c r="A1892" s="1">
        <v>2023138309087</v>
      </c>
      <c r="B1892" t="s">
        <v>125</v>
      </c>
      <c r="C1892" t="s">
        <v>5050</v>
      </c>
      <c r="D1892" t="s">
        <v>849</v>
      </c>
      <c r="E1892" t="s">
        <v>850</v>
      </c>
      <c r="F1892">
        <v>162</v>
      </c>
      <c r="G1892">
        <v>44941</v>
      </c>
      <c r="H1892">
        <v>45976</v>
      </c>
      <c r="I1892">
        <v>45976</v>
      </c>
      <c r="M1892" t="s">
        <v>136</v>
      </c>
      <c r="N1892" t="s">
        <v>127</v>
      </c>
      <c r="O1892" t="s">
        <v>719</v>
      </c>
      <c r="Q1892" t="s">
        <v>49</v>
      </c>
      <c r="R1892">
        <v>0</v>
      </c>
      <c r="S1892">
        <v>0</v>
      </c>
      <c r="T1892">
        <v>0</v>
      </c>
      <c r="U1892" t="s">
        <v>5051</v>
      </c>
      <c r="V1892" t="s">
        <v>5052</v>
      </c>
      <c r="X1892">
        <v>36781</v>
      </c>
      <c r="Y1892" t="s">
        <v>153</v>
      </c>
      <c r="AF1892">
        <v>80</v>
      </c>
      <c r="AG1892">
        <v>171</v>
      </c>
      <c r="AH1892">
        <v>9</v>
      </c>
    </row>
    <row r="1893" spans="1:36" ht="18.75" customHeight="1" x14ac:dyDescent="0.3">
      <c r="A1893" s="1">
        <v>2013131100920</v>
      </c>
      <c r="B1893" t="s">
        <v>75</v>
      </c>
      <c r="C1893" t="s">
        <v>5053</v>
      </c>
      <c r="D1893" t="s">
        <v>717</v>
      </c>
      <c r="E1893" t="s">
        <v>718</v>
      </c>
      <c r="F1893">
        <v>150</v>
      </c>
      <c r="G1893">
        <v>41510</v>
      </c>
      <c r="H1893">
        <v>41982</v>
      </c>
      <c r="I1893">
        <v>45658</v>
      </c>
      <c r="J1893">
        <v>45978</v>
      </c>
      <c r="L1893" t="s">
        <v>135</v>
      </c>
      <c r="M1893" t="s">
        <v>136</v>
      </c>
      <c r="N1893" t="s">
        <v>448</v>
      </c>
      <c r="O1893" t="s">
        <v>5012</v>
      </c>
      <c r="P1893" t="s">
        <v>49</v>
      </c>
      <c r="R1893">
        <v>8</v>
      </c>
      <c r="S1893">
        <v>0</v>
      </c>
      <c r="T1893">
        <v>0</v>
      </c>
      <c r="U1893" t="s">
        <v>5054</v>
      </c>
      <c r="V1893" t="s">
        <v>5055</v>
      </c>
      <c r="W1893">
        <v>29508011313933</v>
      </c>
      <c r="AC1893" t="s">
        <v>5056</v>
      </c>
      <c r="AF1893">
        <v>64</v>
      </c>
      <c r="AG1893">
        <v>169</v>
      </c>
      <c r="AH1893">
        <v>-5</v>
      </c>
      <c r="AJ1893" t="s">
        <v>5057</v>
      </c>
    </row>
    <row r="1894" spans="1:36" ht="18.75" customHeight="1" x14ac:dyDescent="0.3">
      <c r="A1894" s="1">
        <v>2021131801357</v>
      </c>
      <c r="B1894" t="s">
        <v>125</v>
      </c>
      <c r="C1894" t="s">
        <v>5058</v>
      </c>
      <c r="D1894" t="s">
        <v>4539</v>
      </c>
      <c r="E1894" t="s">
        <v>1874</v>
      </c>
      <c r="F1894">
        <v>160</v>
      </c>
      <c r="G1894">
        <v>44205</v>
      </c>
      <c r="H1894">
        <v>45197</v>
      </c>
      <c r="I1894">
        <v>45197</v>
      </c>
      <c r="J1894">
        <v>46082</v>
      </c>
      <c r="K1894">
        <v>46082</v>
      </c>
      <c r="L1894" t="s">
        <v>135</v>
      </c>
      <c r="M1894" t="s">
        <v>46</v>
      </c>
      <c r="N1894" t="s">
        <v>727</v>
      </c>
      <c r="O1894" t="s">
        <v>4585</v>
      </c>
      <c r="P1894" t="s">
        <v>49</v>
      </c>
      <c r="Q1894">
        <v>0</v>
      </c>
      <c r="R1894">
        <v>5</v>
      </c>
      <c r="S1894">
        <v>15</v>
      </c>
      <c r="T1894">
        <v>0</v>
      </c>
      <c r="U1894">
        <v>1060102478</v>
      </c>
      <c r="W1894" t="s">
        <v>5059</v>
      </c>
      <c r="X1894">
        <v>37312</v>
      </c>
      <c r="Y1894" t="s">
        <v>153</v>
      </c>
      <c r="AC1894" t="s">
        <v>5060</v>
      </c>
      <c r="AD1894" t="s">
        <v>2265</v>
      </c>
      <c r="AE1894" t="s">
        <v>1412</v>
      </c>
      <c r="AF1894">
        <v>75</v>
      </c>
      <c r="AG1894">
        <v>175</v>
      </c>
      <c r="AH1894" t="str">
        <f>IF([2]!Table1[[#This Row],[الوزن]]&lt;&gt;"",[2]!Table1[[#This Row],[الوزن]]-([2]!Table1[[#This Row],[الطول]]-100),"")</f>
        <v/>
      </c>
      <c r="AJ1894" t="s">
        <v>5061</v>
      </c>
    </row>
    <row r="1895" spans="1:36" ht="18.75" customHeight="1" x14ac:dyDescent="0.3">
      <c r="A1895" s="1">
        <v>2005135101038</v>
      </c>
      <c r="B1895" t="s">
        <v>57</v>
      </c>
      <c r="C1895" t="s">
        <v>5062</v>
      </c>
      <c r="D1895" t="s">
        <v>5063</v>
      </c>
      <c r="E1895" t="s">
        <v>850</v>
      </c>
      <c r="AH1895" t="s">
        <v>787</v>
      </c>
    </row>
    <row r="1896" spans="1:36" ht="18.75" customHeight="1" x14ac:dyDescent="0.3">
      <c r="A1896" s="1">
        <v>1991131819006</v>
      </c>
      <c r="B1896" t="s">
        <v>210</v>
      </c>
      <c r="C1896" t="s">
        <v>5064</v>
      </c>
      <c r="D1896" t="s">
        <v>1903</v>
      </c>
      <c r="E1896" t="s">
        <v>850</v>
      </c>
      <c r="G1896">
        <v>33885</v>
      </c>
      <c r="H1896">
        <v>35431</v>
      </c>
      <c r="I1896">
        <v>44562</v>
      </c>
      <c r="L1896" t="s">
        <v>45</v>
      </c>
      <c r="M1896" t="s">
        <v>46</v>
      </c>
      <c r="N1896" t="s">
        <v>307</v>
      </c>
      <c r="O1896" t="s">
        <v>743</v>
      </c>
      <c r="P1896" t="s">
        <v>49</v>
      </c>
      <c r="R1896">
        <v>34</v>
      </c>
      <c r="S1896">
        <v>72</v>
      </c>
      <c r="T1896">
        <v>3</v>
      </c>
      <c r="U1896" t="s">
        <v>5065</v>
      </c>
      <c r="W1896">
        <v>27011111701397</v>
      </c>
      <c r="X1896">
        <v>25883</v>
      </c>
      <c r="Y1896" t="s">
        <v>338</v>
      </c>
      <c r="AF1896">
        <v>75</v>
      </c>
      <c r="AG1896">
        <v>170</v>
      </c>
      <c r="AH1896">
        <v>5</v>
      </c>
    </row>
    <row r="1897" spans="1:36" ht="18.75" customHeight="1" x14ac:dyDescent="0.3">
      <c r="A1897" s="1">
        <v>2000138303467</v>
      </c>
      <c r="B1897" t="s">
        <v>210</v>
      </c>
      <c r="C1897" t="s">
        <v>5066</v>
      </c>
      <c r="D1897" t="s">
        <v>1903</v>
      </c>
      <c r="E1897" t="s">
        <v>850</v>
      </c>
      <c r="F1897">
        <v>124</v>
      </c>
      <c r="G1897">
        <v>36757</v>
      </c>
      <c r="H1897">
        <v>37205</v>
      </c>
      <c r="I1897">
        <v>44562</v>
      </c>
      <c r="L1897" t="s">
        <v>45</v>
      </c>
      <c r="M1897" t="s">
        <v>812</v>
      </c>
      <c r="N1897" t="s">
        <v>127</v>
      </c>
      <c r="O1897" t="s">
        <v>1114</v>
      </c>
      <c r="P1897" t="s">
        <v>49</v>
      </c>
      <c r="R1897">
        <v>11</v>
      </c>
      <c r="S1897">
        <v>1</v>
      </c>
      <c r="U1897" t="s">
        <v>5067</v>
      </c>
      <c r="W1897">
        <v>28112051702636</v>
      </c>
      <c r="X1897">
        <v>29925</v>
      </c>
      <c r="Y1897" t="s">
        <v>338</v>
      </c>
      <c r="AF1897">
        <v>75</v>
      </c>
      <c r="AG1897">
        <v>176</v>
      </c>
      <c r="AH1897">
        <v>-1</v>
      </c>
      <c r="AI1897" t="s">
        <v>5068</v>
      </c>
    </row>
    <row r="1898" spans="1:36" ht="18.75" customHeight="1" x14ac:dyDescent="0.3">
      <c r="A1898" s="1">
        <v>2001130400467</v>
      </c>
      <c r="B1898" t="s">
        <v>210</v>
      </c>
      <c r="C1898" t="s">
        <v>5069</v>
      </c>
      <c r="D1898" t="s">
        <v>1903</v>
      </c>
      <c r="E1898" t="s">
        <v>850</v>
      </c>
      <c r="F1898">
        <v>101</v>
      </c>
      <c r="G1898">
        <v>37276</v>
      </c>
      <c r="H1898">
        <v>37351</v>
      </c>
      <c r="I1898">
        <v>44743</v>
      </c>
      <c r="L1898" t="s">
        <v>45</v>
      </c>
      <c r="M1898" t="s">
        <v>812</v>
      </c>
      <c r="N1898" t="s">
        <v>127</v>
      </c>
      <c r="O1898" t="s">
        <v>1469</v>
      </c>
      <c r="Q1898" t="s">
        <v>49</v>
      </c>
      <c r="R1898">
        <v>1</v>
      </c>
      <c r="U1898" t="s">
        <v>5070</v>
      </c>
      <c r="W1898">
        <v>28201011619534</v>
      </c>
      <c r="X1898">
        <v>29952</v>
      </c>
      <c r="Y1898" t="s">
        <v>338</v>
      </c>
      <c r="AF1898">
        <v>78</v>
      </c>
      <c r="AG1898">
        <v>175</v>
      </c>
      <c r="AH1898">
        <v>3</v>
      </c>
    </row>
    <row r="1899" spans="1:36" ht="18.75" customHeight="1" x14ac:dyDescent="0.3">
      <c r="A1899" s="1">
        <v>2006138300966</v>
      </c>
      <c r="B1899" t="s">
        <v>57</v>
      </c>
      <c r="C1899" t="s">
        <v>5071</v>
      </c>
      <c r="D1899" t="s">
        <v>1903</v>
      </c>
      <c r="E1899" t="s">
        <v>850</v>
      </c>
      <c r="F1899">
        <v>135</v>
      </c>
      <c r="G1899">
        <v>38738</v>
      </c>
      <c r="H1899">
        <v>39208</v>
      </c>
      <c r="I1899">
        <v>44743</v>
      </c>
      <c r="L1899" t="s">
        <v>45</v>
      </c>
      <c r="M1899" t="s">
        <v>812</v>
      </c>
      <c r="N1899" t="s">
        <v>127</v>
      </c>
      <c r="O1899" t="s">
        <v>5072</v>
      </c>
      <c r="P1899" t="s">
        <v>49</v>
      </c>
      <c r="U1899" t="s">
        <v>5073</v>
      </c>
      <c r="W1899">
        <v>28708121601531</v>
      </c>
      <c r="X1899">
        <v>32001</v>
      </c>
      <c r="Y1899" t="s">
        <v>338</v>
      </c>
      <c r="AF1899">
        <v>86</v>
      </c>
      <c r="AG1899">
        <v>180</v>
      </c>
      <c r="AH1899">
        <v>6</v>
      </c>
      <c r="AI1899" t="s">
        <v>5074</v>
      </c>
    </row>
    <row r="1900" spans="1:36" ht="18.75" customHeight="1" x14ac:dyDescent="0.3">
      <c r="A1900" s="1">
        <v>2010135200508</v>
      </c>
      <c r="B1900" t="s">
        <v>75</v>
      </c>
      <c r="C1900" t="s">
        <v>5075</v>
      </c>
      <c r="D1900" t="s">
        <v>1903</v>
      </c>
      <c r="E1900" t="s">
        <v>850</v>
      </c>
      <c r="F1900">
        <v>144</v>
      </c>
      <c r="G1900">
        <v>40376</v>
      </c>
      <c r="H1900">
        <v>40849</v>
      </c>
      <c r="I1900">
        <v>44562</v>
      </c>
      <c r="L1900" t="s">
        <v>45</v>
      </c>
      <c r="M1900" t="s">
        <v>812</v>
      </c>
      <c r="N1900" t="s">
        <v>127</v>
      </c>
      <c r="O1900" t="s">
        <v>5076</v>
      </c>
      <c r="R1900">
        <v>5</v>
      </c>
      <c r="U1900" t="s">
        <v>5077</v>
      </c>
      <c r="W1900">
        <v>29306108101391</v>
      </c>
      <c r="X1900">
        <v>34130</v>
      </c>
      <c r="Y1900" t="s">
        <v>338</v>
      </c>
      <c r="AF1900">
        <v>71</v>
      </c>
      <c r="AG1900">
        <v>174</v>
      </c>
      <c r="AH1900">
        <v>-3</v>
      </c>
    </row>
    <row r="1901" spans="1:36" ht="18.75" customHeight="1" x14ac:dyDescent="0.3">
      <c r="A1901" s="1">
        <v>2010135200764</v>
      </c>
      <c r="B1901" t="s">
        <v>75</v>
      </c>
      <c r="C1901" t="s">
        <v>5078</v>
      </c>
      <c r="D1901" t="s">
        <v>1903</v>
      </c>
      <c r="E1901" t="s">
        <v>850</v>
      </c>
      <c r="F1901">
        <v>144</v>
      </c>
      <c r="G1901">
        <v>40376</v>
      </c>
      <c r="H1901">
        <v>40849</v>
      </c>
      <c r="I1901">
        <v>44562</v>
      </c>
      <c r="L1901" t="s">
        <v>45</v>
      </c>
      <c r="M1901" t="s">
        <v>812</v>
      </c>
      <c r="N1901" t="s">
        <v>127</v>
      </c>
      <c r="O1901" t="s">
        <v>5079</v>
      </c>
      <c r="P1901" t="s">
        <v>49</v>
      </c>
      <c r="R1901">
        <v>20</v>
      </c>
      <c r="S1901">
        <v>1</v>
      </c>
      <c r="U1901" t="s">
        <v>5080</v>
      </c>
      <c r="W1901">
        <v>29407131601354</v>
      </c>
      <c r="X1901">
        <v>34528</v>
      </c>
      <c r="Y1901" t="s">
        <v>338</v>
      </c>
      <c r="AF1901">
        <v>60</v>
      </c>
      <c r="AG1901">
        <v>169</v>
      </c>
      <c r="AH1901">
        <v>-9</v>
      </c>
    </row>
    <row r="1902" spans="1:36" ht="18.75" customHeight="1" x14ac:dyDescent="0.3">
      <c r="A1902" s="1">
        <v>2013130401527</v>
      </c>
      <c r="B1902" t="s">
        <v>75</v>
      </c>
      <c r="C1902" t="s">
        <v>5081</v>
      </c>
      <c r="D1902" t="s">
        <v>1903</v>
      </c>
      <c r="E1902" t="s">
        <v>850</v>
      </c>
      <c r="F1902">
        <v>150</v>
      </c>
      <c r="G1902">
        <v>41510</v>
      </c>
      <c r="H1902">
        <v>41983</v>
      </c>
      <c r="I1902">
        <v>45658</v>
      </c>
      <c r="L1902" t="s">
        <v>45</v>
      </c>
      <c r="M1902" t="s">
        <v>812</v>
      </c>
      <c r="N1902" t="s">
        <v>127</v>
      </c>
      <c r="O1902" t="s">
        <v>1469</v>
      </c>
      <c r="R1902">
        <v>9</v>
      </c>
      <c r="U1902" t="s">
        <v>5082</v>
      </c>
      <c r="W1902">
        <v>29708231300971</v>
      </c>
      <c r="X1902">
        <v>35665</v>
      </c>
      <c r="Y1902" t="s">
        <v>338</v>
      </c>
      <c r="AF1902">
        <v>72</v>
      </c>
      <c r="AG1902">
        <v>170</v>
      </c>
      <c r="AH1902">
        <v>2</v>
      </c>
    </row>
    <row r="1903" spans="1:36" ht="18.75" customHeight="1" x14ac:dyDescent="0.3">
      <c r="A1903" s="1">
        <v>2013138315639</v>
      </c>
      <c r="B1903" t="s">
        <v>75</v>
      </c>
      <c r="C1903" t="s">
        <v>5083</v>
      </c>
      <c r="D1903" t="s">
        <v>1903</v>
      </c>
      <c r="E1903" t="s">
        <v>850</v>
      </c>
      <c r="F1903">
        <v>150</v>
      </c>
      <c r="G1903">
        <v>41510</v>
      </c>
      <c r="H1903">
        <v>41982</v>
      </c>
      <c r="I1903">
        <v>45658</v>
      </c>
      <c r="L1903" t="s">
        <v>45</v>
      </c>
      <c r="M1903" t="s">
        <v>812</v>
      </c>
      <c r="N1903" t="s">
        <v>127</v>
      </c>
      <c r="O1903" t="s">
        <v>1756</v>
      </c>
      <c r="R1903">
        <v>3</v>
      </c>
      <c r="U1903" t="s">
        <v>5084</v>
      </c>
      <c r="W1903">
        <v>2013138315639</v>
      </c>
      <c r="X1903">
        <v>34700</v>
      </c>
      <c r="Y1903" t="s">
        <v>1383</v>
      </c>
      <c r="AF1903">
        <v>60</v>
      </c>
      <c r="AG1903">
        <v>169</v>
      </c>
      <c r="AH1903">
        <v>-9</v>
      </c>
      <c r="AI1903" t="s">
        <v>5085</v>
      </c>
    </row>
    <row r="1904" spans="1:36" ht="18.75" customHeight="1" x14ac:dyDescent="0.3">
      <c r="A1904" s="1">
        <v>2016138303117</v>
      </c>
      <c r="B1904" t="s">
        <v>106</v>
      </c>
      <c r="C1904" t="s">
        <v>5086</v>
      </c>
      <c r="D1904" t="s">
        <v>1903</v>
      </c>
      <c r="E1904" t="s">
        <v>850</v>
      </c>
      <c r="F1904">
        <v>156</v>
      </c>
      <c r="G1904">
        <v>42575</v>
      </c>
      <c r="H1904">
        <v>43321</v>
      </c>
      <c r="I1904">
        <v>45297</v>
      </c>
      <c r="L1904" t="s">
        <v>45</v>
      </c>
      <c r="M1904" t="s">
        <v>812</v>
      </c>
      <c r="N1904" t="s">
        <v>127</v>
      </c>
      <c r="O1904" t="s">
        <v>5087</v>
      </c>
      <c r="R1904">
        <v>2</v>
      </c>
      <c r="U1904" t="s">
        <v>5088</v>
      </c>
      <c r="W1904">
        <v>29706201701596</v>
      </c>
      <c r="X1904">
        <v>35601</v>
      </c>
      <c r="Y1904" t="s">
        <v>1392</v>
      </c>
      <c r="AF1904">
        <v>82</v>
      </c>
      <c r="AG1904">
        <v>183</v>
      </c>
      <c r="AH1904">
        <v>-1</v>
      </c>
    </row>
    <row r="1905" spans="1:40" ht="18.75" customHeight="1" x14ac:dyDescent="0.3">
      <c r="A1905" s="1">
        <v>2018131811006</v>
      </c>
      <c r="B1905" t="s">
        <v>106</v>
      </c>
      <c r="C1905" t="s">
        <v>5089</v>
      </c>
      <c r="D1905" t="s">
        <v>4816</v>
      </c>
      <c r="E1905" t="s">
        <v>1874</v>
      </c>
      <c r="F1905">
        <v>158</v>
      </c>
      <c r="G1905">
        <v>43279</v>
      </c>
      <c r="H1905">
        <v>44117</v>
      </c>
      <c r="I1905">
        <v>46023</v>
      </c>
      <c r="L1905" t="s">
        <v>88</v>
      </c>
      <c r="M1905" t="s">
        <v>46</v>
      </c>
      <c r="N1905" t="s">
        <v>727</v>
      </c>
      <c r="O1905" t="s">
        <v>4585</v>
      </c>
      <c r="Q1905" t="s">
        <v>49</v>
      </c>
      <c r="R1905">
        <v>1</v>
      </c>
      <c r="S1905">
        <v>0</v>
      </c>
      <c r="T1905">
        <v>0</v>
      </c>
      <c r="U1905">
        <v>1004935579</v>
      </c>
      <c r="V1905" t="s">
        <v>5090</v>
      </c>
      <c r="W1905">
        <v>30209291702555</v>
      </c>
      <c r="X1905">
        <v>37528</v>
      </c>
      <c r="Y1905" t="s">
        <v>550</v>
      </c>
      <c r="AA1905">
        <v>0</v>
      </c>
      <c r="AF1905">
        <v>72</v>
      </c>
      <c r="AG1905">
        <v>185</v>
      </c>
      <c r="AH1905">
        <v>-13</v>
      </c>
    </row>
    <row r="1906" spans="1:40" ht="18.75" customHeight="1" x14ac:dyDescent="0.3">
      <c r="A1906" s="1">
        <v>2017138313776</v>
      </c>
      <c r="B1906" t="s">
        <v>106</v>
      </c>
      <c r="C1906" t="s">
        <v>5091</v>
      </c>
      <c r="D1906" t="s">
        <v>1903</v>
      </c>
      <c r="E1906" t="s">
        <v>850</v>
      </c>
      <c r="F1906">
        <v>157</v>
      </c>
      <c r="G1906">
        <v>42915</v>
      </c>
      <c r="H1906">
        <v>43663</v>
      </c>
      <c r="I1906">
        <v>45658</v>
      </c>
      <c r="L1906" t="s">
        <v>45</v>
      </c>
      <c r="M1906" t="s">
        <v>812</v>
      </c>
      <c r="N1906" t="s">
        <v>127</v>
      </c>
      <c r="O1906" t="s">
        <v>5076</v>
      </c>
      <c r="Q1906" t="s">
        <v>49</v>
      </c>
      <c r="R1906">
        <v>2</v>
      </c>
      <c r="U1906" t="s">
        <v>5092</v>
      </c>
      <c r="W1906">
        <v>30101151806037</v>
      </c>
      <c r="X1906">
        <v>44211</v>
      </c>
      <c r="Y1906" t="s">
        <v>550</v>
      </c>
      <c r="AF1906">
        <v>74</v>
      </c>
      <c r="AG1906">
        <v>172</v>
      </c>
      <c r="AH1906">
        <v>2</v>
      </c>
      <c r="AI1906" t="s">
        <v>5093</v>
      </c>
    </row>
    <row r="1907" spans="1:40" ht="18.75" customHeight="1" x14ac:dyDescent="0.3">
      <c r="A1907" s="1">
        <v>2018138313683</v>
      </c>
      <c r="B1907" t="s">
        <v>106</v>
      </c>
      <c r="C1907" t="s">
        <v>5094</v>
      </c>
      <c r="D1907" t="s">
        <v>1903</v>
      </c>
      <c r="E1907" t="s">
        <v>850</v>
      </c>
      <c r="F1907">
        <v>158</v>
      </c>
      <c r="G1907">
        <v>43279</v>
      </c>
      <c r="H1907">
        <v>44117</v>
      </c>
      <c r="I1907">
        <v>45658</v>
      </c>
      <c r="L1907" t="s">
        <v>45</v>
      </c>
      <c r="M1907" t="s">
        <v>812</v>
      </c>
      <c r="N1907" t="s">
        <v>127</v>
      </c>
      <c r="O1907" t="s">
        <v>5095</v>
      </c>
      <c r="R1907">
        <v>4</v>
      </c>
      <c r="S1907">
        <v>1</v>
      </c>
      <c r="U1907" t="s">
        <v>5096</v>
      </c>
      <c r="W1907">
        <v>30105011814159</v>
      </c>
      <c r="X1907">
        <v>37012</v>
      </c>
      <c r="Y1907" t="s">
        <v>550</v>
      </c>
      <c r="AF1907">
        <v>69</v>
      </c>
      <c r="AG1907">
        <v>173</v>
      </c>
      <c r="AH1907">
        <v>-4</v>
      </c>
      <c r="AL1907" t="s">
        <v>5097</v>
      </c>
    </row>
    <row r="1908" spans="1:40" ht="18.75" customHeight="1" x14ac:dyDescent="0.3">
      <c r="A1908" s="1">
        <v>2019138307387</v>
      </c>
      <c r="B1908" t="s">
        <v>125</v>
      </c>
      <c r="C1908" t="s">
        <v>5098</v>
      </c>
      <c r="D1908" t="s">
        <v>1903</v>
      </c>
      <c r="E1908" t="s">
        <v>850</v>
      </c>
      <c r="F1908">
        <v>159</v>
      </c>
      <c r="G1908">
        <v>43692</v>
      </c>
      <c r="H1908">
        <v>44482</v>
      </c>
      <c r="I1908">
        <v>44482</v>
      </c>
      <c r="L1908" t="s">
        <v>45</v>
      </c>
      <c r="M1908" t="s">
        <v>812</v>
      </c>
      <c r="N1908" t="s">
        <v>127</v>
      </c>
      <c r="O1908" t="s">
        <v>1756</v>
      </c>
      <c r="P1908" t="s">
        <v>49</v>
      </c>
      <c r="R1908">
        <v>2</v>
      </c>
      <c r="U1908" t="s">
        <v>5099</v>
      </c>
      <c r="W1908">
        <v>2990901311418</v>
      </c>
      <c r="X1908">
        <v>36412</v>
      </c>
      <c r="Y1908" t="s">
        <v>1392</v>
      </c>
      <c r="AF1908">
        <v>75</v>
      </c>
      <c r="AG1908">
        <v>185</v>
      </c>
      <c r="AH1908">
        <v>-10</v>
      </c>
    </row>
    <row r="1909" spans="1:40" ht="18.75" customHeight="1" x14ac:dyDescent="0.3">
      <c r="A1909" s="1">
        <v>2019138309440</v>
      </c>
      <c r="B1909" t="s">
        <v>125</v>
      </c>
      <c r="C1909" t="s">
        <v>5100</v>
      </c>
      <c r="D1909" t="s">
        <v>1903</v>
      </c>
      <c r="E1909" t="s">
        <v>850</v>
      </c>
      <c r="F1909">
        <v>159</v>
      </c>
      <c r="G1909">
        <v>43692</v>
      </c>
      <c r="H1909">
        <v>44482</v>
      </c>
      <c r="I1909">
        <v>44497</v>
      </c>
      <c r="L1909" t="s">
        <v>45</v>
      </c>
      <c r="M1909" t="s">
        <v>812</v>
      </c>
      <c r="N1909" t="s">
        <v>127</v>
      </c>
      <c r="O1909" t="s">
        <v>1756</v>
      </c>
      <c r="R1909">
        <v>2</v>
      </c>
      <c r="U1909" t="s">
        <v>5101</v>
      </c>
      <c r="W1909">
        <v>30301091301096</v>
      </c>
      <c r="X1909">
        <v>37630</v>
      </c>
      <c r="Y1909" t="s">
        <v>550</v>
      </c>
      <c r="AF1909">
        <v>75</v>
      </c>
      <c r="AG1909">
        <v>173</v>
      </c>
      <c r="AH1909">
        <v>2</v>
      </c>
    </row>
    <row r="1910" spans="1:40" ht="18.75" customHeight="1" x14ac:dyDescent="0.3">
      <c r="A1910" s="1">
        <v>2019138310380</v>
      </c>
      <c r="B1910" t="s">
        <v>125</v>
      </c>
      <c r="C1910" t="s">
        <v>5102</v>
      </c>
      <c r="D1910" t="s">
        <v>1903</v>
      </c>
      <c r="E1910" t="s">
        <v>850</v>
      </c>
      <c r="F1910">
        <v>159</v>
      </c>
      <c r="G1910">
        <v>43692</v>
      </c>
      <c r="H1910">
        <v>44482</v>
      </c>
      <c r="I1910">
        <v>44497</v>
      </c>
      <c r="L1910" t="s">
        <v>45</v>
      </c>
      <c r="M1910" t="s">
        <v>812</v>
      </c>
      <c r="N1910" t="s">
        <v>127</v>
      </c>
      <c r="O1910" t="s">
        <v>5087</v>
      </c>
      <c r="R1910">
        <v>4</v>
      </c>
      <c r="U1910" t="s">
        <v>5103</v>
      </c>
      <c r="W1910">
        <v>30002151302413</v>
      </c>
      <c r="X1910">
        <v>36571</v>
      </c>
      <c r="Y1910" t="s">
        <v>406</v>
      </c>
      <c r="AF1910">
        <v>71</v>
      </c>
      <c r="AG1910">
        <v>176</v>
      </c>
      <c r="AH1910">
        <v>-5</v>
      </c>
    </row>
    <row r="1911" spans="1:40" ht="18.75" customHeight="1" x14ac:dyDescent="0.3">
      <c r="A1911" s="1">
        <v>2019138311510</v>
      </c>
      <c r="B1911" t="s">
        <v>125</v>
      </c>
      <c r="C1911" t="s">
        <v>5104</v>
      </c>
      <c r="D1911" t="s">
        <v>1903</v>
      </c>
      <c r="E1911" t="s">
        <v>850</v>
      </c>
      <c r="F1911">
        <v>159</v>
      </c>
      <c r="G1911">
        <v>43692</v>
      </c>
      <c r="H1911">
        <v>44482</v>
      </c>
      <c r="I1911">
        <v>44438</v>
      </c>
      <c r="M1911" t="s">
        <v>812</v>
      </c>
      <c r="N1911" t="s">
        <v>127</v>
      </c>
      <c r="O1911" t="s">
        <v>5105</v>
      </c>
      <c r="R1911">
        <v>1</v>
      </c>
      <c r="S1911">
        <v>0</v>
      </c>
      <c r="T1911">
        <v>0</v>
      </c>
      <c r="U1911" t="s">
        <v>5106</v>
      </c>
      <c r="X1911">
        <v>36223</v>
      </c>
      <c r="Y1911" t="s">
        <v>550</v>
      </c>
      <c r="Z1911">
        <v>0</v>
      </c>
      <c r="AA1911">
        <v>0</v>
      </c>
      <c r="AB1911">
        <v>0</v>
      </c>
      <c r="AD1911" t="s">
        <v>3985</v>
      </c>
      <c r="AE1911" t="s">
        <v>167</v>
      </c>
      <c r="AF1911">
        <v>81</v>
      </c>
      <c r="AG1911">
        <v>180</v>
      </c>
      <c r="AH1911">
        <v>1</v>
      </c>
      <c r="AL1911" t="s">
        <v>5107</v>
      </c>
      <c r="AN1911" t="s">
        <v>145</v>
      </c>
    </row>
    <row r="1912" spans="1:40" ht="18.75" customHeight="1" x14ac:dyDescent="0.3">
      <c r="A1912" s="1">
        <v>2019138316429</v>
      </c>
      <c r="B1912" t="s">
        <v>125</v>
      </c>
      <c r="C1912" t="s">
        <v>5108</v>
      </c>
      <c r="D1912" t="s">
        <v>1903</v>
      </c>
      <c r="E1912" t="s">
        <v>850</v>
      </c>
      <c r="F1912">
        <v>159</v>
      </c>
      <c r="G1912">
        <v>43692</v>
      </c>
      <c r="H1912">
        <v>44482</v>
      </c>
      <c r="I1912">
        <v>44438</v>
      </c>
      <c r="L1912" t="s">
        <v>45</v>
      </c>
      <c r="M1912" t="s">
        <v>812</v>
      </c>
      <c r="N1912" t="s">
        <v>127</v>
      </c>
      <c r="O1912" t="s">
        <v>5109</v>
      </c>
      <c r="R1912">
        <v>1</v>
      </c>
      <c r="S1912">
        <v>1</v>
      </c>
      <c r="U1912" t="s">
        <v>5110</v>
      </c>
      <c r="W1912">
        <v>29907011503777</v>
      </c>
      <c r="X1912">
        <v>36342</v>
      </c>
      <c r="Y1912" t="s">
        <v>550</v>
      </c>
      <c r="AF1912">
        <v>73</v>
      </c>
      <c r="AG1912">
        <v>183</v>
      </c>
      <c r="AH1912">
        <v>-10</v>
      </c>
    </row>
    <row r="1913" spans="1:40" ht="18.75" customHeight="1" x14ac:dyDescent="0.3">
      <c r="A1913" s="1">
        <v>2019138316445</v>
      </c>
      <c r="B1913" t="s">
        <v>125</v>
      </c>
      <c r="C1913" t="s">
        <v>5111</v>
      </c>
      <c r="D1913" t="s">
        <v>1903</v>
      </c>
      <c r="E1913" t="s">
        <v>850</v>
      </c>
      <c r="F1913">
        <v>159</v>
      </c>
      <c r="G1913">
        <v>43692</v>
      </c>
      <c r="H1913">
        <v>44482</v>
      </c>
      <c r="I1913">
        <v>44438</v>
      </c>
      <c r="L1913" t="s">
        <v>45</v>
      </c>
      <c r="M1913" t="s">
        <v>812</v>
      </c>
      <c r="N1913" t="s">
        <v>127</v>
      </c>
      <c r="O1913" t="s">
        <v>1817</v>
      </c>
      <c r="R1913">
        <v>1</v>
      </c>
      <c r="U1913" t="s">
        <v>5112</v>
      </c>
      <c r="W1913">
        <v>29909011214417</v>
      </c>
      <c r="X1913">
        <v>36404</v>
      </c>
      <c r="Y1913" t="s">
        <v>550</v>
      </c>
      <c r="AF1913">
        <v>78</v>
      </c>
      <c r="AG1913">
        <v>183</v>
      </c>
      <c r="AH1913">
        <v>-5</v>
      </c>
    </row>
    <row r="1914" spans="1:40" ht="18.75" customHeight="1" x14ac:dyDescent="0.3">
      <c r="A1914" s="1">
        <v>2019138317550</v>
      </c>
      <c r="B1914" t="s">
        <v>125</v>
      </c>
      <c r="C1914" t="s">
        <v>5113</v>
      </c>
      <c r="D1914" t="s">
        <v>1903</v>
      </c>
      <c r="E1914" t="s">
        <v>850</v>
      </c>
      <c r="F1914">
        <v>159</v>
      </c>
      <c r="G1914">
        <v>43692</v>
      </c>
      <c r="H1914">
        <v>44573</v>
      </c>
      <c r="I1914">
        <v>44438</v>
      </c>
      <c r="L1914" t="s">
        <v>45</v>
      </c>
      <c r="M1914" t="s">
        <v>812</v>
      </c>
      <c r="N1914" t="s">
        <v>127</v>
      </c>
      <c r="O1914" t="s">
        <v>1756</v>
      </c>
      <c r="R1914">
        <v>2</v>
      </c>
      <c r="U1914" t="s">
        <v>5114</v>
      </c>
      <c r="W1914">
        <v>30008181900313</v>
      </c>
      <c r="X1914">
        <v>36756</v>
      </c>
      <c r="Y1914" t="s">
        <v>1392</v>
      </c>
      <c r="AF1914">
        <v>85</v>
      </c>
      <c r="AG1914">
        <v>189</v>
      </c>
      <c r="AH1914">
        <v>-4</v>
      </c>
    </row>
    <row r="1915" spans="1:40" ht="18.75" customHeight="1" x14ac:dyDescent="0.3">
      <c r="A1915" s="1">
        <v>2021131814657</v>
      </c>
      <c r="B1915" t="s">
        <v>125</v>
      </c>
      <c r="C1915" t="s">
        <v>5115</v>
      </c>
      <c r="D1915" t="s">
        <v>1903</v>
      </c>
      <c r="E1915" t="s">
        <v>850</v>
      </c>
      <c r="F1915">
        <v>161</v>
      </c>
      <c r="G1915">
        <v>44546</v>
      </c>
      <c r="H1915">
        <v>45581</v>
      </c>
      <c r="I1915">
        <v>45585</v>
      </c>
      <c r="L1915" t="s">
        <v>45</v>
      </c>
      <c r="M1915" t="s">
        <v>812</v>
      </c>
      <c r="N1915" t="s">
        <v>127</v>
      </c>
      <c r="O1915" t="s">
        <v>1900</v>
      </c>
      <c r="U1915" t="s">
        <v>5116</v>
      </c>
      <c r="W1915">
        <v>30002152700056</v>
      </c>
      <c r="X1915">
        <v>36540</v>
      </c>
      <c r="Y1915" t="s">
        <v>550</v>
      </c>
      <c r="AF1915">
        <v>65</v>
      </c>
      <c r="AG1915">
        <v>172</v>
      </c>
      <c r="AH1915">
        <v>-7</v>
      </c>
    </row>
    <row r="1916" spans="1:40" ht="18.75" customHeight="1" x14ac:dyDescent="0.3">
      <c r="A1916" s="1">
        <v>2021138308843</v>
      </c>
      <c r="B1916" t="s">
        <v>125</v>
      </c>
      <c r="C1916" t="s">
        <v>5117</v>
      </c>
      <c r="D1916" t="s">
        <v>1903</v>
      </c>
      <c r="E1916" t="s">
        <v>850</v>
      </c>
      <c r="F1916">
        <v>161</v>
      </c>
      <c r="G1916">
        <v>44546</v>
      </c>
      <c r="H1916">
        <v>45581</v>
      </c>
      <c r="I1916">
        <v>45585</v>
      </c>
      <c r="L1916" t="s">
        <v>45</v>
      </c>
      <c r="M1916" t="s">
        <v>812</v>
      </c>
      <c r="N1916" t="s">
        <v>127</v>
      </c>
      <c r="O1916" t="s">
        <v>5109</v>
      </c>
      <c r="U1916" t="s">
        <v>5118</v>
      </c>
      <c r="W1916">
        <v>303070231801017</v>
      </c>
      <c r="X1916">
        <v>37825</v>
      </c>
      <c r="Y1916" t="s">
        <v>550</v>
      </c>
      <c r="AF1916">
        <v>65</v>
      </c>
      <c r="AG1916">
        <v>178</v>
      </c>
      <c r="AH1916">
        <v>-13</v>
      </c>
    </row>
    <row r="1917" spans="1:40" ht="18.75" customHeight="1" x14ac:dyDescent="0.3">
      <c r="A1917" s="1">
        <v>2021138309734</v>
      </c>
      <c r="B1917" t="s">
        <v>125</v>
      </c>
      <c r="C1917" t="s">
        <v>5119</v>
      </c>
      <c r="D1917" t="s">
        <v>1903</v>
      </c>
      <c r="E1917" t="s">
        <v>850</v>
      </c>
      <c r="F1917">
        <v>161</v>
      </c>
      <c r="G1917">
        <v>44546</v>
      </c>
      <c r="H1917">
        <v>45581</v>
      </c>
      <c r="I1917">
        <v>45585</v>
      </c>
      <c r="L1917" t="s">
        <v>45</v>
      </c>
      <c r="M1917" t="s">
        <v>812</v>
      </c>
      <c r="N1917" t="s">
        <v>127</v>
      </c>
      <c r="O1917" t="s">
        <v>5109</v>
      </c>
      <c r="R1917">
        <v>1</v>
      </c>
      <c r="U1917" t="s">
        <v>5120</v>
      </c>
      <c r="W1917">
        <v>30508121801955</v>
      </c>
      <c r="X1917">
        <v>38576</v>
      </c>
      <c r="Y1917" t="s">
        <v>550</v>
      </c>
      <c r="AF1917">
        <v>75</v>
      </c>
      <c r="AG1917">
        <v>179</v>
      </c>
      <c r="AH1917">
        <v>-4</v>
      </c>
    </row>
    <row r="1918" spans="1:40" ht="18.75" customHeight="1" x14ac:dyDescent="0.3">
      <c r="A1918" s="1">
        <v>2021138310244</v>
      </c>
      <c r="B1918" t="s">
        <v>125</v>
      </c>
      <c r="C1918" t="s">
        <v>5121</v>
      </c>
      <c r="D1918" t="s">
        <v>1903</v>
      </c>
      <c r="E1918" t="s">
        <v>850</v>
      </c>
      <c r="F1918">
        <v>161</v>
      </c>
      <c r="G1918">
        <v>44546</v>
      </c>
      <c r="H1918">
        <v>44482</v>
      </c>
      <c r="I1918">
        <v>44489</v>
      </c>
      <c r="L1918" t="s">
        <v>45</v>
      </c>
      <c r="M1918" t="s">
        <v>812</v>
      </c>
      <c r="N1918" t="s">
        <v>127</v>
      </c>
      <c r="O1918" t="s">
        <v>5076</v>
      </c>
      <c r="U1918" t="s">
        <v>5122</v>
      </c>
      <c r="W1918">
        <v>30407121803051</v>
      </c>
      <c r="X1918">
        <v>38180</v>
      </c>
      <c r="Y1918" t="s">
        <v>550</v>
      </c>
      <c r="AF1918">
        <v>76</v>
      </c>
      <c r="AG1918">
        <v>179</v>
      </c>
      <c r="AH1918">
        <v>-3</v>
      </c>
    </row>
    <row r="1919" spans="1:40" ht="18.75" customHeight="1" x14ac:dyDescent="0.3">
      <c r="A1919" s="1">
        <v>2021138310575</v>
      </c>
      <c r="B1919" t="s">
        <v>125</v>
      </c>
      <c r="C1919" t="s">
        <v>5123</v>
      </c>
      <c r="D1919" t="s">
        <v>1903</v>
      </c>
      <c r="E1919" t="s">
        <v>850</v>
      </c>
      <c r="F1919">
        <v>161</v>
      </c>
      <c r="G1919">
        <v>44546</v>
      </c>
      <c r="H1919">
        <v>45581</v>
      </c>
      <c r="I1919">
        <v>45585</v>
      </c>
      <c r="L1919" t="s">
        <v>45</v>
      </c>
      <c r="M1919" t="s">
        <v>812</v>
      </c>
      <c r="N1919" t="s">
        <v>127</v>
      </c>
      <c r="O1919" t="s">
        <v>5076</v>
      </c>
      <c r="U1919" t="s">
        <v>5124</v>
      </c>
      <c r="W1919">
        <v>30410011825131</v>
      </c>
      <c r="X1919">
        <v>44546</v>
      </c>
      <c r="Y1919" t="s">
        <v>550</v>
      </c>
      <c r="AF1919">
        <v>80</v>
      </c>
      <c r="AG1919">
        <v>182</v>
      </c>
      <c r="AH1919">
        <v>-2</v>
      </c>
    </row>
    <row r="1920" spans="1:40" ht="18.75" customHeight="1" x14ac:dyDescent="0.3">
      <c r="A1920" s="1">
        <v>2021138310616</v>
      </c>
      <c r="B1920" t="s">
        <v>125</v>
      </c>
      <c r="C1920" t="s">
        <v>5125</v>
      </c>
      <c r="D1920" t="s">
        <v>1903</v>
      </c>
      <c r="E1920" t="s">
        <v>850</v>
      </c>
      <c r="F1920">
        <v>161</v>
      </c>
      <c r="G1920">
        <v>44546</v>
      </c>
      <c r="H1920">
        <v>45581</v>
      </c>
      <c r="I1920">
        <v>44489</v>
      </c>
      <c r="L1920" t="s">
        <v>45</v>
      </c>
      <c r="M1920" t="s">
        <v>812</v>
      </c>
      <c r="N1920" t="s">
        <v>127</v>
      </c>
      <c r="O1920" t="s">
        <v>5076</v>
      </c>
      <c r="P1920" t="s">
        <v>49</v>
      </c>
      <c r="U1920" t="s">
        <v>5126</v>
      </c>
      <c r="W1920">
        <v>30308131800931</v>
      </c>
      <c r="X1920">
        <v>37846</v>
      </c>
      <c r="Y1920" t="s">
        <v>550</v>
      </c>
      <c r="AF1920">
        <v>62</v>
      </c>
      <c r="AG1920">
        <v>176</v>
      </c>
      <c r="AH1920">
        <v>-14</v>
      </c>
    </row>
    <row r="1921" spans="1:34" ht="18.75" customHeight="1" x14ac:dyDescent="0.3">
      <c r="A1921" s="1">
        <v>2023138302312</v>
      </c>
      <c r="B1921" t="s">
        <v>125</v>
      </c>
      <c r="C1921" t="s">
        <v>5127</v>
      </c>
      <c r="D1921" t="s">
        <v>1903</v>
      </c>
      <c r="E1921" t="s">
        <v>850</v>
      </c>
      <c r="F1921">
        <v>161</v>
      </c>
      <c r="G1921">
        <v>44941</v>
      </c>
      <c r="H1921">
        <v>46296</v>
      </c>
      <c r="I1921">
        <v>45976</v>
      </c>
      <c r="L1921" t="s">
        <v>45</v>
      </c>
      <c r="M1921" t="s">
        <v>812</v>
      </c>
      <c r="N1921" t="s">
        <v>127</v>
      </c>
      <c r="O1921" t="s">
        <v>5109</v>
      </c>
      <c r="U1921" t="s">
        <v>5128</v>
      </c>
      <c r="W1921">
        <v>30203232102511</v>
      </c>
      <c r="X1921">
        <v>37338</v>
      </c>
      <c r="Y1921" t="s">
        <v>550</v>
      </c>
      <c r="AF1921">
        <v>76</v>
      </c>
      <c r="AG1921">
        <v>182</v>
      </c>
      <c r="AH1921">
        <v>-6</v>
      </c>
    </row>
    <row r="1922" spans="1:34" ht="18.75" customHeight="1" x14ac:dyDescent="0.3">
      <c r="A1922" s="1">
        <v>2011135100483</v>
      </c>
      <c r="B1922" t="s">
        <v>75</v>
      </c>
      <c r="C1922" t="s">
        <v>5129</v>
      </c>
      <c r="D1922" t="s">
        <v>5063</v>
      </c>
      <c r="E1922" t="s">
        <v>850</v>
      </c>
      <c r="AH1922" t="s">
        <v>787</v>
      </c>
    </row>
    <row r="1923" spans="1:34" ht="18.75" customHeight="1" x14ac:dyDescent="0.3">
      <c r="A1923" s="1">
        <v>2011135102306</v>
      </c>
      <c r="B1923" t="s">
        <v>75</v>
      </c>
      <c r="C1923" t="s">
        <v>5130</v>
      </c>
      <c r="D1923" t="s">
        <v>5063</v>
      </c>
      <c r="E1923" t="s">
        <v>850</v>
      </c>
      <c r="AH1923" t="s">
        <v>787</v>
      </c>
    </row>
    <row r="1924" spans="1:34" ht="18.75" customHeight="1" x14ac:dyDescent="0.3">
      <c r="A1924" s="1">
        <v>2014135100974</v>
      </c>
      <c r="B1924" t="s">
        <v>75</v>
      </c>
      <c r="C1924" t="s">
        <v>5131</v>
      </c>
      <c r="D1924" t="s">
        <v>5063</v>
      </c>
      <c r="E1924" t="s">
        <v>850</v>
      </c>
      <c r="AH1924" t="s">
        <v>787</v>
      </c>
    </row>
    <row r="1925" spans="1:34" ht="18.75" customHeight="1" x14ac:dyDescent="0.3">
      <c r="A1925" s="1">
        <v>2019135103085</v>
      </c>
      <c r="B1925" t="s">
        <v>125</v>
      </c>
      <c r="C1925" t="s">
        <v>5132</v>
      </c>
      <c r="D1925" t="s">
        <v>5063</v>
      </c>
      <c r="E1925" t="s">
        <v>850</v>
      </c>
      <c r="AH1925" t="s">
        <v>787</v>
      </c>
    </row>
    <row r="1926" spans="1:34" ht="18.75" customHeight="1" x14ac:dyDescent="0.3">
      <c r="A1926" s="1">
        <v>2021131814558</v>
      </c>
      <c r="B1926" t="s">
        <v>125</v>
      </c>
      <c r="C1926" t="s">
        <v>5133</v>
      </c>
      <c r="D1926" t="s">
        <v>5063</v>
      </c>
      <c r="E1926" t="s">
        <v>850</v>
      </c>
      <c r="AH1926" t="s">
        <v>787</v>
      </c>
    </row>
    <row r="1927" spans="1:34" ht="18.75" customHeight="1" x14ac:dyDescent="0.3">
      <c r="A1927" s="1">
        <v>2023135100800</v>
      </c>
      <c r="B1927" t="s">
        <v>125</v>
      </c>
      <c r="C1927" t="s">
        <v>5134</v>
      </c>
      <c r="D1927" t="s">
        <v>5063</v>
      </c>
      <c r="E1927" t="s">
        <v>850</v>
      </c>
      <c r="AH1927" t="s">
        <v>787</v>
      </c>
    </row>
    <row r="1928" spans="1:34" ht="18.75" customHeight="1" x14ac:dyDescent="0.3">
      <c r="A1928" s="1">
        <v>2012138311671</v>
      </c>
      <c r="B1928" t="s">
        <v>75</v>
      </c>
      <c r="C1928" t="s">
        <v>5135</v>
      </c>
      <c r="D1928" t="s">
        <v>5136</v>
      </c>
      <c r="E1928" t="s">
        <v>850</v>
      </c>
      <c r="AG1928" t="s">
        <v>787</v>
      </c>
    </row>
    <row r="1929" spans="1:34" ht="18.75" customHeight="1" x14ac:dyDescent="0.3">
      <c r="A1929" s="1">
        <v>2013130400892</v>
      </c>
      <c r="B1929" t="s">
        <v>75</v>
      </c>
      <c r="C1929" t="s">
        <v>5137</v>
      </c>
      <c r="D1929" t="s">
        <v>5136</v>
      </c>
      <c r="E1929" t="s">
        <v>850</v>
      </c>
      <c r="F1929">
        <v>150</v>
      </c>
      <c r="G1929">
        <v>41510</v>
      </c>
      <c r="H1929">
        <v>41983</v>
      </c>
      <c r="I1929">
        <v>45658</v>
      </c>
      <c r="L1929" t="s">
        <v>45</v>
      </c>
      <c r="M1929" t="s">
        <v>158</v>
      </c>
      <c r="N1929" t="s">
        <v>78</v>
      </c>
      <c r="O1929" t="s">
        <v>620</v>
      </c>
      <c r="R1929">
        <v>0</v>
      </c>
      <c r="S1929">
        <v>0</v>
      </c>
      <c r="T1929">
        <v>0</v>
      </c>
      <c r="U1929" t="s">
        <v>5138</v>
      </c>
      <c r="W1929">
        <v>29409012107212</v>
      </c>
      <c r="X1929">
        <v>34578</v>
      </c>
      <c r="Y1929" t="s">
        <v>153</v>
      </c>
      <c r="Z1929">
        <v>0</v>
      </c>
      <c r="AF1929">
        <v>79</v>
      </c>
      <c r="AG1929">
        <v>176</v>
      </c>
      <c r="AH1929">
        <v>3</v>
      </c>
    </row>
    <row r="1930" spans="1:34" ht="18.75" customHeight="1" x14ac:dyDescent="0.3">
      <c r="A1930" s="1">
        <v>2008138310292</v>
      </c>
      <c r="B1930" t="s">
        <v>57</v>
      </c>
      <c r="C1930" t="s">
        <v>5139</v>
      </c>
      <c r="D1930" t="s">
        <v>5136</v>
      </c>
      <c r="E1930" t="s">
        <v>850</v>
      </c>
      <c r="AF1930" t="s">
        <v>787</v>
      </c>
    </row>
    <row r="1931" spans="1:34" ht="18.75" customHeight="1" x14ac:dyDescent="0.3">
      <c r="A1931" s="1">
        <v>2011138315518</v>
      </c>
      <c r="B1931" t="s">
        <v>75</v>
      </c>
      <c r="C1931" t="s">
        <v>5140</v>
      </c>
      <c r="D1931" t="s">
        <v>5136</v>
      </c>
      <c r="E1931" t="s">
        <v>850</v>
      </c>
      <c r="AF1931" t="s">
        <v>787</v>
      </c>
    </row>
    <row r="1932" spans="1:34" ht="18.75" customHeight="1" x14ac:dyDescent="0.3">
      <c r="A1932" s="1">
        <v>2012138311457</v>
      </c>
      <c r="B1932" t="s">
        <v>75</v>
      </c>
      <c r="C1932" t="s">
        <v>5141</v>
      </c>
      <c r="D1932" t="s">
        <v>5136</v>
      </c>
      <c r="E1932" t="s">
        <v>850</v>
      </c>
      <c r="AF1932" t="s">
        <v>787</v>
      </c>
    </row>
    <row r="1933" spans="1:34" ht="18.75" customHeight="1" x14ac:dyDescent="0.3">
      <c r="A1933" s="1">
        <v>2012138315912</v>
      </c>
      <c r="B1933" t="s">
        <v>75</v>
      </c>
      <c r="C1933" t="s">
        <v>5142</v>
      </c>
      <c r="D1933" t="s">
        <v>5136</v>
      </c>
      <c r="E1933" t="s">
        <v>850</v>
      </c>
      <c r="AF1933" t="s">
        <v>787</v>
      </c>
    </row>
    <row r="1934" spans="1:34" ht="18.75" customHeight="1" x14ac:dyDescent="0.3">
      <c r="A1934" s="1">
        <v>2013138310134</v>
      </c>
      <c r="B1934" t="s">
        <v>75</v>
      </c>
      <c r="C1934" t="s">
        <v>5143</v>
      </c>
      <c r="D1934" t="s">
        <v>5136</v>
      </c>
      <c r="E1934" t="s">
        <v>850</v>
      </c>
      <c r="AF1934" t="s">
        <v>787</v>
      </c>
    </row>
    <row r="1935" spans="1:34" ht="18.75" customHeight="1" x14ac:dyDescent="0.3">
      <c r="A1935" s="1">
        <v>2014138317485</v>
      </c>
      <c r="B1935" t="s">
        <v>75</v>
      </c>
      <c r="C1935" t="s">
        <v>5144</v>
      </c>
      <c r="D1935" t="s">
        <v>5136</v>
      </c>
      <c r="E1935" t="s">
        <v>850</v>
      </c>
      <c r="AF1935" t="s">
        <v>787</v>
      </c>
    </row>
    <row r="1936" spans="1:34" ht="18.75" customHeight="1" x14ac:dyDescent="0.3">
      <c r="A1936" s="1">
        <v>2014138322624</v>
      </c>
      <c r="B1936" t="s">
        <v>75</v>
      </c>
      <c r="C1936" t="s">
        <v>5145</v>
      </c>
      <c r="D1936" t="s">
        <v>5136</v>
      </c>
      <c r="E1936" t="s">
        <v>850</v>
      </c>
      <c r="AF1936" t="s">
        <v>787</v>
      </c>
    </row>
    <row r="1937" spans="1:32" ht="18.75" customHeight="1" x14ac:dyDescent="0.3">
      <c r="A1937" s="1">
        <v>2015131804776</v>
      </c>
      <c r="B1937" t="s">
        <v>106</v>
      </c>
      <c r="C1937" t="s">
        <v>5146</v>
      </c>
      <c r="D1937" t="s">
        <v>5136</v>
      </c>
      <c r="E1937" t="s">
        <v>850</v>
      </c>
      <c r="AF1937" t="s">
        <v>787</v>
      </c>
    </row>
    <row r="1938" spans="1:32" ht="18.75" customHeight="1" x14ac:dyDescent="0.3">
      <c r="A1938" s="1">
        <v>2015138308937</v>
      </c>
      <c r="B1938" t="s">
        <v>106</v>
      </c>
      <c r="C1938" t="s">
        <v>5147</v>
      </c>
      <c r="D1938" t="s">
        <v>5136</v>
      </c>
      <c r="E1938" t="s">
        <v>850</v>
      </c>
      <c r="AF1938" t="s">
        <v>787</v>
      </c>
    </row>
    <row r="1939" spans="1:32" ht="18.75" customHeight="1" x14ac:dyDescent="0.3">
      <c r="A1939" s="1">
        <v>2015138323349</v>
      </c>
      <c r="B1939" t="s">
        <v>106</v>
      </c>
      <c r="C1939" t="s">
        <v>5148</v>
      </c>
      <c r="D1939" t="s">
        <v>5136</v>
      </c>
      <c r="E1939" t="s">
        <v>850</v>
      </c>
      <c r="AF1939" t="s">
        <v>787</v>
      </c>
    </row>
    <row r="1940" spans="1:32" ht="18.75" customHeight="1" x14ac:dyDescent="0.3">
      <c r="A1940" s="1">
        <v>2015138325014</v>
      </c>
      <c r="B1940" t="s">
        <v>106</v>
      </c>
      <c r="C1940" t="s">
        <v>5149</v>
      </c>
      <c r="D1940" t="s">
        <v>5136</v>
      </c>
      <c r="E1940" t="s">
        <v>850</v>
      </c>
      <c r="AF1940" t="s">
        <v>787</v>
      </c>
    </row>
    <row r="1941" spans="1:32" ht="18.75" customHeight="1" x14ac:dyDescent="0.3">
      <c r="A1941" s="1">
        <v>2015138325288</v>
      </c>
      <c r="B1941" t="s">
        <v>106</v>
      </c>
      <c r="C1941" t="s">
        <v>5150</v>
      </c>
      <c r="D1941" t="s">
        <v>5136</v>
      </c>
      <c r="E1941" t="s">
        <v>850</v>
      </c>
      <c r="AF1941" t="s">
        <v>787</v>
      </c>
    </row>
    <row r="1942" spans="1:32" ht="18.75" customHeight="1" x14ac:dyDescent="0.3">
      <c r="A1942" s="1">
        <v>2019138305662</v>
      </c>
      <c r="B1942" t="s">
        <v>125</v>
      </c>
      <c r="C1942" t="s">
        <v>5151</v>
      </c>
      <c r="D1942" t="s">
        <v>5136</v>
      </c>
      <c r="E1942" t="s">
        <v>850</v>
      </c>
      <c r="AF1942" t="s">
        <v>787</v>
      </c>
    </row>
    <row r="1943" spans="1:32" ht="18.75" customHeight="1" x14ac:dyDescent="0.3">
      <c r="A1943" s="1">
        <v>2019138311081</v>
      </c>
      <c r="B1943" t="s">
        <v>125</v>
      </c>
      <c r="C1943" t="s">
        <v>5152</v>
      </c>
      <c r="D1943" t="s">
        <v>5136</v>
      </c>
      <c r="E1943" t="s">
        <v>850</v>
      </c>
      <c r="AF1943" t="s">
        <v>787</v>
      </c>
    </row>
    <row r="1944" spans="1:32" ht="18.75" customHeight="1" x14ac:dyDescent="0.3">
      <c r="A1944" s="1">
        <v>2019138313102</v>
      </c>
      <c r="B1944" t="s">
        <v>125</v>
      </c>
      <c r="C1944" t="s">
        <v>5153</v>
      </c>
      <c r="D1944" t="s">
        <v>5136</v>
      </c>
      <c r="E1944" t="s">
        <v>850</v>
      </c>
      <c r="AF1944" t="s">
        <v>787</v>
      </c>
    </row>
    <row r="1945" spans="1:32" ht="18.75" customHeight="1" x14ac:dyDescent="0.3">
      <c r="A1945" s="1">
        <v>2019138317146</v>
      </c>
      <c r="B1945" t="s">
        <v>125</v>
      </c>
      <c r="C1945" t="s">
        <v>5154</v>
      </c>
      <c r="D1945" t="s">
        <v>5136</v>
      </c>
      <c r="E1945" t="s">
        <v>850</v>
      </c>
      <c r="AF1945" t="s">
        <v>787</v>
      </c>
    </row>
    <row r="1946" spans="1:32" ht="18.75" customHeight="1" x14ac:dyDescent="0.3">
      <c r="A1946" s="1">
        <v>2019138317261</v>
      </c>
      <c r="B1946" t="s">
        <v>125</v>
      </c>
      <c r="C1946" t="s">
        <v>5155</v>
      </c>
      <c r="D1946" t="s">
        <v>5136</v>
      </c>
      <c r="E1946" t="s">
        <v>850</v>
      </c>
      <c r="AF1946" t="s">
        <v>787</v>
      </c>
    </row>
    <row r="1947" spans="1:32" ht="18.75" customHeight="1" x14ac:dyDescent="0.3">
      <c r="A1947" s="1">
        <v>2019138317279</v>
      </c>
      <c r="B1947" t="s">
        <v>125</v>
      </c>
      <c r="C1947" t="s">
        <v>5156</v>
      </c>
      <c r="D1947" t="s">
        <v>5136</v>
      </c>
      <c r="E1947" t="s">
        <v>850</v>
      </c>
      <c r="AF1947" t="s">
        <v>787</v>
      </c>
    </row>
    <row r="1948" spans="1:32" ht="18.75" customHeight="1" x14ac:dyDescent="0.3">
      <c r="A1948" s="1">
        <v>2021131804400</v>
      </c>
      <c r="B1948" t="s">
        <v>125</v>
      </c>
      <c r="C1948" t="s">
        <v>5157</v>
      </c>
      <c r="D1948" t="s">
        <v>5136</v>
      </c>
      <c r="E1948" t="s">
        <v>850</v>
      </c>
      <c r="AF1948" t="s">
        <v>787</v>
      </c>
    </row>
    <row r="1949" spans="1:32" ht="18.75" customHeight="1" x14ac:dyDescent="0.3">
      <c r="A1949" s="1">
        <v>2021138306871</v>
      </c>
      <c r="B1949" t="s">
        <v>125</v>
      </c>
      <c r="C1949" t="s">
        <v>5158</v>
      </c>
      <c r="D1949" t="s">
        <v>5136</v>
      </c>
      <c r="E1949" t="s">
        <v>850</v>
      </c>
      <c r="AF1949" t="s">
        <v>787</v>
      </c>
    </row>
    <row r="1950" spans="1:32" ht="18.75" customHeight="1" x14ac:dyDescent="0.3">
      <c r="A1950" s="1">
        <v>2021138309023</v>
      </c>
      <c r="B1950" t="s">
        <v>125</v>
      </c>
      <c r="C1950" t="s">
        <v>5159</v>
      </c>
      <c r="D1950" t="s">
        <v>5136</v>
      </c>
      <c r="E1950" t="s">
        <v>850</v>
      </c>
      <c r="AF1950" t="s">
        <v>787</v>
      </c>
    </row>
    <row r="1951" spans="1:32" ht="18.75" customHeight="1" x14ac:dyDescent="0.3">
      <c r="A1951" s="1">
        <v>2021138309685</v>
      </c>
      <c r="B1951" t="s">
        <v>125</v>
      </c>
      <c r="C1951" t="s">
        <v>5160</v>
      </c>
      <c r="D1951" t="s">
        <v>5136</v>
      </c>
      <c r="E1951" t="s">
        <v>850</v>
      </c>
      <c r="AF1951" t="s">
        <v>787</v>
      </c>
    </row>
    <row r="1952" spans="1:32" ht="18.75" customHeight="1" x14ac:dyDescent="0.3">
      <c r="A1952" s="1">
        <v>2021138309891</v>
      </c>
      <c r="B1952" t="s">
        <v>125</v>
      </c>
      <c r="C1952" t="s">
        <v>5161</v>
      </c>
      <c r="D1952" t="s">
        <v>5136</v>
      </c>
      <c r="E1952" t="s">
        <v>850</v>
      </c>
      <c r="AF1952" t="s">
        <v>787</v>
      </c>
    </row>
    <row r="1953" spans="1:34" ht="18.75" customHeight="1" x14ac:dyDescent="0.3">
      <c r="A1953" s="1">
        <v>2021138310260</v>
      </c>
      <c r="B1953" t="s">
        <v>125</v>
      </c>
      <c r="C1953" t="s">
        <v>5162</v>
      </c>
      <c r="D1953" t="s">
        <v>5136</v>
      </c>
      <c r="E1953" t="s">
        <v>850</v>
      </c>
      <c r="AF1953" t="s">
        <v>787</v>
      </c>
    </row>
    <row r="1954" spans="1:34" ht="18.75" customHeight="1" x14ac:dyDescent="0.3">
      <c r="A1954" s="1">
        <v>2021138310723</v>
      </c>
      <c r="B1954" t="s">
        <v>125</v>
      </c>
      <c r="C1954" t="s">
        <v>5163</v>
      </c>
      <c r="D1954" t="s">
        <v>5136</v>
      </c>
      <c r="E1954" t="s">
        <v>850</v>
      </c>
      <c r="AF1954" t="s">
        <v>787</v>
      </c>
    </row>
    <row r="1955" spans="1:34" ht="18.75" customHeight="1" x14ac:dyDescent="0.3">
      <c r="A1955" s="1">
        <v>2023130900081</v>
      </c>
      <c r="B1955" t="s">
        <v>125</v>
      </c>
      <c r="C1955" t="s">
        <v>5164</v>
      </c>
      <c r="D1955" t="s">
        <v>5136</v>
      </c>
      <c r="E1955" t="s">
        <v>850</v>
      </c>
      <c r="AF1955" t="s">
        <v>787</v>
      </c>
    </row>
    <row r="1956" spans="1:34" ht="18.75" customHeight="1" x14ac:dyDescent="0.3">
      <c r="A1956" s="1">
        <v>2023138302148</v>
      </c>
      <c r="B1956" t="s">
        <v>125</v>
      </c>
      <c r="C1956" t="s">
        <v>5165</v>
      </c>
      <c r="D1956" t="s">
        <v>5136</v>
      </c>
      <c r="E1956" t="s">
        <v>850</v>
      </c>
      <c r="AF1956" t="s">
        <v>787</v>
      </c>
    </row>
    <row r="1957" spans="1:34" ht="18.75" customHeight="1" x14ac:dyDescent="0.3">
      <c r="A1957" s="1">
        <v>2023138302289</v>
      </c>
      <c r="B1957" t="s">
        <v>125</v>
      </c>
      <c r="C1957" t="s">
        <v>5166</v>
      </c>
      <c r="D1957" t="s">
        <v>5136</v>
      </c>
      <c r="E1957" t="s">
        <v>850</v>
      </c>
      <c r="AF1957" t="s">
        <v>787</v>
      </c>
    </row>
    <row r="1958" spans="1:34" ht="18.75" customHeight="1" x14ac:dyDescent="0.3">
      <c r="A1958" s="1">
        <v>2001134791086</v>
      </c>
      <c r="B1958" t="s">
        <v>495</v>
      </c>
      <c r="C1958" t="s">
        <v>5167</v>
      </c>
      <c r="D1958" t="s">
        <v>5168</v>
      </c>
      <c r="E1958" t="s">
        <v>850</v>
      </c>
      <c r="F1958">
        <v>130</v>
      </c>
      <c r="G1958">
        <v>37136</v>
      </c>
      <c r="H1958">
        <v>37137</v>
      </c>
      <c r="I1958">
        <v>44562</v>
      </c>
      <c r="J1958">
        <v>44499</v>
      </c>
      <c r="L1958" t="s">
        <v>135</v>
      </c>
      <c r="M1958" t="s">
        <v>136</v>
      </c>
      <c r="N1958" t="s">
        <v>127</v>
      </c>
      <c r="O1958" t="s">
        <v>499</v>
      </c>
      <c r="Q1958" t="s">
        <v>49</v>
      </c>
      <c r="R1958">
        <v>9</v>
      </c>
      <c r="S1958">
        <v>0</v>
      </c>
      <c r="T1958">
        <v>0</v>
      </c>
      <c r="U1958" t="s">
        <v>5169</v>
      </c>
      <c r="W1958">
        <v>28610251604752</v>
      </c>
      <c r="X1958">
        <v>31710</v>
      </c>
      <c r="Y1958" t="s">
        <v>786</v>
      </c>
      <c r="AF1958">
        <v>90</v>
      </c>
      <c r="AG1958">
        <v>180</v>
      </c>
      <c r="AH1958">
        <v>10</v>
      </c>
    </row>
    <row r="1959" spans="1:34" ht="18.75" customHeight="1" x14ac:dyDescent="0.3">
      <c r="A1959" s="1">
        <v>2009134701550</v>
      </c>
      <c r="B1959" t="s">
        <v>210</v>
      </c>
      <c r="C1959" t="s">
        <v>5170</v>
      </c>
      <c r="D1959" t="s">
        <v>5168</v>
      </c>
      <c r="E1959" t="s">
        <v>850</v>
      </c>
      <c r="F1959">
        <v>137</v>
      </c>
      <c r="G1959">
        <v>40012</v>
      </c>
      <c r="H1959">
        <v>40213</v>
      </c>
      <c r="I1959">
        <v>45839</v>
      </c>
      <c r="J1959">
        <v>45365</v>
      </c>
      <c r="L1959" t="s">
        <v>135</v>
      </c>
      <c r="M1959" t="s">
        <v>342</v>
      </c>
      <c r="N1959" t="s">
        <v>127</v>
      </c>
      <c r="O1959" t="s">
        <v>343</v>
      </c>
      <c r="Q1959" t="s">
        <v>49</v>
      </c>
      <c r="R1959">
        <v>0</v>
      </c>
      <c r="S1959">
        <v>0</v>
      </c>
      <c r="T1959">
        <v>0</v>
      </c>
      <c r="U1959" t="s">
        <v>5171</v>
      </c>
      <c r="W1959">
        <v>29002101603638</v>
      </c>
      <c r="X1959">
        <v>32914</v>
      </c>
      <c r="Y1959" t="s">
        <v>786</v>
      </c>
      <c r="AF1959">
        <v>75</v>
      </c>
      <c r="AG1959">
        <v>175</v>
      </c>
      <c r="AH1959">
        <v>0</v>
      </c>
    </row>
    <row r="1960" spans="1:34" ht="18.75" customHeight="1" x14ac:dyDescent="0.3">
      <c r="A1960" s="1">
        <v>2012134702296</v>
      </c>
      <c r="B1960" t="s">
        <v>75</v>
      </c>
      <c r="C1960" t="s">
        <v>5172</v>
      </c>
      <c r="D1960" t="s">
        <v>5168</v>
      </c>
      <c r="E1960" t="s">
        <v>850</v>
      </c>
      <c r="F1960">
        <v>145</v>
      </c>
      <c r="G1960">
        <v>40936</v>
      </c>
      <c r="H1960">
        <v>41405</v>
      </c>
      <c r="I1960">
        <v>45108</v>
      </c>
      <c r="J1960">
        <v>45970</v>
      </c>
      <c r="L1960" t="s">
        <v>135</v>
      </c>
      <c r="M1960" t="s">
        <v>46</v>
      </c>
      <c r="N1960" t="s">
        <v>127</v>
      </c>
      <c r="O1960" t="s">
        <v>96</v>
      </c>
      <c r="Q1960" t="s">
        <v>49</v>
      </c>
      <c r="R1960">
        <v>2</v>
      </c>
      <c r="S1960">
        <v>0</v>
      </c>
      <c r="T1960">
        <v>0</v>
      </c>
      <c r="U1960" t="s">
        <v>5173</v>
      </c>
      <c r="W1960">
        <v>29210011419112</v>
      </c>
      <c r="X1960">
        <v>33878</v>
      </c>
      <c r="Y1960" t="s">
        <v>103</v>
      </c>
      <c r="AF1960">
        <v>66</v>
      </c>
      <c r="AG1960">
        <v>174</v>
      </c>
      <c r="AH1960">
        <v>-8</v>
      </c>
    </row>
    <row r="1961" spans="1:34" ht="18.75" customHeight="1" x14ac:dyDescent="0.3">
      <c r="A1961" s="1">
        <v>2012134704060</v>
      </c>
      <c r="B1961" t="s">
        <v>57</v>
      </c>
      <c r="C1961" t="s">
        <v>5174</v>
      </c>
      <c r="D1961" t="s">
        <v>5168</v>
      </c>
      <c r="E1961" t="s">
        <v>850</v>
      </c>
      <c r="F1961">
        <v>143</v>
      </c>
      <c r="G1961">
        <v>41111</v>
      </c>
      <c r="H1961">
        <v>41309</v>
      </c>
      <c r="I1961">
        <v>45108</v>
      </c>
      <c r="J1961">
        <v>45980</v>
      </c>
      <c r="L1961" t="s">
        <v>88</v>
      </c>
      <c r="M1961" t="s">
        <v>46</v>
      </c>
      <c r="N1961" t="s">
        <v>127</v>
      </c>
      <c r="O1961" t="s">
        <v>2135</v>
      </c>
      <c r="Q1961" t="s">
        <v>49</v>
      </c>
      <c r="R1961">
        <v>1</v>
      </c>
      <c r="S1961">
        <v>0</v>
      </c>
      <c r="T1961">
        <v>0</v>
      </c>
      <c r="U1961" t="s">
        <v>5175</v>
      </c>
      <c r="W1961">
        <v>29308111800999</v>
      </c>
      <c r="X1961">
        <v>34192</v>
      </c>
      <c r="Y1961" t="s">
        <v>103</v>
      </c>
      <c r="AF1961">
        <v>60</v>
      </c>
      <c r="AG1961">
        <v>167</v>
      </c>
      <c r="AH1961">
        <v>-7</v>
      </c>
    </row>
    <row r="1962" spans="1:34" ht="18.75" customHeight="1" x14ac:dyDescent="0.3">
      <c r="A1962" s="1">
        <v>2016134700929</v>
      </c>
      <c r="B1962" t="s">
        <v>75</v>
      </c>
      <c r="C1962" t="s">
        <v>5176</v>
      </c>
      <c r="D1962" t="s">
        <v>5168</v>
      </c>
      <c r="E1962" t="s">
        <v>850</v>
      </c>
      <c r="F1962">
        <v>148</v>
      </c>
      <c r="G1962">
        <v>42575</v>
      </c>
      <c r="H1962">
        <v>43321</v>
      </c>
      <c r="I1962">
        <v>45292</v>
      </c>
      <c r="J1962">
        <v>45593</v>
      </c>
      <c r="L1962" t="s">
        <v>88</v>
      </c>
      <c r="M1962" t="s">
        <v>46</v>
      </c>
      <c r="N1962" t="s">
        <v>127</v>
      </c>
      <c r="O1962" t="s">
        <v>5177</v>
      </c>
      <c r="Q1962" t="s">
        <v>49</v>
      </c>
      <c r="R1962">
        <v>1</v>
      </c>
      <c r="S1962">
        <v>0</v>
      </c>
      <c r="T1962">
        <v>0</v>
      </c>
      <c r="U1962" t="s">
        <v>5178</v>
      </c>
      <c r="W1962">
        <v>29609191400457</v>
      </c>
      <c r="X1962">
        <v>35327</v>
      </c>
      <c r="Y1962" t="s">
        <v>51</v>
      </c>
      <c r="AF1962">
        <v>68</v>
      </c>
      <c r="AG1962">
        <v>174</v>
      </c>
      <c r="AH1962">
        <v>-6</v>
      </c>
    </row>
    <row r="1963" spans="1:34" ht="18.75" customHeight="1" x14ac:dyDescent="0.3">
      <c r="A1963" s="1">
        <v>2018134703507</v>
      </c>
      <c r="B1963" t="s">
        <v>75</v>
      </c>
      <c r="C1963" t="s">
        <v>5179</v>
      </c>
      <c r="D1963" t="s">
        <v>5168</v>
      </c>
      <c r="E1963" t="s">
        <v>850</v>
      </c>
      <c r="F1963">
        <v>150</v>
      </c>
      <c r="G1963">
        <v>43279</v>
      </c>
      <c r="H1963">
        <v>44117</v>
      </c>
      <c r="I1963">
        <v>46023</v>
      </c>
      <c r="J1963">
        <v>44503</v>
      </c>
      <c r="L1963" t="s">
        <v>135</v>
      </c>
      <c r="M1963" t="s">
        <v>136</v>
      </c>
      <c r="N1963" t="s">
        <v>127</v>
      </c>
      <c r="O1963" t="s">
        <v>5180</v>
      </c>
      <c r="Q1963" t="s">
        <v>49</v>
      </c>
      <c r="R1963">
        <v>0</v>
      </c>
      <c r="S1963">
        <v>0</v>
      </c>
      <c r="T1963">
        <v>0</v>
      </c>
      <c r="U1963">
        <v>1007130966</v>
      </c>
      <c r="W1963">
        <v>29809141303735</v>
      </c>
      <c r="X1963">
        <v>36052</v>
      </c>
      <c r="Y1963" t="s">
        <v>103</v>
      </c>
      <c r="AF1963">
        <v>70</v>
      </c>
      <c r="AG1963">
        <v>169</v>
      </c>
      <c r="AH1963">
        <v>1</v>
      </c>
    </row>
    <row r="1964" spans="1:34" ht="18.75" customHeight="1" x14ac:dyDescent="0.3">
      <c r="A1964" s="1">
        <v>2018134704943</v>
      </c>
      <c r="B1964" t="s">
        <v>106</v>
      </c>
      <c r="C1964" t="s">
        <v>5181</v>
      </c>
      <c r="D1964" t="s">
        <v>5168</v>
      </c>
      <c r="E1964" t="s">
        <v>850</v>
      </c>
      <c r="F1964">
        <v>152</v>
      </c>
      <c r="G1964">
        <v>43279</v>
      </c>
      <c r="H1964">
        <v>44117</v>
      </c>
      <c r="I1964">
        <v>45658</v>
      </c>
      <c r="J1964">
        <v>45979</v>
      </c>
      <c r="L1964" t="s">
        <v>88</v>
      </c>
      <c r="M1964" t="s">
        <v>136</v>
      </c>
      <c r="N1964" t="s">
        <v>127</v>
      </c>
      <c r="O1964" t="s">
        <v>5182</v>
      </c>
      <c r="Q1964" t="s">
        <v>49</v>
      </c>
      <c r="R1964">
        <v>0</v>
      </c>
      <c r="S1964">
        <v>0</v>
      </c>
      <c r="T1964">
        <v>0</v>
      </c>
      <c r="U1964" t="s">
        <v>5183</v>
      </c>
      <c r="W1964">
        <v>29812021701878</v>
      </c>
      <c r="X1964">
        <v>36131</v>
      </c>
      <c r="Y1964" t="s">
        <v>103</v>
      </c>
      <c r="AF1964">
        <v>88</v>
      </c>
      <c r="AG1964">
        <v>182</v>
      </c>
      <c r="AH1964">
        <v>6</v>
      </c>
    </row>
    <row r="1965" spans="1:34" ht="18.75" customHeight="1" x14ac:dyDescent="0.3">
      <c r="A1965" s="1">
        <v>2019134704438</v>
      </c>
      <c r="B1965" t="s">
        <v>125</v>
      </c>
      <c r="C1965" t="s">
        <v>5184</v>
      </c>
      <c r="D1965" t="s">
        <v>5168</v>
      </c>
      <c r="E1965" t="s">
        <v>850</v>
      </c>
      <c r="F1965">
        <v>160</v>
      </c>
      <c r="G1965">
        <v>43692</v>
      </c>
      <c r="H1965">
        <v>44482</v>
      </c>
      <c r="I1965">
        <v>44482</v>
      </c>
      <c r="J1965">
        <v>45588</v>
      </c>
      <c r="L1965" t="s">
        <v>135</v>
      </c>
      <c r="M1965" t="s">
        <v>342</v>
      </c>
      <c r="N1965" t="s">
        <v>127</v>
      </c>
      <c r="O1965" t="s">
        <v>5185</v>
      </c>
      <c r="Q1965" t="s">
        <v>49</v>
      </c>
      <c r="R1965">
        <v>0</v>
      </c>
      <c r="S1965">
        <v>0</v>
      </c>
      <c r="T1965">
        <v>0</v>
      </c>
      <c r="U1965" t="s">
        <v>5186</v>
      </c>
      <c r="W1965">
        <v>29806031201016</v>
      </c>
      <c r="X1965">
        <v>35949</v>
      </c>
      <c r="Y1965" t="s">
        <v>51</v>
      </c>
      <c r="AF1965">
        <v>75</v>
      </c>
      <c r="AG1965">
        <v>177</v>
      </c>
      <c r="AH1965">
        <v>-2</v>
      </c>
    </row>
    <row r="1966" spans="1:34" ht="18.75" customHeight="1" x14ac:dyDescent="0.3">
      <c r="A1966" s="1">
        <v>2021134708914</v>
      </c>
      <c r="B1966" t="s">
        <v>125</v>
      </c>
      <c r="C1966" t="s">
        <v>5187</v>
      </c>
      <c r="D1966" t="s">
        <v>5168</v>
      </c>
      <c r="E1966" t="s">
        <v>850</v>
      </c>
      <c r="F1966">
        <v>161</v>
      </c>
      <c r="G1966">
        <v>44205</v>
      </c>
      <c r="H1966">
        <v>45197</v>
      </c>
      <c r="I1966">
        <v>45197</v>
      </c>
      <c r="J1966">
        <v>45248</v>
      </c>
      <c r="L1966" t="s">
        <v>135</v>
      </c>
      <c r="M1966" t="s">
        <v>342</v>
      </c>
      <c r="N1966" t="s">
        <v>127</v>
      </c>
      <c r="O1966" t="s">
        <v>4832</v>
      </c>
      <c r="Q1966" t="s">
        <v>49</v>
      </c>
      <c r="R1966">
        <v>2</v>
      </c>
      <c r="S1966">
        <v>0</v>
      </c>
      <c r="T1966">
        <v>0</v>
      </c>
      <c r="U1966" t="s">
        <v>5188</v>
      </c>
      <c r="W1966">
        <v>29810011237356</v>
      </c>
      <c r="X1966">
        <v>36069</v>
      </c>
      <c r="Y1966" t="s">
        <v>51</v>
      </c>
      <c r="AF1966">
        <v>65</v>
      </c>
      <c r="AG1966">
        <v>168</v>
      </c>
      <c r="AH1966">
        <v>-3</v>
      </c>
    </row>
    <row r="1967" spans="1:34" ht="18.75" customHeight="1" x14ac:dyDescent="0.3">
      <c r="A1967" s="1">
        <v>2021134714127</v>
      </c>
      <c r="B1967" t="s">
        <v>125</v>
      </c>
      <c r="C1967" t="s">
        <v>5189</v>
      </c>
      <c r="D1967" t="s">
        <v>5168</v>
      </c>
      <c r="E1967" t="s">
        <v>850</v>
      </c>
      <c r="F1967">
        <v>162</v>
      </c>
      <c r="G1967">
        <v>44546</v>
      </c>
      <c r="H1967">
        <v>45581</v>
      </c>
      <c r="I1967">
        <v>45581</v>
      </c>
      <c r="L1967" t="s">
        <v>135</v>
      </c>
      <c r="M1967" t="s">
        <v>342</v>
      </c>
      <c r="N1967" t="s">
        <v>127</v>
      </c>
      <c r="O1967" t="s">
        <v>499</v>
      </c>
      <c r="Q1967" t="s">
        <v>49</v>
      </c>
      <c r="R1967">
        <v>1</v>
      </c>
      <c r="S1967">
        <v>0</v>
      </c>
      <c r="T1967">
        <v>0</v>
      </c>
      <c r="U1967" t="s">
        <v>5190</v>
      </c>
      <c r="W1967">
        <v>30210011841774</v>
      </c>
      <c r="X1967">
        <v>37530</v>
      </c>
      <c r="Y1967" t="s">
        <v>153</v>
      </c>
      <c r="Z1967">
        <v>0</v>
      </c>
      <c r="AB1967">
        <v>0</v>
      </c>
      <c r="AF1967">
        <v>70</v>
      </c>
      <c r="AG1967">
        <v>175</v>
      </c>
      <c r="AH1967">
        <v>-5</v>
      </c>
    </row>
    <row r="1968" spans="1:34" ht="18.75" customHeight="1" x14ac:dyDescent="0.3">
      <c r="A1968" s="1">
        <v>2010134704006</v>
      </c>
      <c r="B1968" t="s">
        <v>75</v>
      </c>
      <c r="C1968" t="s">
        <v>5191</v>
      </c>
      <c r="D1968" t="s">
        <v>5192</v>
      </c>
      <c r="E1968" t="s">
        <v>718</v>
      </c>
      <c r="F1968">
        <v>144</v>
      </c>
      <c r="G1968">
        <v>40376</v>
      </c>
      <c r="H1968">
        <v>40848</v>
      </c>
      <c r="I1968">
        <v>44562</v>
      </c>
      <c r="J1968">
        <v>45979</v>
      </c>
      <c r="K1968">
        <v>45979</v>
      </c>
      <c r="L1968" t="s">
        <v>135</v>
      </c>
      <c r="M1968" t="s">
        <v>46</v>
      </c>
      <c r="N1968" t="s">
        <v>47</v>
      </c>
      <c r="O1968" t="s">
        <v>3277</v>
      </c>
      <c r="Q1968" t="s">
        <v>49</v>
      </c>
      <c r="R1968">
        <v>2</v>
      </c>
      <c r="S1968">
        <v>1</v>
      </c>
      <c r="T1968">
        <v>0</v>
      </c>
      <c r="U1968" t="s">
        <v>5193</v>
      </c>
      <c r="V1968" t="s">
        <v>5194</v>
      </c>
      <c r="W1968">
        <v>29103041700176</v>
      </c>
      <c r="AC1968" t="s">
        <v>4872</v>
      </c>
      <c r="AF1968">
        <v>70</v>
      </c>
      <c r="AG1968">
        <v>171</v>
      </c>
      <c r="AH1968">
        <v>-1</v>
      </c>
    </row>
    <row r="1969" spans="1:36" ht="18.75" customHeight="1" x14ac:dyDescent="0.3">
      <c r="A1969" s="1">
        <v>2021138307217</v>
      </c>
      <c r="B1969" t="s">
        <v>125</v>
      </c>
      <c r="C1969" t="s">
        <v>5195</v>
      </c>
      <c r="D1969" t="s">
        <v>5192</v>
      </c>
      <c r="E1969" t="s">
        <v>718</v>
      </c>
      <c r="F1969">
        <v>160</v>
      </c>
      <c r="G1969">
        <v>44205</v>
      </c>
      <c r="H1969">
        <v>45197</v>
      </c>
      <c r="I1969">
        <v>45196</v>
      </c>
      <c r="J1969">
        <v>45217</v>
      </c>
      <c r="K1969">
        <v>45217</v>
      </c>
      <c r="L1969" t="s">
        <v>135</v>
      </c>
      <c r="M1969" t="s">
        <v>46</v>
      </c>
      <c r="N1969" t="s">
        <v>127</v>
      </c>
      <c r="O1969" t="s">
        <v>2555</v>
      </c>
      <c r="Q1969" t="s">
        <v>49</v>
      </c>
      <c r="R1969">
        <v>0</v>
      </c>
      <c r="S1969">
        <v>0</v>
      </c>
      <c r="T1969">
        <v>0</v>
      </c>
      <c r="U1969" t="s">
        <v>5196</v>
      </c>
      <c r="W1969">
        <v>29710291201071</v>
      </c>
      <c r="AC1969" t="s">
        <v>1483</v>
      </c>
      <c r="AF1969">
        <v>70</v>
      </c>
      <c r="AG1969">
        <v>175</v>
      </c>
      <c r="AH1969">
        <v>-5</v>
      </c>
      <c r="AJ1969" t="s">
        <v>5197</v>
      </c>
    </row>
    <row r="1970" spans="1:36" ht="18.75" customHeight="1" x14ac:dyDescent="0.3">
      <c r="A1970" s="1">
        <v>2023138306893</v>
      </c>
      <c r="B1970" t="s">
        <v>125</v>
      </c>
      <c r="C1970" t="s">
        <v>5198</v>
      </c>
      <c r="D1970" t="s">
        <v>5192</v>
      </c>
      <c r="E1970" t="s">
        <v>718</v>
      </c>
      <c r="F1970">
        <v>162</v>
      </c>
      <c r="G1970">
        <v>44941</v>
      </c>
      <c r="H1970">
        <v>44941</v>
      </c>
      <c r="I1970">
        <v>44941</v>
      </c>
      <c r="J1970">
        <v>45967</v>
      </c>
      <c r="K1970">
        <v>45967</v>
      </c>
      <c r="L1970" t="s">
        <v>135</v>
      </c>
      <c r="M1970" t="s">
        <v>46</v>
      </c>
      <c r="N1970" t="s">
        <v>127</v>
      </c>
      <c r="O1970" t="s">
        <v>2555</v>
      </c>
      <c r="P1970" t="s">
        <v>49</v>
      </c>
      <c r="R1970">
        <v>0</v>
      </c>
      <c r="S1970">
        <v>0</v>
      </c>
      <c r="T1970">
        <v>0</v>
      </c>
      <c r="U1970" t="s">
        <v>5199</v>
      </c>
      <c r="V1970" t="s">
        <v>5200</v>
      </c>
      <c r="W1970">
        <v>30402221900415</v>
      </c>
      <c r="AC1970" t="s">
        <v>5201</v>
      </c>
      <c r="AF1970">
        <v>73</v>
      </c>
      <c r="AG1970">
        <v>177</v>
      </c>
      <c r="AH1970">
        <v>-4</v>
      </c>
    </row>
    <row r="1971" spans="1:36" ht="18.75" customHeight="1" x14ac:dyDescent="0.3">
      <c r="A1971" s="1">
        <v>2007138303926</v>
      </c>
      <c r="B1971" t="s">
        <v>3897</v>
      </c>
      <c r="C1971" t="s">
        <v>5202</v>
      </c>
      <c r="D1971" t="s">
        <v>5203</v>
      </c>
      <c r="E1971" t="s">
        <v>718</v>
      </c>
      <c r="F1971">
        <v>140</v>
      </c>
      <c r="G1971">
        <v>39111</v>
      </c>
      <c r="H1971">
        <v>39567</v>
      </c>
      <c r="I1971">
        <v>45108</v>
      </c>
      <c r="J1971">
        <v>45222</v>
      </c>
      <c r="K1971">
        <v>45222</v>
      </c>
      <c r="L1971" t="s">
        <v>135</v>
      </c>
      <c r="M1971" t="s">
        <v>136</v>
      </c>
      <c r="N1971" t="s">
        <v>127</v>
      </c>
      <c r="O1971" t="s">
        <v>4464</v>
      </c>
      <c r="P1971" t="s">
        <v>49</v>
      </c>
      <c r="R1971">
        <v>13</v>
      </c>
      <c r="S1971">
        <v>1</v>
      </c>
      <c r="T1971">
        <v>0</v>
      </c>
      <c r="U1971" t="s">
        <v>5204</v>
      </c>
      <c r="W1971">
        <v>28704160201498</v>
      </c>
      <c r="AF1971">
        <v>74</v>
      </c>
      <c r="AG1971">
        <v>180</v>
      </c>
      <c r="AH1971">
        <v>-6</v>
      </c>
    </row>
    <row r="1972" spans="1:36" ht="18.75" customHeight="1" x14ac:dyDescent="0.3">
      <c r="A1972" s="1">
        <v>2011130401539</v>
      </c>
      <c r="B1972" t="s">
        <v>75</v>
      </c>
      <c r="C1972" t="s">
        <v>5205</v>
      </c>
      <c r="D1972" t="s">
        <v>5203</v>
      </c>
      <c r="E1972" t="s">
        <v>718</v>
      </c>
      <c r="F1972">
        <v>145</v>
      </c>
      <c r="G1972">
        <v>40563</v>
      </c>
      <c r="H1972">
        <v>41029</v>
      </c>
      <c r="I1972">
        <v>45402</v>
      </c>
      <c r="J1972">
        <v>45582</v>
      </c>
      <c r="K1972">
        <v>45582</v>
      </c>
      <c r="L1972" t="s">
        <v>135</v>
      </c>
      <c r="M1972" t="s">
        <v>1720</v>
      </c>
      <c r="N1972" t="s">
        <v>127</v>
      </c>
      <c r="O1972" t="s">
        <v>5206</v>
      </c>
      <c r="P1972" t="s">
        <v>49</v>
      </c>
      <c r="R1972">
        <v>0</v>
      </c>
      <c r="S1972">
        <v>1</v>
      </c>
      <c r="T1972">
        <v>0</v>
      </c>
      <c r="U1972" t="s">
        <v>5207</v>
      </c>
      <c r="V1972" t="s">
        <v>5208</v>
      </c>
      <c r="W1972">
        <v>29203141202011</v>
      </c>
      <c r="AC1972" t="s">
        <v>5209</v>
      </c>
      <c r="AF1972">
        <v>75</v>
      </c>
      <c r="AG1972">
        <v>173</v>
      </c>
      <c r="AH1972">
        <v>2</v>
      </c>
    </row>
    <row r="1973" spans="1:36" ht="18.75" customHeight="1" x14ac:dyDescent="0.3">
      <c r="A1973" s="1">
        <v>2013138301505</v>
      </c>
      <c r="B1973" t="s">
        <v>75</v>
      </c>
      <c r="C1973" t="s">
        <v>5210</v>
      </c>
      <c r="D1973" t="s">
        <v>5203</v>
      </c>
      <c r="E1973" t="s">
        <v>718</v>
      </c>
      <c r="G1973">
        <v>41322</v>
      </c>
      <c r="H1973">
        <v>41777</v>
      </c>
      <c r="I1973">
        <v>45474</v>
      </c>
      <c r="J1973">
        <v>45647</v>
      </c>
      <c r="K1973">
        <v>45647</v>
      </c>
      <c r="L1973" t="s">
        <v>135</v>
      </c>
      <c r="M1973" t="s">
        <v>1720</v>
      </c>
      <c r="N1973" t="s">
        <v>127</v>
      </c>
      <c r="O1973" t="s">
        <v>4464</v>
      </c>
      <c r="Q1973" t="s">
        <v>49</v>
      </c>
      <c r="R1973">
        <v>7</v>
      </c>
      <c r="S1973">
        <v>0</v>
      </c>
      <c r="T1973">
        <v>0</v>
      </c>
      <c r="U1973" t="s">
        <v>5211</v>
      </c>
      <c r="V1973" t="s">
        <v>5212</v>
      </c>
      <c r="W1973">
        <v>29308101302516</v>
      </c>
      <c r="AF1973">
        <v>75</v>
      </c>
      <c r="AG1973">
        <v>173</v>
      </c>
      <c r="AH1973">
        <v>2</v>
      </c>
    </row>
    <row r="1974" spans="1:36" ht="18.75" customHeight="1" x14ac:dyDescent="0.3">
      <c r="A1974" s="1">
        <v>2015138312037</v>
      </c>
      <c r="B1974" t="s">
        <v>106</v>
      </c>
      <c r="C1974" t="s">
        <v>5213</v>
      </c>
      <c r="D1974" t="s">
        <v>5203</v>
      </c>
      <c r="E1974" t="s">
        <v>718</v>
      </c>
      <c r="F1974">
        <v>154</v>
      </c>
      <c r="G1974">
        <v>42027</v>
      </c>
      <c r="H1974">
        <v>42790</v>
      </c>
      <c r="I1974">
        <v>44743</v>
      </c>
      <c r="J1974">
        <v>44872</v>
      </c>
      <c r="K1974">
        <v>44872</v>
      </c>
      <c r="L1974" t="s">
        <v>135</v>
      </c>
      <c r="M1974" t="s">
        <v>1720</v>
      </c>
      <c r="N1974" t="s">
        <v>127</v>
      </c>
      <c r="O1974" t="s">
        <v>4464</v>
      </c>
      <c r="P1974" t="s">
        <v>49</v>
      </c>
      <c r="R1974">
        <v>5</v>
      </c>
      <c r="S1974">
        <v>0</v>
      </c>
      <c r="T1974">
        <v>0</v>
      </c>
      <c r="U1974" t="s">
        <v>5214</v>
      </c>
      <c r="V1974" t="s">
        <v>5215</v>
      </c>
      <c r="W1974">
        <v>29711252500939</v>
      </c>
      <c r="AF1974">
        <v>70</v>
      </c>
      <c r="AG1974">
        <v>173</v>
      </c>
      <c r="AH1974">
        <v>-3</v>
      </c>
    </row>
    <row r="1975" spans="1:36" ht="18.75" customHeight="1" x14ac:dyDescent="0.3">
      <c r="A1975" s="1">
        <v>2015138320494</v>
      </c>
      <c r="B1975" t="s">
        <v>106</v>
      </c>
      <c r="C1975" t="s">
        <v>5216</v>
      </c>
      <c r="D1975" t="s">
        <v>5203</v>
      </c>
      <c r="E1975" t="s">
        <v>718</v>
      </c>
      <c r="F1975">
        <v>155</v>
      </c>
      <c r="G1975">
        <v>42369</v>
      </c>
      <c r="H1975">
        <v>42932</v>
      </c>
      <c r="I1975">
        <v>44927</v>
      </c>
      <c r="J1975">
        <v>44889</v>
      </c>
      <c r="K1975">
        <v>44889</v>
      </c>
      <c r="L1975" t="s">
        <v>135</v>
      </c>
      <c r="M1975" t="s">
        <v>1720</v>
      </c>
      <c r="N1975" t="s">
        <v>127</v>
      </c>
      <c r="O1975" t="s">
        <v>4464</v>
      </c>
      <c r="Q1975" t="s">
        <v>49</v>
      </c>
      <c r="U1975" t="s">
        <v>5208</v>
      </c>
      <c r="V1975" t="s">
        <v>5217</v>
      </c>
      <c r="W1975">
        <v>29601011356179</v>
      </c>
      <c r="AC1975" t="s">
        <v>5218</v>
      </c>
      <c r="AF1975">
        <v>80</v>
      </c>
      <c r="AG1975">
        <v>182</v>
      </c>
      <c r="AH1975">
        <v>-2</v>
      </c>
    </row>
    <row r="1976" spans="1:36" ht="18.75" customHeight="1" x14ac:dyDescent="0.3">
      <c r="A1976" s="1">
        <v>2016138301723</v>
      </c>
      <c r="B1976" t="s">
        <v>106</v>
      </c>
      <c r="C1976" t="s">
        <v>5219</v>
      </c>
      <c r="D1976" t="s">
        <v>5203</v>
      </c>
      <c r="E1976" t="s">
        <v>718</v>
      </c>
      <c r="F1976">
        <v>156</v>
      </c>
      <c r="G1976">
        <v>43305</v>
      </c>
      <c r="H1976">
        <v>43321</v>
      </c>
      <c r="I1976">
        <v>45292</v>
      </c>
      <c r="J1976">
        <v>45226</v>
      </c>
      <c r="K1976">
        <v>45226</v>
      </c>
      <c r="L1976" t="s">
        <v>135</v>
      </c>
      <c r="M1976" t="s">
        <v>1720</v>
      </c>
      <c r="N1976" t="s">
        <v>127</v>
      </c>
      <c r="O1976" t="s">
        <v>4464</v>
      </c>
      <c r="Q1976" t="s">
        <v>49</v>
      </c>
      <c r="R1976">
        <v>0</v>
      </c>
      <c r="S1976">
        <v>0</v>
      </c>
      <c r="T1976">
        <v>0</v>
      </c>
      <c r="U1976" t="s">
        <v>5220</v>
      </c>
      <c r="W1976" t="s">
        <v>5221</v>
      </c>
      <c r="AC1976" t="s">
        <v>5222</v>
      </c>
      <c r="AF1976">
        <v>80</v>
      </c>
      <c r="AG1976">
        <v>188</v>
      </c>
      <c r="AH1976">
        <v>-8</v>
      </c>
    </row>
    <row r="1977" spans="1:36" ht="18.75" customHeight="1" x14ac:dyDescent="0.3">
      <c r="A1977" s="1">
        <v>2017131804144</v>
      </c>
      <c r="B1977" t="s">
        <v>106</v>
      </c>
      <c r="C1977" t="s">
        <v>5223</v>
      </c>
      <c r="D1977" t="s">
        <v>5203</v>
      </c>
      <c r="E1977" t="s">
        <v>718</v>
      </c>
      <c r="G1977">
        <v>42930</v>
      </c>
      <c r="H1977">
        <v>43663</v>
      </c>
      <c r="I1977">
        <v>45658</v>
      </c>
      <c r="J1977">
        <v>43679</v>
      </c>
      <c r="K1977">
        <v>45645</v>
      </c>
      <c r="L1977" t="s">
        <v>135</v>
      </c>
      <c r="M1977" t="s">
        <v>46</v>
      </c>
      <c r="N1977" t="s">
        <v>127</v>
      </c>
      <c r="O1977" t="s">
        <v>743</v>
      </c>
      <c r="Q1977" t="s">
        <v>49</v>
      </c>
      <c r="R1977">
        <v>8</v>
      </c>
      <c r="S1977">
        <v>0</v>
      </c>
      <c r="T1977">
        <v>0</v>
      </c>
      <c r="U1977" t="s">
        <v>5224</v>
      </c>
      <c r="V1977" t="s">
        <v>5225</v>
      </c>
      <c r="W1977">
        <v>29708061201418</v>
      </c>
      <c r="AF1977">
        <v>75</v>
      </c>
      <c r="AG1977">
        <v>172</v>
      </c>
      <c r="AH1977">
        <v>3</v>
      </c>
    </row>
    <row r="1978" spans="1:36" ht="18.75" customHeight="1" x14ac:dyDescent="0.3">
      <c r="A1978" s="1">
        <v>2019138314613</v>
      </c>
      <c r="B1978" t="s">
        <v>125</v>
      </c>
      <c r="C1978" t="s">
        <v>5226</v>
      </c>
      <c r="D1978" t="s">
        <v>5203</v>
      </c>
      <c r="E1978" t="s">
        <v>718</v>
      </c>
      <c r="F1978">
        <v>159</v>
      </c>
      <c r="G1978">
        <v>43707</v>
      </c>
      <c r="H1978">
        <v>44482</v>
      </c>
      <c r="I1978">
        <v>44482</v>
      </c>
      <c r="J1978">
        <v>44496</v>
      </c>
      <c r="K1978">
        <v>44496</v>
      </c>
      <c r="L1978" t="s">
        <v>135</v>
      </c>
      <c r="M1978" t="s">
        <v>1720</v>
      </c>
      <c r="N1978" t="s">
        <v>127</v>
      </c>
      <c r="O1978" t="s">
        <v>4464</v>
      </c>
      <c r="P1978" t="s">
        <v>49</v>
      </c>
      <c r="R1978">
        <v>0</v>
      </c>
      <c r="S1978">
        <v>0</v>
      </c>
      <c r="T1978">
        <v>0</v>
      </c>
      <c r="U1978" t="s">
        <v>5227</v>
      </c>
      <c r="V1978" t="s">
        <v>5228</v>
      </c>
      <c r="W1978">
        <v>30301011710799</v>
      </c>
      <c r="AC1978" t="s">
        <v>5229</v>
      </c>
      <c r="AF1978">
        <v>77</v>
      </c>
      <c r="AG1978">
        <v>179</v>
      </c>
      <c r="AH1978">
        <v>-2</v>
      </c>
    </row>
    <row r="1979" spans="1:36" ht="18.75" customHeight="1" x14ac:dyDescent="0.3">
      <c r="A1979" s="1">
        <v>2019138317138</v>
      </c>
      <c r="B1979" t="s">
        <v>125</v>
      </c>
      <c r="C1979" t="s">
        <v>5230</v>
      </c>
      <c r="D1979" t="s">
        <v>5203</v>
      </c>
      <c r="E1979" t="s">
        <v>718</v>
      </c>
      <c r="F1979">
        <v>159</v>
      </c>
      <c r="G1979">
        <v>43707</v>
      </c>
      <c r="H1979">
        <v>44482</v>
      </c>
      <c r="I1979">
        <v>44482</v>
      </c>
      <c r="J1979">
        <v>44482</v>
      </c>
      <c r="K1979">
        <v>44482</v>
      </c>
      <c r="L1979" t="s">
        <v>135</v>
      </c>
      <c r="M1979" t="s">
        <v>1720</v>
      </c>
      <c r="N1979" t="s">
        <v>127</v>
      </c>
      <c r="O1979" t="s">
        <v>4464</v>
      </c>
      <c r="P1979" t="s">
        <v>49</v>
      </c>
      <c r="R1979">
        <v>0</v>
      </c>
      <c r="S1979">
        <v>0</v>
      </c>
      <c r="T1979">
        <v>0</v>
      </c>
      <c r="U1979" t="s">
        <v>5231</v>
      </c>
      <c r="V1979" t="s">
        <v>5232</v>
      </c>
      <c r="W1979">
        <v>30111242200633</v>
      </c>
      <c r="AF1979">
        <v>70</v>
      </c>
      <c r="AG1979">
        <v>171</v>
      </c>
      <c r="AH1979">
        <v>-1</v>
      </c>
    </row>
    <row r="1980" spans="1:36" ht="18.75" customHeight="1" x14ac:dyDescent="0.3">
      <c r="A1980" s="1">
        <v>2021138314163</v>
      </c>
      <c r="B1980" t="s">
        <v>125</v>
      </c>
      <c r="C1980" t="s">
        <v>5233</v>
      </c>
      <c r="D1980" t="s">
        <v>5203</v>
      </c>
      <c r="E1980" t="s">
        <v>718</v>
      </c>
      <c r="F1980">
        <v>161</v>
      </c>
      <c r="G1980">
        <v>44561</v>
      </c>
      <c r="H1980">
        <v>45581</v>
      </c>
      <c r="I1980">
        <v>45581</v>
      </c>
      <c r="J1980">
        <v>45582</v>
      </c>
      <c r="K1980">
        <v>45582</v>
      </c>
      <c r="L1980" t="s">
        <v>135</v>
      </c>
      <c r="M1980" t="s">
        <v>1720</v>
      </c>
      <c r="N1980" t="s">
        <v>127</v>
      </c>
      <c r="O1980" t="s">
        <v>4464</v>
      </c>
      <c r="P1980" t="s">
        <v>49</v>
      </c>
      <c r="U1980" t="s">
        <v>5234</v>
      </c>
      <c r="V1980" t="s">
        <v>5235</v>
      </c>
      <c r="W1980">
        <v>30404111601656</v>
      </c>
      <c r="AF1980">
        <v>70</v>
      </c>
      <c r="AG1980">
        <v>176</v>
      </c>
      <c r="AH1980">
        <v>-6</v>
      </c>
    </row>
    <row r="1981" spans="1:36" ht="18.75" customHeight="1" x14ac:dyDescent="0.3">
      <c r="A1981" s="1">
        <v>2021138316713</v>
      </c>
      <c r="B1981" t="s">
        <v>125</v>
      </c>
      <c r="C1981" t="s">
        <v>5236</v>
      </c>
      <c r="D1981" t="s">
        <v>5203</v>
      </c>
      <c r="E1981" t="s">
        <v>718</v>
      </c>
      <c r="F1981">
        <v>161</v>
      </c>
      <c r="G1981">
        <v>44561</v>
      </c>
      <c r="H1981">
        <v>45581</v>
      </c>
      <c r="I1981">
        <v>45581</v>
      </c>
      <c r="J1981">
        <v>45581</v>
      </c>
      <c r="K1981">
        <v>45581</v>
      </c>
      <c r="L1981" t="s">
        <v>135</v>
      </c>
      <c r="M1981" t="s">
        <v>1720</v>
      </c>
      <c r="N1981" t="s">
        <v>127</v>
      </c>
      <c r="O1981" t="s">
        <v>4464</v>
      </c>
      <c r="P1981" t="s">
        <v>49</v>
      </c>
      <c r="R1981">
        <v>0</v>
      </c>
      <c r="S1981">
        <v>0</v>
      </c>
      <c r="T1981">
        <v>0</v>
      </c>
      <c r="U1981" t="s">
        <v>5237</v>
      </c>
      <c r="V1981" t="s">
        <v>5238</v>
      </c>
      <c r="W1981">
        <v>30205131601374</v>
      </c>
      <c r="AF1981">
        <v>77</v>
      </c>
      <c r="AG1981">
        <v>184</v>
      </c>
      <c r="AH1981">
        <v>-7</v>
      </c>
    </row>
    <row r="1982" spans="1:36" ht="18.75" customHeight="1" x14ac:dyDescent="0.3">
      <c r="A1982" s="1">
        <v>2023138301778</v>
      </c>
      <c r="B1982" t="s">
        <v>125</v>
      </c>
      <c r="C1982" t="s">
        <v>5239</v>
      </c>
      <c r="D1982" t="s">
        <v>5203</v>
      </c>
      <c r="E1982" t="s">
        <v>718</v>
      </c>
      <c r="F1982">
        <v>162</v>
      </c>
      <c r="G1982">
        <v>44956</v>
      </c>
      <c r="H1982">
        <v>45976</v>
      </c>
      <c r="I1982">
        <v>45976</v>
      </c>
      <c r="J1982">
        <v>45976</v>
      </c>
      <c r="K1982">
        <v>45976</v>
      </c>
      <c r="L1982" t="s">
        <v>135</v>
      </c>
      <c r="M1982" t="s">
        <v>1720</v>
      </c>
      <c r="N1982" t="s">
        <v>127</v>
      </c>
      <c r="O1982" t="s">
        <v>4464</v>
      </c>
      <c r="P1982" t="s">
        <v>49</v>
      </c>
      <c r="R1982">
        <v>0</v>
      </c>
      <c r="S1982">
        <v>0</v>
      </c>
      <c r="T1982">
        <v>0</v>
      </c>
      <c r="U1982" t="s">
        <v>5240</v>
      </c>
      <c r="W1982">
        <v>30405200103976</v>
      </c>
      <c r="AF1982">
        <v>70</v>
      </c>
      <c r="AG1982">
        <v>173</v>
      </c>
      <c r="AH1982">
        <v>-3</v>
      </c>
    </row>
    <row r="1983" spans="1:36" ht="18.75" customHeight="1" x14ac:dyDescent="0.3">
      <c r="A1983" s="1">
        <v>2023131800462</v>
      </c>
      <c r="B1983" t="s">
        <v>125</v>
      </c>
      <c r="C1983" t="s">
        <v>5241</v>
      </c>
      <c r="D1983" t="s">
        <v>5242</v>
      </c>
      <c r="E1983" t="s">
        <v>850</v>
      </c>
      <c r="F1983">
        <v>162</v>
      </c>
      <c r="G1983">
        <v>44941</v>
      </c>
      <c r="H1983">
        <v>45976</v>
      </c>
      <c r="I1983">
        <v>45976</v>
      </c>
      <c r="M1983" t="s">
        <v>46</v>
      </c>
      <c r="N1983" t="s">
        <v>727</v>
      </c>
      <c r="O1983" t="s">
        <v>4585</v>
      </c>
      <c r="Q1983" t="s">
        <v>49</v>
      </c>
      <c r="R1983">
        <v>1</v>
      </c>
      <c r="S1983">
        <v>0</v>
      </c>
      <c r="T1983">
        <v>0</v>
      </c>
      <c r="U1983" t="s">
        <v>5243</v>
      </c>
      <c r="V1983" t="s">
        <v>5244</v>
      </c>
      <c r="X1983">
        <v>38250</v>
      </c>
      <c r="Y1983" t="s">
        <v>153</v>
      </c>
      <c r="AF1983">
        <v>60</v>
      </c>
      <c r="AG1983">
        <v>170</v>
      </c>
      <c r="AH1983">
        <v>-10</v>
      </c>
    </row>
    <row r="1984" spans="1:36" ht="18.75" customHeight="1" x14ac:dyDescent="0.3">
      <c r="A1984" s="1">
        <v>2015138313647</v>
      </c>
      <c r="B1984" t="s">
        <v>106</v>
      </c>
      <c r="C1984" t="s">
        <v>5245</v>
      </c>
      <c r="D1984" t="s">
        <v>4319</v>
      </c>
      <c r="E1984" t="s">
        <v>718</v>
      </c>
      <c r="F1984">
        <v>154</v>
      </c>
      <c r="G1984">
        <v>42239</v>
      </c>
      <c r="H1984">
        <v>42790</v>
      </c>
      <c r="I1984">
        <v>42940</v>
      </c>
      <c r="J1984">
        <v>44960</v>
      </c>
      <c r="K1984">
        <v>44960</v>
      </c>
      <c r="L1984" t="s">
        <v>45</v>
      </c>
      <c r="M1984" t="s">
        <v>751</v>
      </c>
      <c r="N1984" t="s">
        <v>127</v>
      </c>
      <c r="O1984" t="s">
        <v>4503</v>
      </c>
      <c r="P1984" t="s">
        <v>49</v>
      </c>
      <c r="R1984">
        <v>1</v>
      </c>
      <c r="S1984">
        <v>0</v>
      </c>
      <c r="T1984">
        <v>0</v>
      </c>
      <c r="U1984">
        <v>1019887050</v>
      </c>
      <c r="V1984" t="s">
        <v>5246</v>
      </c>
      <c r="W1984">
        <v>29705011609115</v>
      </c>
      <c r="AC1984" t="s">
        <v>4321</v>
      </c>
      <c r="AF1984">
        <v>71</v>
      </c>
      <c r="AG1984">
        <v>172</v>
      </c>
      <c r="AH1984">
        <v>-1</v>
      </c>
    </row>
    <row r="1985" spans="1:38" ht="18.75" customHeight="1" x14ac:dyDescent="0.3">
      <c r="A1985" s="1">
        <v>2017138301804</v>
      </c>
      <c r="B1985" t="s">
        <v>106</v>
      </c>
      <c r="C1985" t="s">
        <v>5247</v>
      </c>
      <c r="D1985" t="s">
        <v>4319</v>
      </c>
      <c r="E1985" t="s">
        <v>718</v>
      </c>
      <c r="F1985">
        <v>157</v>
      </c>
      <c r="G1985">
        <v>42930</v>
      </c>
      <c r="H1985">
        <v>42930</v>
      </c>
      <c r="I1985">
        <v>45658</v>
      </c>
      <c r="J1985">
        <v>45588</v>
      </c>
      <c r="K1985">
        <v>45588</v>
      </c>
      <c r="L1985" t="s">
        <v>135</v>
      </c>
      <c r="M1985" t="s">
        <v>751</v>
      </c>
      <c r="N1985" t="s">
        <v>127</v>
      </c>
      <c r="O1985" t="s">
        <v>4503</v>
      </c>
      <c r="P1985" t="s">
        <v>49</v>
      </c>
      <c r="R1985">
        <v>0</v>
      </c>
      <c r="S1985">
        <v>0</v>
      </c>
      <c r="T1985">
        <v>0</v>
      </c>
      <c r="U1985" t="s">
        <v>5248</v>
      </c>
      <c r="V1985" t="s">
        <v>5249</v>
      </c>
      <c r="W1985">
        <v>29410011347013</v>
      </c>
      <c r="AC1985" t="s">
        <v>3439</v>
      </c>
      <c r="AF1985">
        <v>75</v>
      </c>
      <c r="AG1985">
        <v>173</v>
      </c>
      <c r="AH1985">
        <v>2</v>
      </c>
    </row>
    <row r="1986" spans="1:38" ht="18.75" customHeight="1" x14ac:dyDescent="0.3">
      <c r="A1986" s="1">
        <v>2021138600413</v>
      </c>
      <c r="B1986" t="s">
        <v>125</v>
      </c>
      <c r="C1986" t="s">
        <v>5250</v>
      </c>
      <c r="D1986" t="s">
        <v>4319</v>
      </c>
      <c r="E1986" t="s">
        <v>718</v>
      </c>
      <c r="F1986">
        <v>160</v>
      </c>
      <c r="G1986">
        <v>44220</v>
      </c>
      <c r="H1986">
        <v>45197</v>
      </c>
      <c r="I1986">
        <v>45197</v>
      </c>
      <c r="J1986">
        <v>45315</v>
      </c>
      <c r="K1986">
        <v>45315</v>
      </c>
      <c r="L1986" t="s">
        <v>45</v>
      </c>
      <c r="M1986" t="s">
        <v>751</v>
      </c>
      <c r="N1986" t="s">
        <v>127</v>
      </c>
      <c r="O1986" t="s">
        <v>4503</v>
      </c>
      <c r="P1986" t="s">
        <v>49</v>
      </c>
      <c r="R1986">
        <v>0</v>
      </c>
      <c r="S1986">
        <v>0</v>
      </c>
      <c r="T1986">
        <v>0</v>
      </c>
      <c r="U1986" t="s">
        <v>5251</v>
      </c>
      <c r="V1986" t="s">
        <v>5252</v>
      </c>
      <c r="W1986">
        <v>30005281701572</v>
      </c>
      <c r="AC1986" t="s">
        <v>5253</v>
      </c>
      <c r="AF1986">
        <v>72</v>
      </c>
      <c r="AG1986">
        <v>173</v>
      </c>
      <c r="AH1986">
        <v>-1</v>
      </c>
      <c r="AJ1986" t="s">
        <v>5197</v>
      </c>
    </row>
    <row r="1987" spans="1:38" ht="18.75" customHeight="1" x14ac:dyDescent="0.3">
      <c r="A1987" s="1">
        <v>2018132701610</v>
      </c>
      <c r="B1987" t="s">
        <v>75</v>
      </c>
      <c r="C1987" t="s">
        <v>5254</v>
      </c>
      <c r="D1987" t="s">
        <v>5255</v>
      </c>
      <c r="E1987" t="s">
        <v>718</v>
      </c>
      <c r="F1987" t="s">
        <v>3130</v>
      </c>
      <c r="G1987">
        <v>43419</v>
      </c>
      <c r="H1987">
        <v>44123</v>
      </c>
      <c r="I1987">
        <v>46023</v>
      </c>
      <c r="J1987">
        <v>45971</v>
      </c>
      <c r="K1987">
        <v>45971</v>
      </c>
      <c r="L1987" t="s">
        <v>1599</v>
      </c>
      <c r="M1987" t="s">
        <v>264</v>
      </c>
      <c r="N1987" t="s">
        <v>127</v>
      </c>
      <c r="O1987" t="s">
        <v>1237</v>
      </c>
      <c r="P1987" t="s">
        <v>49</v>
      </c>
      <c r="R1987">
        <v>0</v>
      </c>
      <c r="S1987">
        <v>0</v>
      </c>
      <c r="T1987">
        <v>0</v>
      </c>
      <c r="U1987" t="s">
        <v>5256</v>
      </c>
      <c r="W1987">
        <v>29809012620694</v>
      </c>
      <c r="AC1987" t="s">
        <v>2013</v>
      </c>
      <c r="AF1987">
        <v>75</v>
      </c>
      <c r="AG1987">
        <v>174</v>
      </c>
      <c r="AH1987">
        <v>1</v>
      </c>
    </row>
    <row r="1988" spans="1:38" ht="18.75" customHeight="1" x14ac:dyDescent="0.3">
      <c r="A1988" s="1">
        <v>2018132701636</v>
      </c>
      <c r="B1988" t="s">
        <v>75</v>
      </c>
      <c r="C1988" t="s">
        <v>5257</v>
      </c>
      <c r="D1988" t="s">
        <v>5255</v>
      </c>
      <c r="E1988" t="s">
        <v>718</v>
      </c>
      <c r="F1988" t="s">
        <v>3130</v>
      </c>
      <c r="G1988">
        <v>43419</v>
      </c>
      <c r="H1988">
        <v>44123</v>
      </c>
      <c r="I1988">
        <v>46023</v>
      </c>
      <c r="J1988">
        <v>45971</v>
      </c>
      <c r="K1988">
        <v>45971</v>
      </c>
      <c r="L1988" t="s">
        <v>1599</v>
      </c>
      <c r="M1988" t="s">
        <v>264</v>
      </c>
      <c r="N1988" t="s">
        <v>127</v>
      </c>
      <c r="O1988" t="s">
        <v>1237</v>
      </c>
      <c r="P1988" t="s">
        <v>49</v>
      </c>
      <c r="R1988">
        <v>0</v>
      </c>
      <c r="S1988">
        <v>0</v>
      </c>
      <c r="T1988">
        <v>0</v>
      </c>
      <c r="U1988" t="s">
        <v>5258</v>
      </c>
      <c r="W1988">
        <v>29909062602179</v>
      </c>
      <c r="AC1988" t="s">
        <v>5259</v>
      </c>
      <c r="AF1988">
        <v>70</v>
      </c>
      <c r="AG1988">
        <v>167</v>
      </c>
      <c r="AH1988">
        <v>3</v>
      </c>
    </row>
    <row r="1989" spans="1:38" ht="18.75" customHeight="1" x14ac:dyDescent="0.3">
      <c r="A1989" s="1">
        <v>2018132701660</v>
      </c>
      <c r="B1989" t="s">
        <v>75</v>
      </c>
      <c r="C1989" t="s">
        <v>5260</v>
      </c>
      <c r="D1989" t="s">
        <v>5255</v>
      </c>
      <c r="E1989" t="s">
        <v>718</v>
      </c>
      <c r="F1989" t="s">
        <v>3130</v>
      </c>
      <c r="G1989">
        <v>43419</v>
      </c>
      <c r="H1989">
        <v>44123</v>
      </c>
      <c r="I1989">
        <v>46023</v>
      </c>
      <c r="J1989">
        <v>45971</v>
      </c>
      <c r="K1989">
        <v>45971</v>
      </c>
      <c r="L1989" t="s">
        <v>263</v>
      </c>
      <c r="M1989" t="s">
        <v>264</v>
      </c>
      <c r="N1989" t="s">
        <v>127</v>
      </c>
      <c r="O1989" t="s">
        <v>1237</v>
      </c>
      <c r="P1989" t="s">
        <v>49</v>
      </c>
      <c r="R1989">
        <v>4</v>
      </c>
      <c r="S1989">
        <v>0</v>
      </c>
      <c r="T1989">
        <v>0</v>
      </c>
      <c r="U1989" t="s">
        <v>5261</v>
      </c>
      <c r="W1989">
        <v>30005282501038</v>
      </c>
      <c r="AC1989" t="s">
        <v>5262</v>
      </c>
      <c r="AF1989">
        <v>70</v>
      </c>
      <c r="AG1989">
        <v>173</v>
      </c>
      <c r="AH1989">
        <v>-3</v>
      </c>
    </row>
    <row r="1990" spans="1:38" ht="18.75" customHeight="1" x14ac:dyDescent="0.3">
      <c r="A1990" s="1">
        <v>2001130400996</v>
      </c>
      <c r="B1990" t="s">
        <v>210</v>
      </c>
      <c r="C1990" t="s">
        <v>5263</v>
      </c>
      <c r="D1990" t="s">
        <v>5264</v>
      </c>
      <c r="E1990" t="s">
        <v>718</v>
      </c>
      <c r="F1990">
        <v>102</v>
      </c>
      <c r="G1990">
        <v>37226</v>
      </c>
      <c r="H1990">
        <v>37696</v>
      </c>
      <c r="I1990">
        <v>45108</v>
      </c>
      <c r="J1990">
        <v>45971</v>
      </c>
      <c r="K1990">
        <v>45971</v>
      </c>
      <c r="L1990" t="s">
        <v>135</v>
      </c>
      <c r="M1990" t="s">
        <v>158</v>
      </c>
      <c r="N1990" t="s">
        <v>127</v>
      </c>
      <c r="O1990" t="s">
        <v>78</v>
      </c>
      <c r="P1990" t="s">
        <v>49</v>
      </c>
      <c r="R1990">
        <v>1</v>
      </c>
      <c r="S1990">
        <v>0</v>
      </c>
      <c r="T1990">
        <v>0</v>
      </c>
      <c r="U1990" t="s">
        <v>5265</v>
      </c>
      <c r="V1990" t="s">
        <v>5266</v>
      </c>
      <c r="W1990">
        <v>28412091202559</v>
      </c>
      <c r="AC1990" t="s">
        <v>5267</v>
      </c>
      <c r="AF1990">
        <v>97</v>
      </c>
      <c r="AG1990">
        <v>180</v>
      </c>
      <c r="AH1990">
        <v>17</v>
      </c>
      <c r="AL1990" t="s">
        <v>5268</v>
      </c>
    </row>
    <row r="1991" spans="1:38" ht="18.75" customHeight="1" x14ac:dyDescent="0.3">
      <c r="A1991" s="1">
        <v>2014138302717</v>
      </c>
      <c r="B1991" t="s">
        <v>75</v>
      </c>
      <c r="C1991" t="s">
        <v>5269</v>
      </c>
      <c r="D1991" t="s">
        <v>5264</v>
      </c>
      <c r="E1991" t="s">
        <v>718</v>
      </c>
      <c r="F1991">
        <v>151</v>
      </c>
      <c r="G1991">
        <v>41665</v>
      </c>
      <c r="H1991">
        <v>42135</v>
      </c>
      <c r="I1991">
        <v>46023</v>
      </c>
      <c r="J1991">
        <v>42633</v>
      </c>
      <c r="K1991">
        <v>44876</v>
      </c>
      <c r="L1991" t="s">
        <v>135</v>
      </c>
      <c r="M1991" t="s">
        <v>4510</v>
      </c>
      <c r="N1991" t="s">
        <v>127</v>
      </c>
      <c r="O1991" t="s">
        <v>5270</v>
      </c>
      <c r="P1991" t="s">
        <v>49</v>
      </c>
      <c r="R1991">
        <v>24</v>
      </c>
      <c r="S1991">
        <v>1</v>
      </c>
      <c r="T1991">
        <v>0</v>
      </c>
      <c r="U1991" t="s">
        <v>5271</v>
      </c>
      <c r="V1991" t="s">
        <v>5272</v>
      </c>
      <c r="W1991">
        <v>29410232601259</v>
      </c>
      <c r="AC1991" t="s">
        <v>5273</v>
      </c>
      <c r="AF1991">
        <v>69</v>
      </c>
      <c r="AG1991">
        <v>175</v>
      </c>
      <c r="AH1991">
        <v>-6</v>
      </c>
      <c r="AJ1991" t="s">
        <v>5274</v>
      </c>
    </row>
    <row r="1992" spans="1:38" ht="18.75" customHeight="1" x14ac:dyDescent="0.3">
      <c r="A1992" s="1">
        <v>2019131812086</v>
      </c>
      <c r="B1992" t="s">
        <v>125</v>
      </c>
      <c r="C1992" t="s">
        <v>5275</v>
      </c>
      <c r="D1992" t="s">
        <v>5276</v>
      </c>
      <c r="E1992" t="s">
        <v>718</v>
      </c>
      <c r="F1992">
        <v>159</v>
      </c>
      <c r="G1992">
        <v>43692</v>
      </c>
      <c r="H1992">
        <v>44482</v>
      </c>
      <c r="I1992">
        <v>45241</v>
      </c>
      <c r="J1992">
        <v>45241</v>
      </c>
      <c r="K1992">
        <v>45241</v>
      </c>
      <c r="L1992" t="s">
        <v>135</v>
      </c>
      <c r="M1992" t="s">
        <v>46</v>
      </c>
      <c r="N1992" t="s">
        <v>127</v>
      </c>
      <c r="O1992" t="s">
        <v>743</v>
      </c>
      <c r="P1992" t="s">
        <v>4544</v>
      </c>
      <c r="R1992">
        <v>4</v>
      </c>
      <c r="S1992">
        <v>0</v>
      </c>
      <c r="T1992">
        <v>0</v>
      </c>
      <c r="U1992" t="s">
        <v>5277</v>
      </c>
      <c r="V1992" t="s">
        <v>5278</v>
      </c>
      <c r="W1992">
        <v>29602172401031</v>
      </c>
      <c r="AC1992" t="s">
        <v>5279</v>
      </c>
      <c r="AF1992">
        <v>69</v>
      </c>
      <c r="AG1992">
        <v>164</v>
      </c>
      <c r="AH1992">
        <v>5</v>
      </c>
    </row>
    <row r="1993" spans="1:38" ht="18.75" customHeight="1" x14ac:dyDescent="0.3">
      <c r="A1993" s="1">
        <v>2023138305374</v>
      </c>
      <c r="B1993" t="s">
        <v>125</v>
      </c>
      <c r="C1993" t="s">
        <v>5280</v>
      </c>
      <c r="D1993" t="s">
        <v>5276</v>
      </c>
      <c r="E1993" t="s">
        <v>718</v>
      </c>
      <c r="F1993">
        <v>162</v>
      </c>
      <c r="G1993">
        <v>44941</v>
      </c>
      <c r="H1993">
        <v>45976</v>
      </c>
      <c r="I1993">
        <v>45967</v>
      </c>
      <c r="J1993">
        <v>45967</v>
      </c>
      <c r="K1993">
        <v>45967</v>
      </c>
      <c r="L1993" t="s">
        <v>135</v>
      </c>
      <c r="M1993" t="s">
        <v>726</v>
      </c>
      <c r="N1993" t="s">
        <v>127</v>
      </c>
      <c r="O1993" t="s">
        <v>5079</v>
      </c>
      <c r="P1993" t="s">
        <v>4544</v>
      </c>
      <c r="R1993">
        <v>0</v>
      </c>
      <c r="S1993">
        <v>0</v>
      </c>
      <c r="T1993">
        <v>0</v>
      </c>
      <c r="U1993" t="s">
        <v>5281</v>
      </c>
      <c r="V1993" t="s">
        <v>5282</v>
      </c>
      <c r="W1993">
        <v>30603292502592</v>
      </c>
      <c r="AC1993" t="s">
        <v>5283</v>
      </c>
      <c r="AF1993">
        <v>75</v>
      </c>
      <c r="AG1993">
        <v>178</v>
      </c>
      <c r="AH1993">
        <v>-3</v>
      </c>
    </row>
    <row r="1994" spans="1:38" ht="18.75" customHeight="1" x14ac:dyDescent="0.3">
      <c r="A1994" s="1">
        <v>2014138305943</v>
      </c>
      <c r="B1994" t="s">
        <v>75</v>
      </c>
      <c r="C1994" t="s">
        <v>5284</v>
      </c>
      <c r="D1994" t="s">
        <v>5285</v>
      </c>
      <c r="E1994" t="s">
        <v>718</v>
      </c>
      <c r="F1994">
        <v>151</v>
      </c>
      <c r="G1994">
        <v>41680</v>
      </c>
      <c r="H1994">
        <v>42135</v>
      </c>
      <c r="I1994">
        <v>45839</v>
      </c>
      <c r="J1994">
        <v>44499</v>
      </c>
      <c r="K1994">
        <v>44499</v>
      </c>
      <c r="R1994">
        <v>0</v>
      </c>
      <c r="S1994">
        <v>0</v>
      </c>
      <c r="T1994">
        <v>0</v>
      </c>
      <c r="U1994" t="s">
        <v>5286</v>
      </c>
      <c r="V1994" t="s">
        <v>5287</v>
      </c>
      <c r="W1994">
        <v>29501152200496</v>
      </c>
      <c r="X1994">
        <v>34714</v>
      </c>
      <c r="AD1994" t="s">
        <v>401</v>
      </c>
      <c r="AF1994">
        <v>77</v>
      </c>
      <c r="AG1994">
        <v>178</v>
      </c>
      <c r="AH1994">
        <v>-1</v>
      </c>
    </row>
    <row r="1995" spans="1:38" ht="18.75" customHeight="1" x14ac:dyDescent="0.3">
      <c r="A1995" s="1">
        <v>2015138300553</v>
      </c>
      <c r="B1995" t="s">
        <v>106</v>
      </c>
      <c r="C1995" t="s">
        <v>5288</v>
      </c>
      <c r="D1995" t="s">
        <v>5285</v>
      </c>
      <c r="E1995" t="s">
        <v>718</v>
      </c>
      <c r="F1995">
        <v>153</v>
      </c>
      <c r="G1995">
        <v>42045</v>
      </c>
      <c r="H1995">
        <v>42501</v>
      </c>
      <c r="I1995">
        <v>44378</v>
      </c>
      <c r="J1995">
        <v>45224</v>
      </c>
      <c r="K1995">
        <v>45224</v>
      </c>
      <c r="L1995" t="s">
        <v>135</v>
      </c>
      <c r="M1995" t="s">
        <v>554</v>
      </c>
      <c r="N1995" t="s">
        <v>127</v>
      </c>
      <c r="O1995" t="s">
        <v>2573</v>
      </c>
      <c r="P1995" t="s">
        <v>49</v>
      </c>
      <c r="R1995">
        <v>3</v>
      </c>
      <c r="S1995">
        <v>0</v>
      </c>
      <c r="T1995">
        <v>0</v>
      </c>
      <c r="U1995" t="s">
        <v>5287</v>
      </c>
      <c r="V1995" t="s">
        <v>5286</v>
      </c>
      <c r="W1995">
        <v>29704261800639</v>
      </c>
      <c r="X1995">
        <v>35546</v>
      </c>
      <c r="AD1995" t="s">
        <v>5289</v>
      </c>
      <c r="AF1995">
        <v>78</v>
      </c>
      <c r="AG1995">
        <v>178</v>
      </c>
      <c r="AH1995">
        <v>0</v>
      </c>
    </row>
    <row r="1996" spans="1:38" ht="18.75" customHeight="1" x14ac:dyDescent="0.3">
      <c r="A1996" s="1">
        <v>2017138305731</v>
      </c>
      <c r="B1996" t="s">
        <v>106</v>
      </c>
      <c r="C1996" t="s">
        <v>5290</v>
      </c>
      <c r="D1996" t="s">
        <v>5285</v>
      </c>
      <c r="E1996" t="s">
        <v>718</v>
      </c>
      <c r="F1996">
        <v>157</v>
      </c>
      <c r="G1996">
        <v>42930</v>
      </c>
      <c r="H1996">
        <v>43663</v>
      </c>
      <c r="I1996">
        <v>45658</v>
      </c>
      <c r="J1996">
        <v>45588</v>
      </c>
      <c r="K1996">
        <v>45588</v>
      </c>
      <c r="L1996" t="s">
        <v>135</v>
      </c>
      <c r="M1996" t="s">
        <v>554</v>
      </c>
      <c r="N1996" t="s">
        <v>127</v>
      </c>
      <c r="O1996" t="s">
        <v>579</v>
      </c>
      <c r="Q1996" t="s">
        <v>49</v>
      </c>
      <c r="R1996">
        <v>0</v>
      </c>
      <c r="S1996">
        <v>0</v>
      </c>
      <c r="T1996">
        <v>0</v>
      </c>
      <c r="U1996" t="s">
        <v>5291</v>
      </c>
      <c r="W1996" t="s">
        <v>5292</v>
      </c>
      <c r="X1996">
        <v>35796</v>
      </c>
      <c r="AD1996" t="s">
        <v>5293</v>
      </c>
      <c r="AF1996">
        <v>80</v>
      </c>
      <c r="AG1996">
        <v>185</v>
      </c>
      <c r="AH1996">
        <v>-5</v>
      </c>
    </row>
    <row r="1997" spans="1:38" ht="18.75" customHeight="1" x14ac:dyDescent="0.3">
      <c r="A1997" s="1">
        <v>2021132200730</v>
      </c>
      <c r="B1997" t="s">
        <v>125</v>
      </c>
      <c r="C1997" t="s">
        <v>5294</v>
      </c>
      <c r="D1997" t="s">
        <v>5285</v>
      </c>
      <c r="E1997" t="s">
        <v>718</v>
      </c>
      <c r="F1997">
        <v>161</v>
      </c>
      <c r="G1997">
        <v>44561</v>
      </c>
      <c r="H1997">
        <v>45581</v>
      </c>
      <c r="I1997">
        <v>45581</v>
      </c>
      <c r="J1997">
        <v>45581</v>
      </c>
      <c r="K1997">
        <v>45581</v>
      </c>
      <c r="L1997" t="s">
        <v>135</v>
      </c>
      <c r="M1997" t="s">
        <v>554</v>
      </c>
      <c r="N1997" t="s">
        <v>127</v>
      </c>
      <c r="O1997" t="s">
        <v>579</v>
      </c>
      <c r="P1997" t="s">
        <v>49</v>
      </c>
      <c r="R1997">
        <v>1</v>
      </c>
      <c r="S1997">
        <v>0</v>
      </c>
      <c r="T1997">
        <v>0</v>
      </c>
      <c r="U1997" t="s">
        <v>5295</v>
      </c>
      <c r="V1997" t="s">
        <v>5286</v>
      </c>
      <c r="W1997">
        <v>30503200200531</v>
      </c>
      <c r="X1997">
        <v>38431</v>
      </c>
      <c r="AD1997" t="s">
        <v>5296</v>
      </c>
      <c r="AF1997">
        <v>87</v>
      </c>
      <c r="AG1997">
        <v>186</v>
      </c>
      <c r="AH1997">
        <v>1</v>
      </c>
    </row>
    <row r="1998" spans="1:38" ht="18.75" customHeight="1" x14ac:dyDescent="0.3">
      <c r="A1998" s="1">
        <v>2021138316953</v>
      </c>
      <c r="B1998" t="s">
        <v>125</v>
      </c>
      <c r="C1998" t="s">
        <v>5297</v>
      </c>
      <c r="D1998" t="s">
        <v>5285</v>
      </c>
      <c r="E1998" t="s">
        <v>718</v>
      </c>
      <c r="F1998">
        <v>161</v>
      </c>
      <c r="G1998">
        <v>44561</v>
      </c>
      <c r="H1998">
        <v>45581</v>
      </c>
      <c r="I1998">
        <v>45581</v>
      </c>
      <c r="J1998">
        <v>45584</v>
      </c>
      <c r="K1998">
        <v>45584</v>
      </c>
      <c r="L1998" t="s">
        <v>135</v>
      </c>
      <c r="M1998" t="s">
        <v>554</v>
      </c>
      <c r="N1998" t="s">
        <v>127</v>
      </c>
      <c r="O1998" t="s">
        <v>3044</v>
      </c>
      <c r="P1998" t="s">
        <v>49</v>
      </c>
      <c r="R1998">
        <v>0</v>
      </c>
      <c r="S1998">
        <v>0</v>
      </c>
      <c r="T1998">
        <v>0</v>
      </c>
      <c r="U1998" t="s">
        <v>5298</v>
      </c>
      <c r="V1998" t="s">
        <v>5299</v>
      </c>
      <c r="W1998">
        <v>30311261500078</v>
      </c>
      <c r="X1998">
        <v>37951</v>
      </c>
      <c r="AD1998" t="s">
        <v>241</v>
      </c>
      <c r="AF1998">
        <v>79</v>
      </c>
      <c r="AG1998">
        <v>183</v>
      </c>
      <c r="AH1998">
        <v>-4</v>
      </c>
    </row>
    <row r="1999" spans="1:38" ht="18.75" customHeight="1" x14ac:dyDescent="0.3">
      <c r="A1999" s="1">
        <v>2023138303162</v>
      </c>
      <c r="B1999" t="s">
        <v>125</v>
      </c>
      <c r="C1999" t="s">
        <v>5300</v>
      </c>
      <c r="D1999" t="s">
        <v>5285</v>
      </c>
      <c r="E1999" t="s">
        <v>718</v>
      </c>
      <c r="F1999">
        <v>162</v>
      </c>
      <c r="G1999">
        <v>44956</v>
      </c>
      <c r="H1999">
        <v>45976</v>
      </c>
      <c r="I1999">
        <v>45976</v>
      </c>
      <c r="J1999">
        <v>45976</v>
      </c>
      <c r="K1999">
        <v>45976</v>
      </c>
      <c r="L1999" t="s">
        <v>135</v>
      </c>
      <c r="M1999" t="s">
        <v>554</v>
      </c>
      <c r="N1999" t="s">
        <v>127</v>
      </c>
      <c r="O1999" t="s">
        <v>579</v>
      </c>
      <c r="P1999" t="s">
        <v>49</v>
      </c>
      <c r="R1999">
        <v>0</v>
      </c>
      <c r="S1999">
        <v>0</v>
      </c>
      <c r="T1999">
        <v>0</v>
      </c>
      <c r="U1999" t="s">
        <v>5301</v>
      </c>
      <c r="W1999" t="s">
        <v>5302</v>
      </c>
      <c r="X1999">
        <v>38351</v>
      </c>
      <c r="AF1999">
        <v>80</v>
      </c>
      <c r="AG1999">
        <v>182</v>
      </c>
      <c r="AH1999">
        <v>-2</v>
      </c>
    </row>
    <row r="2000" spans="1:38" ht="18.75" customHeight="1" x14ac:dyDescent="0.3">
      <c r="A2000" s="1">
        <v>2023138308849</v>
      </c>
      <c r="B2000" t="s">
        <v>125</v>
      </c>
      <c r="C2000" t="s">
        <v>5303</v>
      </c>
      <c r="D2000" t="s">
        <v>5285</v>
      </c>
      <c r="E2000" t="s">
        <v>718</v>
      </c>
      <c r="F2000">
        <v>162</v>
      </c>
      <c r="G2000">
        <v>44956</v>
      </c>
      <c r="H2000">
        <v>45976</v>
      </c>
      <c r="I2000">
        <v>45976</v>
      </c>
      <c r="J2000">
        <v>45976</v>
      </c>
      <c r="K2000">
        <v>45976</v>
      </c>
      <c r="L2000" t="s">
        <v>135</v>
      </c>
      <c r="M2000" t="s">
        <v>554</v>
      </c>
      <c r="N2000" t="s">
        <v>127</v>
      </c>
      <c r="O2000" t="s">
        <v>579</v>
      </c>
      <c r="P2000" t="s">
        <v>49</v>
      </c>
      <c r="R2000">
        <v>0</v>
      </c>
      <c r="S2000">
        <v>0</v>
      </c>
      <c r="T2000">
        <v>0</v>
      </c>
      <c r="U2000" t="s">
        <v>5304</v>
      </c>
      <c r="W2000">
        <v>30211201200372</v>
      </c>
      <c r="X2000">
        <v>37580</v>
      </c>
      <c r="AF2000">
        <v>84</v>
      </c>
      <c r="AG2000">
        <v>185</v>
      </c>
      <c r="AH2000">
        <v>-1</v>
      </c>
    </row>
    <row r="2001" spans="1:37" ht="18.75" customHeight="1" x14ac:dyDescent="0.3">
      <c r="A2001" s="1">
        <v>2005134701813</v>
      </c>
      <c r="B2001" t="s">
        <v>57</v>
      </c>
      <c r="C2001" t="s">
        <v>5305</v>
      </c>
      <c r="D2001" t="s">
        <v>5306</v>
      </c>
      <c r="E2001" t="s">
        <v>718</v>
      </c>
      <c r="F2001">
        <v>133</v>
      </c>
      <c r="G2001">
        <v>38376</v>
      </c>
      <c r="H2001">
        <v>38845</v>
      </c>
      <c r="I2001">
        <v>44743</v>
      </c>
      <c r="J2001">
        <v>45977</v>
      </c>
      <c r="K2001">
        <v>45977</v>
      </c>
      <c r="L2001" t="s">
        <v>135</v>
      </c>
      <c r="M2001" t="s">
        <v>1592</v>
      </c>
      <c r="N2001" t="s">
        <v>127</v>
      </c>
      <c r="O2001" t="s">
        <v>5307</v>
      </c>
      <c r="P2001" t="s">
        <v>49</v>
      </c>
      <c r="R2001">
        <v>9</v>
      </c>
      <c r="S2001">
        <v>0</v>
      </c>
      <c r="T2001">
        <v>0</v>
      </c>
      <c r="U2001" t="s">
        <v>5308</v>
      </c>
      <c r="W2001" t="s">
        <v>5309</v>
      </c>
      <c r="X2001">
        <v>31446</v>
      </c>
      <c r="AD2001" t="s">
        <v>5310</v>
      </c>
      <c r="AF2001">
        <v>77</v>
      </c>
      <c r="AG2001">
        <v>174</v>
      </c>
      <c r="AH2001">
        <v>3</v>
      </c>
    </row>
    <row r="2002" spans="1:37" ht="18.75" customHeight="1" x14ac:dyDescent="0.3">
      <c r="A2002" s="1">
        <v>2019138310710</v>
      </c>
      <c r="B2002" t="s">
        <v>125</v>
      </c>
      <c r="C2002" t="s">
        <v>5311</v>
      </c>
      <c r="D2002" t="s">
        <v>5306</v>
      </c>
      <c r="E2002" t="s">
        <v>718</v>
      </c>
      <c r="F2002">
        <v>159</v>
      </c>
      <c r="G2002">
        <v>43707</v>
      </c>
      <c r="H2002">
        <v>44482</v>
      </c>
      <c r="I2002">
        <v>44482</v>
      </c>
      <c r="J2002">
        <v>44544</v>
      </c>
      <c r="K2002">
        <v>44544</v>
      </c>
      <c r="L2002" t="s">
        <v>135</v>
      </c>
      <c r="M2002" t="s">
        <v>1592</v>
      </c>
      <c r="N2002" t="s">
        <v>127</v>
      </c>
      <c r="O2002" t="s">
        <v>4932</v>
      </c>
      <c r="P2002" t="s">
        <v>49</v>
      </c>
      <c r="R2002">
        <v>1</v>
      </c>
      <c r="S2002">
        <v>0</v>
      </c>
      <c r="T2002">
        <v>0</v>
      </c>
      <c r="U2002" t="s">
        <v>5312</v>
      </c>
      <c r="W2002">
        <v>30111192500576</v>
      </c>
      <c r="X2002">
        <v>37214</v>
      </c>
      <c r="AD2002" t="s">
        <v>5313</v>
      </c>
      <c r="AF2002">
        <v>70</v>
      </c>
      <c r="AG2002">
        <v>175</v>
      </c>
      <c r="AH2002">
        <v>-5</v>
      </c>
      <c r="AJ2002" t="s">
        <v>5197</v>
      </c>
    </row>
    <row r="2003" spans="1:37" ht="18.75" customHeight="1" x14ac:dyDescent="0.3">
      <c r="A2003" s="1">
        <v>2021138304461</v>
      </c>
      <c r="B2003" t="s">
        <v>125</v>
      </c>
      <c r="C2003" t="s">
        <v>5314</v>
      </c>
      <c r="D2003" t="s">
        <v>5306</v>
      </c>
      <c r="E2003" t="s">
        <v>718</v>
      </c>
      <c r="F2003">
        <v>160</v>
      </c>
      <c r="G2003">
        <v>44220</v>
      </c>
      <c r="H2003">
        <v>45197</v>
      </c>
      <c r="I2003">
        <v>45197</v>
      </c>
      <c r="J2003">
        <v>45217</v>
      </c>
      <c r="K2003">
        <v>45217</v>
      </c>
      <c r="L2003" t="s">
        <v>135</v>
      </c>
      <c r="M2003" t="s">
        <v>1592</v>
      </c>
      <c r="N2003" t="s">
        <v>127</v>
      </c>
      <c r="O2003" t="s">
        <v>5002</v>
      </c>
      <c r="P2003" t="s">
        <v>49</v>
      </c>
      <c r="R2003">
        <v>0</v>
      </c>
      <c r="S2003">
        <v>0</v>
      </c>
      <c r="T2003">
        <v>0</v>
      </c>
      <c r="U2003" t="s">
        <v>5315</v>
      </c>
      <c r="V2003" t="s">
        <v>5316</v>
      </c>
      <c r="W2003">
        <v>30201212500119</v>
      </c>
      <c r="X2003">
        <v>37277</v>
      </c>
      <c r="AD2003" t="s">
        <v>5317</v>
      </c>
      <c r="AF2003">
        <v>69</v>
      </c>
      <c r="AG2003">
        <v>174</v>
      </c>
      <c r="AH2003">
        <v>-5</v>
      </c>
    </row>
    <row r="2004" spans="1:37" ht="18.75" customHeight="1" x14ac:dyDescent="0.3">
      <c r="A2004" s="1">
        <v>2021138317290</v>
      </c>
      <c r="B2004" t="s">
        <v>125</v>
      </c>
      <c r="C2004" t="s">
        <v>5318</v>
      </c>
      <c r="D2004" t="s">
        <v>5306</v>
      </c>
      <c r="E2004" t="s">
        <v>718</v>
      </c>
      <c r="F2004">
        <v>161</v>
      </c>
      <c r="G2004">
        <v>44561</v>
      </c>
      <c r="H2004">
        <v>45581</v>
      </c>
      <c r="I2004">
        <v>45581</v>
      </c>
      <c r="J2004">
        <v>45582</v>
      </c>
      <c r="K2004">
        <v>45582</v>
      </c>
      <c r="L2004" t="s">
        <v>135</v>
      </c>
      <c r="M2004" t="s">
        <v>1592</v>
      </c>
      <c r="N2004" t="s">
        <v>127</v>
      </c>
      <c r="O2004" t="s">
        <v>5002</v>
      </c>
      <c r="P2004" t="s">
        <v>49</v>
      </c>
      <c r="R2004">
        <v>0</v>
      </c>
      <c r="S2004">
        <v>0</v>
      </c>
      <c r="T2004">
        <v>0</v>
      </c>
      <c r="U2004" t="s">
        <v>5319</v>
      </c>
      <c r="V2004" t="s">
        <v>5320</v>
      </c>
      <c r="W2004">
        <v>30408202402457</v>
      </c>
      <c r="X2004">
        <v>38201</v>
      </c>
      <c r="AD2004" t="s">
        <v>5321</v>
      </c>
      <c r="AF2004">
        <v>73</v>
      </c>
      <c r="AG2004">
        <v>177</v>
      </c>
      <c r="AH2004">
        <v>-4</v>
      </c>
    </row>
    <row r="2005" spans="1:37" ht="18.75" customHeight="1" x14ac:dyDescent="0.3">
      <c r="A2005" s="1">
        <v>2003138306473</v>
      </c>
      <c r="B2005" t="s">
        <v>210</v>
      </c>
      <c r="C2005" t="s">
        <v>5322</v>
      </c>
      <c r="D2005" t="s">
        <v>5323</v>
      </c>
      <c r="E2005" t="s">
        <v>718</v>
      </c>
      <c r="F2005">
        <v>130</v>
      </c>
      <c r="G2005">
        <v>37837</v>
      </c>
      <c r="H2005">
        <v>38296</v>
      </c>
      <c r="I2005">
        <v>45658</v>
      </c>
      <c r="J2005">
        <v>39883</v>
      </c>
      <c r="K2005">
        <v>44507</v>
      </c>
      <c r="L2005" t="s">
        <v>135</v>
      </c>
      <c r="M2005" t="s">
        <v>812</v>
      </c>
      <c r="N2005" t="s">
        <v>127</v>
      </c>
      <c r="O2005" t="s">
        <v>3216</v>
      </c>
      <c r="P2005" t="s">
        <v>49</v>
      </c>
      <c r="R2005">
        <v>0</v>
      </c>
      <c r="S2005">
        <v>0</v>
      </c>
      <c r="T2005">
        <v>0</v>
      </c>
      <c r="U2005" t="s">
        <v>5324</v>
      </c>
      <c r="W2005">
        <v>28510152500631</v>
      </c>
      <c r="X2005">
        <v>31335</v>
      </c>
      <c r="AD2005" t="s">
        <v>5325</v>
      </c>
      <c r="AF2005">
        <v>74</v>
      </c>
      <c r="AG2005">
        <v>173</v>
      </c>
      <c r="AH2005">
        <v>1</v>
      </c>
      <c r="AI2005" t="s">
        <v>516</v>
      </c>
      <c r="AJ2005" t="s">
        <v>5326</v>
      </c>
    </row>
    <row r="2006" spans="1:37" ht="18.75" customHeight="1" x14ac:dyDescent="0.3">
      <c r="A2006" s="1">
        <v>2014132400947</v>
      </c>
      <c r="B2006" t="s">
        <v>75</v>
      </c>
      <c r="C2006" t="s">
        <v>5327</v>
      </c>
      <c r="D2006" t="s">
        <v>5323</v>
      </c>
      <c r="E2006" t="s">
        <v>718</v>
      </c>
      <c r="F2006">
        <v>152</v>
      </c>
      <c r="G2006">
        <v>41868</v>
      </c>
      <c r="H2006">
        <v>42022</v>
      </c>
      <c r="I2006">
        <v>46023</v>
      </c>
      <c r="J2006">
        <v>45233</v>
      </c>
      <c r="K2006">
        <v>45233</v>
      </c>
      <c r="L2006" t="s">
        <v>135</v>
      </c>
      <c r="M2006" t="s">
        <v>1171</v>
      </c>
      <c r="N2006" t="s">
        <v>127</v>
      </c>
      <c r="O2006" t="s">
        <v>1297</v>
      </c>
      <c r="Q2006" t="s">
        <v>49</v>
      </c>
      <c r="R2006">
        <v>6</v>
      </c>
      <c r="S2006">
        <v>0</v>
      </c>
      <c r="T2006">
        <v>0</v>
      </c>
      <c r="U2006" t="s">
        <v>5328</v>
      </c>
      <c r="V2006" t="s">
        <v>5329</v>
      </c>
      <c r="W2006">
        <v>29708011801937</v>
      </c>
      <c r="X2006">
        <v>35643</v>
      </c>
      <c r="AD2006" t="s">
        <v>5330</v>
      </c>
      <c r="AF2006">
        <v>65</v>
      </c>
      <c r="AG2006">
        <v>168</v>
      </c>
      <c r="AH2006">
        <v>-3</v>
      </c>
      <c r="AK2006" t="s">
        <v>5331</v>
      </c>
    </row>
    <row r="2007" spans="1:37" ht="18.75" customHeight="1" x14ac:dyDescent="0.3">
      <c r="A2007" s="1">
        <v>2015138305892</v>
      </c>
      <c r="B2007" t="s">
        <v>106</v>
      </c>
      <c r="C2007" t="s">
        <v>5332</v>
      </c>
      <c r="D2007" t="s">
        <v>5323</v>
      </c>
      <c r="E2007" t="s">
        <v>718</v>
      </c>
      <c r="F2007">
        <v>153</v>
      </c>
      <c r="G2007">
        <v>42030</v>
      </c>
      <c r="H2007">
        <v>42501</v>
      </c>
      <c r="I2007">
        <v>44378</v>
      </c>
      <c r="J2007">
        <v>46076</v>
      </c>
      <c r="K2007">
        <v>46077</v>
      </c>
      <c r="L2007" t="s">
        <v>135</v>
      </c>
      <c r="M2007" t="s">
        <v>812</v>
      </c>
      <c r="N2007" t="s">
        <v>127</v>
      </c>
      <c r="O2007" t="s">
        <v>1559</v>
      </c>
      <c r="P2007" t="s">
        <v>49</v>
      </c>
      <c r="R2007">
        <v>0</v>
      </c>
      <c r="S2007">
        <v>0</v>
      </c>
      <c r="T2007">
        <v>0</v>
      </c>
      <c r="U2007" t="s">
        <v>5333</v>
      </c>
      <c r="V2007" t="s">
        <v>5334</v>
      </c>
      <c r="W2007">
        <v>29302020202195</v>
      </c>
      <c r="X2007">
        <v>34002</v>
      </c>
      <c r="AD2007" t="s">
        <v>5335</v>
      </c>
      <c r="AF2007">
        <v>80</v>
      </c>
      <c r="AG2007">
        <v>179</v>
      </c>
      <c r="AH2007">
        <v>1</v>
      </c>
      <c r="AK2007" t="s">
        <v>5336</v>
      </c>
    </row>
    <row r="2008" spans="1:37" ht="18.75" customHeight="1" x14ac:dyDescent="0.3">
      <c r="A2008" s="1">
        <v>2017131801984</v>
      </c>
      <c r="B2008" t="s">
        <v>106</v>
      </c>
      <c r="C2008" t="s">
        <v>5337</v>
      </c>
      <c r="D2008" t="s">
        <v>5323</v>
      </c>
      <c r="E2008" t="s">
        <v>718</v>
      </c>
      <c r="F2008">
        <v>157</v>
      </c>
      <c r="G2008">
        <v>42930</v>
      </c>
      <c r="H2008">
        <v>43663</v>
      </c>
      <c r="I2008">
        <v>45658</v>
      </c>
      <c r="J2008">
        <v>45080</v>
      </c>
      <c r="K2008">
        <v>45080</v>
      </c>
      <c r="L2008" t="s">
        <v>135</v>
      </c>
      <c r="M2008" t="s">
        <v>46</v>
      </c>
      <c r="N2008" t="s">
        <v>127</v>
      </c>
      <c r="O2008" t="s">
        <v>3365</v>
      </c>
      <c r="P2008" t="s">
        <v>49</v>
      </c>
      <c r="R2008">
        <v>0</v>
      </c>
      <c r="S2008">
        <v>0</v>
      </c>
      <c r="T2008">
        <v>0</v>
      </c>
      <c r="U2008" t="s">
        <v>5338</v>
      </c>
      <c r="V2008" t="s">
        <v>5339</v>
      </c>
      <c r="W2008">
        <v>30009051201193</v>
      </c>
      <c r="X2008">
        <v>36774</v>
      </c>
      <c r="AD2008" t="s">
        <v>2868</v>
      </c>
      <c r="AF2008">
        <v>69</v>
      </c>
      <c r="AG2008">
        <v>169</v>
      </c>
      <c r="AH2008">
        <v>0</v>
      </c>
      <c r="AK2008" t="s">
        <v>5340</v>
      </c>
    </row>
    <row r="2009" spans="1:37" ht="18.75" customHeight="1" x14ac:dyDescent="0.3">
      <c r="A2009" s="1">
        <v>2021131807272</v>
      </c>
      <c r="B2009" t="s">
        <v>125</v>
      </c>
      <c r="C2009" t="s">
        <v>5341</v>
      </c>
      <c r="D2009" t="s">
        <v>5323</v>
      </c>
      <c r="E2009" t="s">
        <v>718</v>
      </c>
      <c r="F2009">
        <v>160</v>
      </c>
      <c r="G2009">
        <v>44220</v>
      </c>
      <c r="H2009">
        <v>45197</v>
      </c>
      <c r="I2009">
        <v>45197</v>
      </c>
      <c r="J2009">
        <v>45217</v>
      </c>
      <c r="K2009">
        <v>45217</v>
      </c>
      <c r="L2009" t="s">
        <v>135</v>
      </c>
      <c r="M2009" t="s">
        <v>46</v>
      </c>
      <c r="N2009" t="s">
        <v>127</v>
      </c>
      <c r="O2009" t="s">
        <v>743</v>
      </c>
      <c r="Q2009" t="s">
        <v>49</v>
      </c>
      <c r="R2009">
        <v>1</v>
      </c>
      <c r="S2009">
        <v>0</v>
      </c>
      <c r="T2009">
        <v>0</v>
      </c>
      <c r="U2009" t="s">
        <v>5342</v>
      </c>
      <c r="V2009" t="s">
        <v>5338</v>
      </c>
      <c r="W2009">
        <v>30009112700333</v>
      </c>
      <c r="X2009">
        <v>36780</v>
      </c>
      <c r="AD2009" t="s">
        <v>5343</v>
      </c>
      <c r="AF2009">
        <v>61</v>
      </c>
      <c r="AG2009">
        <v>171</v>
      </c>
      <c r="AH2009">
        <v>-10</v>
      </c>
      <c r="AK2009" t="s">
        <v>298</v>
      </c>
    </row>
    <row r="2010" spans="1:37" ht="18.75" customHeight="1" x14ac:dyDescent="0.3">
      <c r="A2010" s="1">
        <v>2005138303136</v>
      </c>
      <c r="B2010" t="s">
        <v>57</v>
      </c>
      <c r="C2010" t="s">
        <v>5344</v>
      </c>
      <c r="D2010" t="s">
        <v>5345</v>
      </c>
      <c r="E2010" t="s">
        <v>718</v>
      </c>
      <c r="F2010">
        <v>134</v>
      </c>
      <c r="G2010">
        <v>38549</v>
      </c>
      <c r="H2010">
        <v>39022</v>
      </c>
      <c r="I2010">
        <v>45108</v>
      </c>
      <c r="L2010" t="s">
        <v>135</v>
      </c>
      <c r="M2010" t="s">
        <v>812</v>
      </c>
      <c r="N2010" t="s">
        <v>127</v>
      </c>
      <c r="O2010" t="s">
        <v>5346</v>
      </c>
      <c r="Q2010" t="s">
        <v>49</v>
      </c>
      <c r="R2010">
        <v>11</v>
      </c>
      <c r="S2010">
        <v>1</v>
      </c>
      <c r="T2010">
        <v>1</v>
      </c>
      <c r="U2010" t="s">
        <v>5347</v>
      </c>
      <c r="V2010" t="s">
        <v>5348</v>
      </c>
      <c r="X2010">
        <v>31686</v>
      </c>
      <c r="AC2010" t="s">
        <v>5349</v>
      </c>
      <c r="AF2010">
        <v>85</v>
      </c>
      <c r="AG2010">
        <v>184</v>
      </c>
      <c r="AH2010">
        <v>1</v>
      </c>
      <c r="AK2010" t="s">
        <v>5350</v>
      </c>
    </row>
    <row r="2011" spans="1:37" ht="18.75" customHeight="1" x14ac:dyDescent="0.3">
      <c r="A2011" s="1">
        <v>2011135100863</v>
      </c>
      <c r="B2011" t="s">
        <v>75</v>
      </c>
      <c r="C2011" t="s">
        <v>5351</v>
      </c>
      <c r="D2011" t="s">
        <v>5352</v>
      </c>
      <c r="E2011" t="s">
        <v>718</v>
      </c>
      <c r="F2011">
        <v>145</v>
      </c>
      <c r="G2011">
        <v>40558</v>
      </c>
      <c r="H2011">
        <v>41031</v>
      </c>
      <c r="I2011">
        <v>44743</v>
      </c>
      <c r="M2011" t="s">
        <v>4806</v>
      </c>
      <c r="N2011" t="s">
        <v>127</v>
      </c>
      <c r="O2011" t="s">
        <v>5353</v>
      </c>
      <c r="P2011" t="s">
        <v>49</v>
      </c>
      <c r="R2011">
        <v>8</v>
      </c>
      <c r="S2011">
        <v>0</v>
      </c>
      <c r="T2011">
        <v>0</v>
      </c>
      <c r="U2011">
        <v>1023118660</v>
      </c>
      <c r="X2011">
        <v>33510</v>
      </c>
      <c r="AC2011" t="s">
        <v>5354</v>
      </c>
      <c r="AF2011">
        <v>86</v>
      </c>
      <c r="AG2011">
        <v>175</v>
      </c>
      <c r="AH2011">
        <v>11</v>
      </c>
      <c r="AJ2011" t="s">
        <v>5355</v>
      </c>
    </row>
    <row r="2012" spans="1:37" ht="18.75" customHeight="1" x14ac:dyDescent="0.3">
      <c r="A2012" s="1">
        <v>2014135101899</v>
      </c>
      <c r="B2012" t="s">
        <v>75</v>
      </c>
      <c r="C2012" t="s">
        <v>5356</v>
      </c>
      <c r="D2012" t="s">
        <v>5352</v>
      </c>
      <c r="E2012" t="s">
        <v>718</v>
      </c>
      <c r="F2012">
        <v>151</v>
      </c>
      <c r="G2012">
        <v>41665</v>
      </c>
      <c r="H2012">
        <v>42137</v>
      </c>
      <c r="I2012">
        <v>45839</v>
      </c>
      <c r="M2012" t="s">
        <v>4806</v>
      </c>
      <c r="N2012" t="s">
        <v>127</v>
      </c>
      <c r="O2012" t="s">
        <v>5357</v>
      </c>
      <c r="Q2012" t="s">
        <v>49</v>
      </c>
      <c r="R2012">
        <v>6</v>
      </c>
      <c r="S2012">
        <v>0</v>
      </c>
      <c r="T2012">
        <v>0</v>
      </c>
      <c r="U2012" t="s">
        <v>5358</v>
      </c>
      <c r="X2012">
        <v>34638</v>
      </c>
      <c r="AC2012" t="s">
        <v>5359</v>
      </c>
      <c r="AF2012">
        <v>73</v>
      </c>
      <c r="AG2012">
        <v>173</v>
      </c>
      <c r="AH2012">
        <v>0</v>
      </c>
      <c r="AJ2012" t="s">
        <v>5360</v>
      </c>
    </row>
    <row r="2013" spans="1:37" ht="18.75" customHeight="1" x14ac:dyDescent="0.3">
      <c r="A2013" s="1">
        <v>2014135104968</v>
      </c>
      <c r="B2013" t="s">
        <v>75</v>
      </c>
      <c r="C2013" t="s">
        <v>5361</v>
      </c>
      <c r="D2013" t="s">
        <v>5352</v>
      </c>
      <c r="E2013" t="s">
        <v>718</v>
      </c>
      <c r="F2013">
        <v>152</v>
      </c>
      <c r="G2013">
        <v>41853</v>
      </c>
      <c r="H2013">
        <v>42326</v>
      </c>
      <c r="I2013">
        <v>46023</v>
      </c>
      <c r="M2013" t="s">
        <v>4806</v>
      </c>
      <c r="N2013" t="s">
        <v>127</v>
      </c>
      <c r="O2013" t="s">
        <v>5357</v>
      </c>
      <c r="Q2013" t="s">
        <v>49</v>
      </c>
      <c r="R2013">
        <v>7</v>
      </c>
      <c r="S2013">
        <v>0</v>
      </c>
      <c r="T2013">
        <v>0</v>
      </c>
      <c r="U2013">
        <v>1021762509</v>
      </c>
      <c r="X2013">
        <v>35459</v>
      </c>
      <c r="AF2013">
        <v>70</v>
      </c>
      <c r="AG2013">
        <v>174</v>
      </c>
      <c r="AH2013">
        <v>-4</v>
      </c>
      <c r="AJ2013" t="s">
        <v>5362</v>
      </c>
    </row>
    <row r="2014" spans="1:37" ht="18.75" customHeight="1" x14ac:dyDescent="0.3">
      <c r="A2014" s="1">
        <v>2017135101653</v>
      </c>
      <c r="B2014" t="s">
        <v>106</v>
      </c>
      <c r="C2014" t="s">
        <v>5363</v>
      </c>
      <c r="D2014" t="s">
        <v>5352</v>
      </c>
      <c r="E2014" t="s">
        <v>718</v>
      </c>
      <c r="F2014">
        <v>157</v>
      </c>
      <c r="G2014">
        <v>42915</v>
      </c>
      <c r="H2014">
        <v>43663</v>
      </c>
      <c r="I2014">
        <v>45658</v>
      </c>
      <c r="M2014" t="s">
        <v>4806</v>
      </c>
      <c r="N2014" t="s">
        <v>127</v>
      </c>
      <c r="O2014" t="s">
        <v>5364</v>
      </c>
      <c r="Q2014" t="s">
        <v>49</v>
      </c>
      <c r="R2014">
        <v>2</v>
      </c>
      <c r="S2014">
        <v>0</v>
      </c>
      <c r="T2014">
        <v>0</v>
      </c>
      <c r="U2014">
        <v>1113729950</v>
      </c>
      <c r="X2014">
        <v>36725</v>
      </c>
      <c r="AC2014" t="s">
        <v>5365</v>
      </c>
      <c r="AF2014">
        <v>75</v>
      </c>
      <c r="AG2014">
        <v>183</v>
      </c>
      <c r="AH2014">
        <v>-8</v>
      </c>
      <c r="AJ2014" t="s">
        <v>298</v>
      </c>
    </row>
    <row r="2015" spans="1:37" ht="18.75" customHeight="1" x14ac:dyDescent="0.3">
      <c r="A2015" s="1">
        <v>2019135100049</v>
      </c>
      <c r="B2015" t="s">
        <v>125</v>
      </c>
      <c r="C2015" t="s">
        <v>5366</v>
      </c>
      <c r="D2015" t="s">
        <v>5352</v>
      </c>
      <c r="E2015" t="s">
        <v>718</v>
      </c>
      <c r="F2015">
        <v>159</v>
      </c>
      <c r="G2015">
        <v>43692</v>
      </c>
      <c r="H2015">
        <v>44482</v>
      </c>
      <c r="I2015">
        <v>44482</v>
      </c>
      <c r="M2015" t="s">
        <v>4806</v>
      </c>
      <c r="N2015" t="s">
        <v>127</v>
      </c>
      <c r="P2015" t="s">
        <v>49</v>
      </c>
      <c r="R2015">
        <v>4</v>
      </c>
      <c r="S2015">
        <v>0</v>
      </c>
      <c r="T2015">
        <v>0</v>
      </c>
      <c r="U2015">
        <v>1020291394</v>
      </c>
      <c r="X2015">
        <v>37241</v>
      </c>
      <c r="AC2015" t="s">
        <v>5367</v>
      </c>
      <c r="AF2015">
        <v>74</v>
      </c>
      <c r="AG2015">
        <v>175</v>
      </c>
      <c r="AH2015">
        <v>-1</v>
      </c>
      <c r="AJ2015" t="s">
        <v>298</v>
      </c>
    </row>
    <row r="2016" spans="1:37" ht="18.75" customHeight="1" x14ac:dyDescent="0.3">
      <c r="A2016" s="1">
        <v>2021131808098</v>
      </c>
      <c r="B2016" t="s">
        <v>125</v>
      </c>
      <c r="C2016" t="s">
        <v>5368</v>
      </c>
      <c r="D2016" t="s">
        <v>5352</v>
      </c>
      <c r="E2016" t="s">
        <v>718</v>
      </c>
      <c r="F2016">
        <v>160</v>
      </c>
      <c r="G2016">
        <v>44205</v>
      </c>
      <c r="H2016">
        <v>45197</v>
      </c>
      <c r="I2016">
        <v>45197</v>
      </c>
      <c r="M2016" t="s">
        <v>46</v>
      </c>
      <c r="N2016" t="s">
        <v>307</v>
      </c>
      <c r="O2016" t="s">
        <v>5369</v>
      </c>
      <c r="Q2016" t="s">
        <v>49</v>
      </c>
      <c r="R2016">
        <v>0</v>
      </c>
      <c r="S2016">
        <v>3</v>
      </c>
      <c r="T2016">
        <v>0</v>
      </c>
      <c r="U2016">
        <v>1271672703</v>
      </c>
      <c r="X2016">
        <v>37587</v>
      </c>
      <c r="AF2016">
        <v>68</v>
      </c>
      <c r="AG2016">
        <v>172</v>
      </c>
      <c r="AH2016">
        <v>-4</v>
      </c>
      <c r="AJ2016" t="s">
        <v>298</v>
      </c>
    </row>
    <row r="2017" spans="1:40" ht="18.75" customHeight="1" x14ac:dyDescent="0.3">
      <c r="A2017" s="1">
        <v>2021135102032</v>
      </c>
      <c r="B2017" t="s">
        <v>125</v>
      </c>
      <c r="C2017" t="s">
        <v>5370</v>
      </c>
      <c r="D2017" t="s">
        <v>5352</v>
      </c>
      <c r="E2017" t="s">
        <v>718</v>
      </c>
      <c r="F2017">
        <v>160</v>
      </c>
      <c r="G2017">
        <v>44205</v>
      </c>
      <c r="H2017">
        <v>45197</v>
      </c>
      <c r="I2017">
        <v>45197</v>
      </c>
      <c r="M2017" t="s">
        <v>4806</v>
      </c>
      <c r="N2017" t="s">
        <v>127</v>
      </c>
      <c r="O2017" t="s">
        <v>5371</v>
      </c>
      <c r="P2017" t="s">
        <v>49</v>
      </c>
      <c r="R2017">
        <v>3</v>
      </c>
      <c r="S2017">
        <v>0</v>
      </c>
      <c r="T2017">
        <v>0</v>
      </c>
      <c r="U2017">
        <v>1096319062</v>
      </c>
      <c r="X2017">
        <v>35737</v>
      </c>
      <c r="AC2017" t="s">
        <v>5372</v>
      </c>
      <c r="AF2017">
        <v>78</v>
      </c>
      <c r="AG2017">
        <v>180</v>
      </c>
      <c r="AH2017">
        <v>-2</v>
      </c>
      <c r="AJ2017" t="s">
        <v>298</v>
      </c>
    </row>
    <row r="2018" spans="1:40" ht="18.75" customHeight="1" x14ac:dyDescent="0.3">
      <c r="A2018" s="1">
        <v>2021135108428</v>
      </c>
      <c r="B2018" t="s">
        <v>125</v>
      </c>
      <c r="C2018" t="s">
        <v>5373</v>
      </c>
      <c r="D2018" t="s">
        <v>5352</v>
      </c>
      <c r="E2018" t="s">
        <v>718</v>
      </c>
      <c r="F2018">
        <v>161</v>
      </c>
      <c r="G2018">
        <v>44546</v>
      </c>
      <c r="H2018">
        <v>45581</v>
      </c>
      <c r="I2018">
        <v>45581</v>
      </c>
      <c r="M2018" t="s">
        <v>4806</v>
      </c>
      <c r="N2018" t="s">
        <v>127</v>
      </c>
      <c r="O2018" t="s">
        <v>5374</v>
      </c>
      <c r="P2018" t="s">
        <v>49</v>
      </c>
      <c r="R2018">
        <v>0</v>
      </c>
      <c r="S2018">
        <v>0</v>
      </c>
      <c r="T2018">
        <v>0</v>
      </c>
      <c r="U2018" t="s">
        <v>5375</v>
      </c>
      <c r="X2018">
        <v>37529</v>
      </c>
      <c r="AF2018">
        <v>68</v>
      </c>
      <c r="AG2018">
        <v>172</v>
      </c>
      <c r="AH2018">
        <v>-4</v>
      </c>
      <c r="AJ2018" t="s">
        <v>298</v>
      </c>
    </row>
    <row r="2019" spans="1:40" ht="18.75" customHeight="1" x14ac:dyDescent="0.3">
      <c r="A2019" s="1">
        <v>2023135100173</v>
      </c>
      <c r="B2019" t="s">
        <v>125</v>
      </c>
      <c r="C2019" t="s">
        <v>5376</v>
      </c>
      <c r="D2019" t="s">
        <v>5352</v>
      </c>
      <c r="E2019" t="s">
        <v>718</v>
      </c>
      <c r="F2019">
        <v>162</v>
      </c>
      <c r="G2019">
        <v>44941</v>
      </c>
      <c r="H2019">
        <v>45976</v>
      </c>
      <c r="I2019">
        <v>45976</v>
      </c>
      <c r="M2019" t="s">
        <v>4806</v>
      </c>
      <c r="N2019" t="s">
        <v>127</v>
      </c>
      <c r="O2019" t="s">
        <v>5377</v>
      </c>
      <c r="P2019" t="s">
        <v>49</v>
      </c>
      <c r="R2019">
        <v>0</v>
      </c>
      <c r="S2019">
        <v>0</v>
      </c>
      <c r="T2019">
        <v>0</v>
      </c>
      <c r="U2019" t="s">
        <v>5378</v>
      </c>
      <c r="X2019">
        <v>37603</v>
      </c>
      <c r="AF2019">
        <v>72</v>
      </c>
      <c r="AG2019">
        <v>175</v>
      </c>
      <c r="AH2019">
        <v>-3</v>
      </c>
      <c r="AJ2019" t="s">
        <v>298</v>
      </c>
    </row>
    <row r="2020" spans="1:40" ht="18.75" customHeight="1" x14ac:dyDescent="0.3">
      <c r="A2020" s="1">
        <v>2013131803441</v>
      </c>
      <c r="B2020" t="s">
        <v>75</v>
      </c>
      <c r="C2020" t="s">
        <v>5379</v>
      </c>
      <c r="D2020" t="s">
        <v>4816</v>
      </c>
      <c r="E2020" t="s">
        <v>1874</v>
      </c>
      <c r="F2020">
        <v>151</v>
      </c>
      <c r="G2020">
        <v>41510</v>
      </c>
      <c r="H2020">
        <v>41981</v>
      </c>
      <c r="I2020">
        <v>45839</v>
      </c>
      <c r="L2020" t="s">
        <v>45</v>
      </c>
      <c r="M2020" t="s">
        <v>46</v>
      </c>
      <c r="N2020" t="s">
        <v>727</v>
      </c>
      <c r="O2020" t="s">
        <v>5380</v>
      </c>
      <c r="P2020" t="s">
        <v>49</v>
      </c>
      <c r="R2020">
        <v>7</v>
      </c>
      <c r="S2020">
        <v>1</v>
      </c>
      <c r="U2020" t="s">
        <v>5381</v>
      </c>
      <c r="V2020" t="s">
        <v>5382</v>
      </c>
      <c r="W2020">
        <v>29505251801715</v>
      </c>
      <c r="X2020">
        <v>34844</v>
      </c>
      <c r="Y2020" t="s">
        <v>103</v>
      </c>
      <c r="AA2020">
        <v>1</v>
      </c>
      <c r="AF2020">
        <v>74</v>
      </c>
      <c r="AG2020">
        <v>174</v>
      </c>
      <c r="AH2020">
        <v>0</v>
      </c>
      <c r="AI2020" t="s">
        <v>5383</v>
      </c>
    </row>
    <row r="2021" spans="1:40" ht="18.75" customHeight="1" x14ac:dyDescent="0.3">
      <c r="A2021" s="1">
        <v>2017131807247</v>
      </c>
      <c r="B2021" t="s">
        <v>106</v>
      </c>
      <c r="C2021" t="s">
        <v>5384</v>
      </c>
      <c r="D2021" t="s">
        <v>3845</v>
      </c>
      <c r="E2021" t="s">
        <v>335</v>
      </c>
      <c r="G2021">
        <v>42915</v>
      </c>
      <c r="H2021">
        <v>43663</v>
      </c>
      <c r="I2021">
        <v>45658</v>
      </c>
      <c r="J2021">
        <v>45592</v>
      </c>
      <c r="L2021" t="s">
        <v>135</v>
      </c>
      <c r="M2021" t="s">
        <v>335</v>
      </c>
      <c r="N2021" t="s">
        <v>727</v>
      </c>
      <c r="O2021" t="s">
        <v>5369</v>
      </c>
      <c r="R2021">
        <v>2</v>
      </c>
      <c r="S2021">
        <v>0</v>
      </c>
      <c r="U2021" t="s">
        <v>5385</v>
      </c>
      <c r="V2021" t="s">
        <v>5386</v>
      </c>
      <c r="W2021">
        <v>30103101304815</v>
      </c>
      <c r="X2021">
        <v>36960</v>
      </c>
      <c r="Y2021" t="s">
        <v>550</v>
      </c>
      <c r="AE2021">
        <v>73</v>
      </c>
      <c r="AF2021">
        <v>178</v>
      </c>
      <c r="AG2021">
        <v>-5</v>
      </c>
      <c r="AN2021" t="s">
        <v>145</v>
      </c>
    </row>
    <row r="2022" spans="1:40" ht="18.75" customHeight="1" x14ac:dyDescent="0.3">
      <c r="A2022" s="1">
        <v>2015131100570</v>
      </c>
      <c r="B2022" t="s">
        <v>106</v>
      </c>
      <c r="C2022" t="s">
        <v>5387</v>
      </c>
      <c r="D2022" t="s">
        <v>717</v>
      </c>
      <c r="E2022" t="s">
        <v>718</v>
      </c>
      <c r="F2022">
        <v>153</v>
      </c>
      <c r="G2022">
        <v>42030</v>
      </c>
      <c r="H2022">
        <v>42501</v>
      </c>
      <c r="I2022">
        <v>44378</v>
      </c>
      <c r="J2022">
        <v>45321</v>
      </c>
      <c r="L2022" t="s">
        <v>135</v>
      </c>
      <c r="M2022" t="s">
        <v>136</v>
      </c>
      <c r="N2022" t="s">
        <v>448</v>
      </c>
      <c r="O2022" t="s">
        <v>5012</v>
      </c>
      <c r="P2022" t="s">
        <v>49</v>
      </c>
      <c r="R2022">
        <v>9</v>
      </c>
      <c r="S2022">
        <v>0</v>
      </c>
      <c r="T2022">
        <v>0</v>
      </c>
      <c r="U2022" t="s">
        <v>5388</v>
      </c>
      <c r="V2022" t="s">
        <v>5389</v>
      </c>
      <c r="W2022">
        <v>29609171302238</v>
      </c>
      <c r="AC2022" t="s">
        <v>5390</v>
      </c>
      <c r="AF2022">
        <v>75</v>
      </c>
      <c r="AG2022">
        <v>168</v>
      </c>
      <c r="AH2022">
        <v>7</v>
      </c>
      <c r="AJ2022" t="s">
        <v>5391</v>
      </c>
    </row>
    <row r="2023" spans="1:40" ht="18.75" customHeight="1" x14ac:dyDescent="0.3">
      <c r="A2023" s="1">
        <v>2018131101473</v>
      </c>
      <c r="B2023" t="s">
        <v>106</v>
      </c>
      <c r="C2023" t="s">
        <v>5392</v>
      </c>
      <c r="D2023" t="s">
        <v>717</v>
      </c>
      <c r="E2023" t="s">
        <v>718</v>
      </c>
      <c r="F2023">
        <v>158</v>
      </c>
      <c r="G2023">
        <v>43279</v>
      </c>
      <c r="H2023">
        <v>44117</v>
      </c>
      <c r="I2023">
        <v>46023</v>
      </c>
      <c r="J2023">
        <v>44507</v>
      </c>
      <c r="L2023" t="s">
        <v>135</v>
      </c>
      <c r="M2023" t="s">
        <v>136</v>
      </c>
      <c r="N2023" t="s">
        <v>448</v>
      </c>
      <c r="O2023" t="s">
        <v>5012</v>
      </c>
      <c r="P2023" t="s">
        <v>49</v>
      </c>
      <c r="R2023">
        <v>5</v>
      </c>
      <c r="S2023">
        <v>1</v>
      </c>
      <c r="T2023">
        <v>0</v>
      </c>
      <c r="U2023" t="s">
        <v>5393</v>
      </c>
      <c r="V2023" t="s">
        <v>5394</v>
      </c>
      <c r="W2023">
        <v>30109221601315</v>
      </c>
      <c r="AC2023" t="s">
        <v>5395</v>
      </c>
      <c r="AF2023">
        <v>57</v>
      </c>
      <c r="AG2023">
        <v>160</v>
      </c>
      <c r="AH2023">
        <v>-3</v>
      </c>
      <c r="AJ2023" t="s">
        <v>5396</v>
      </c>
    </row>
    <row r="2024" spans="1:40" ht="18.75" customHeight="1" x14ac:dyDescent="0.3">
      <c r="A2024" s="1">
        <v>2017131809384</v>
      </c>
      <c r="B2024" t="s">
        <v>106</v>
      </c>
      <c r="C2024" t="s">
        <v>5397</v>
      </c>
      <c r="D2024" t="s">
        <v>3845</v>
      </c>
      <c r="E2024" t="s">
        <v>335</v>
      </c>
      <c r="G2024">
        <v>42915</v>
      </c>
      <c r="H2024">
        <v>43663</v>
      </c>
      <c r="I2024">
        <v>45658</v>
      </c>
      <c r="J2024">
        <v>45591</v>
      </c>
      <c r="L2024" t="s">
        <v>135</v>
      </c>
      <c r="M2024" t="s">
        <v>335</v>
      </c>
      <c r="N2024" t="s">
        <v>727</v>
      </c>
      <c r="O2024" t="s">
        <v>5369</v>
      </c>
      <c r="R2024">
        <v>3</v>
      </c>
      <c r="S2024">
        <v>0</v>
      </c>
      <c r="U2024" t="s">
        <v>5398</v>
      </c>
      <c r="V2024" t="s">
        <v>5399</v>
      </c>
      <c r="W2024">
        <v>30103221600132</v>
      </c>
      <c r="X2024">
        <v>36972</v>
      </c>
      <c r="Y2024" t="s">
        <v>103</v>
      </c>
      <c r="AE2024">
        <v>69</v>
      </c>
      <c r="AF2024">
        <v>174</v>
      </c>
      <c r="AG2024">
        <v>-5</v>
      </c>
      <c r="AN2024" t="s">
        <v>145</v>
      </c>
    </row>
    <row r="2025" spans="1:40" ht="18.75" customHeight="1" x14ac:dyDescent="0.3">
      <c r="A2025" s="1">
        <v>2018131804085</v>
      </c>
      <c r="B2025" t="s">
        <v>106</v>
      </c>
      <c r="C2025" t="s">
        <v>5400</v>
      </c>
      <c r="D2025" t="s">
        <v>1686</v>
      </c>
      <c r="E2025" t="s">
        <v>447</v>
      </c>
      <c r="F2025">
        <v>158</v>
      </c>
      <c r="G2025">
        <v>43279</v>
      </c>
      <c r="H2025">
        <v>44117</v>
      </c>
      <c r="I2025">
        <v>46023</v>
      </c>
      <c r="K2025">
        <v>44514</v>
      </c>
      <c r="L2025" t="s">
        <v>135</v>
      </c>
      <c r="M2025" t="s">
        <v>554</v>
      </c>
      <c r="N2025" t="s">
        <v>727</v>
      </c>
      <c r="O2025" t="s">
        <v>5401</v>
      </c>
      <c r="Q2025" t="s">
        <v>49</v>
      </c>
      <c r="R2025">
        <v>0</v>
      </c>
      <c r="S2025">
        <v>0</v>
      </c>
      <c r="T2025">
        <v>0</v>
      </c>
      <c r="U2025" t="s">
        <v>5402</v>
      </c>
      <c r="W2025">
        <v>29708151401319</v>
      </c>
      <c r="X2025">
        <v>36466</v>
      </c>
      <c r="Y2025" t="s">
        <v>103</v>
      </c>
      <c r="Z2025">
        <v>2</v>
      </c>
      <c r="AF2025">
        <v>75</v>
      </c>
      <c r="AG2025">
        <v>180</v>
      </c>
      <c r="AH2025">
        <f>IF([2]!Table1[[#This Row],[الوزن]]&lt;&gt;"",[2]!Table1[[#This Row],[الوزن]]-([2]!Table1[[#This Row],[الطول]]-100),"")</f>
        <v>-7</v>
      </c>
    </row>
    <row r="2026" spans="1:40" ht="18.75" customHeight="1" x14ac:dyDescent="0.3">
      <c r="A2026" s="1">
        <v>2013134791479</v>
      </c>
      <c r="B2026" t="s">
        <v>66</v>
      </c>
      <c r="C2026" t="s">
        <v>5403</v>
      </c>
      <c r="D2026" t="s">
        <v>717</v>
      </c>
      <c r="E2026" t="s">
        <v>718</v>
      </c>
      <c r="F2026" t="s">
        <v>1662</v>
      </c>
      <c r="G2026">
        <v>41519</v>
      </c>
      <c r="H2026">
        <v>41520</v>
      </c>
      <c r="I2026">
        <v>45292</v>
      </c>
      <c r="J2026">
        <v>43682</v>
      </c>
      <c r="L2026" t="s">
        <v>135</v>
      </c>
      <c r="M2026" t="s">
        <v>136</v>
      </c>
      <c r="N2026" t="s">
        <v>47</v>
      </c>
      <c r="O2026" t="s">
        <v>5404</v>
      </c>
      <c r="P2026" t="s">
        <v>49</v>
      </c>
      <c r="R2026">
        <v>0</v>
      </c>
      <c r="S2026">
        <v>0</v>
      </c>
      <c r="T2026">
        <v>0</v>
      </c>
      <c r="U2026" t="s">
        <v>5405</v>
      </c>
      <c r="V2026" t="s">
        <v>5406</v>
      </c>
      <c r="W2026">
        <v>29703301600658</v>
      </c>
      <c r="X2026">
        <v>35519</v>
      </c>
      <c r="AC2026" t="s">
        <v>2058</v>
      </c>
      <c r="AF2026">
        <v>68</v>
      </c>
      <c r="AG2026">
        <v>175</v>
      </c>
      <c r="AH2026">
        <v>-7</v>
      </c>
      <c r="AJ2026" t="s">
        <v>5407</v>
      </c>
      <c r="AK2026" t="s">
        <v>5408</v>
      </c>
    </row>
    <row r="2027" spans="1:40" ht="18.75" customHeight="1" x14ac:dyDescent="0.3">
      <c r="A2027" s="1">
        <v>2008131801222</v>
      </c>
      <c r="B2027" t="s">
        <v>57</v>
      </c>
      <c r="C2027" t="s">
        <v>5409</v>
      </c>
      <c r="D2027" t="s">
        <v>4355</v>
      </c>
      <c r="E2027" t="s">
        <v>718</v>
      </c>
      <c r="F2027">
        <v>140</v>
      </c>
      <c r="G2027">
        <v>39655</v>
      </c>
      <c r="H2027">
        <v>40122</v>
      </c>
      <c r="I2027">
        <v>45658</v>
      </c>
      <c r="J2027">
        <v>45940</v>
      </c>
      <c r="L2027" t="s">
        <v>135</v>
      </c>
      <c r="M2027" t="s">
        <v>1720</v>
      </c>
      <c r="N2027" t="s">
        <v>727</v>
      </c>
      <c r="O2027" t="s">
        <v>5410</v>
      </c>
      <c r="Q2027" t="s">
        <v>49</v>
      </c>
      <c r="R2027">
        <v>6</v>
      </c>
      <c r="S2027">
        <v>0</v>
      </c>
      <c r="T2027">
        <v>0</v>
      </c>
      <c r="U2027" t="s">
        <v>5411</v>
      </c>
      <c r="W2027">
        <v>28903281800677</v>
      </c>
      <c r="X2027">
        <v>29983</v>
      </c>
      <c r="AC2027" t="s">
        <v>5412</v>
      </c>
      <c r="AH2027" t="s">
        <v>787</v>
      </c>
      <c r="AI2027" t="s">
        <v>5413</v>
      </c>
      <c r="AJ2027" t="s">
        <v>5414</v>
      </c>
      <c r="AK2027" t="s">
        <v>5415</v>
      </c>
    </row>
    <row r="2028" spans="1:40" ht="18.75" customHeight="1" x14ac:dyDescent="0.3">
      <c r="A2028" s="1">
        <v>2018131101283</v>
      </c>
      <c r="B2028" t="s">
        <v>125</v>
      </c>
      <c r="C2028" t="s">
        <v>5416</v>
      </c>
      <c r="D2028" t="s">
        <v>717</v>
      </c>
      <c r="E2028" t="s">
        <v>718</v>
      </c>
      <c r="F2028">
        <v>158</v>
      </c>
      <c r="G2028">
        <v>43279</v>
      </c>
      <c r="H2028">
        <v>44117</v>
      </c>
      <c r="I2028">
        <v>44117</v>
      </c>
      <c r="J2028">
        <v>44153</v>
      </c>
      <c r="L2028" t="s">
        <v>135</v>
      </c>
      <c r="M2028" t="s">
        <v>136</v>
      </c>
      <c r="N2028" t="s">
        <v>448</v>
      </c>
      <c r="O2028" t="s">
        <v>5417</v>
      </c>
      <c r="P2028" t="s">
        <v>49</v>
      </c>
      <c r="R2028">
        <v>0</v>
      </c>
      <c r="S2028">
        <v>0</v>
      </c>
      <c r="T2028">
        <v>0</v>
      </c>
      <c r="U2028" t="s">
        <v>5418</v>
      </c>
      <c r="V2028" t="s">
        <v>5419</v>
      </c>
      <c r="W2028">
        <v>29902011710177</v>
      </c>
      <c r="AC2028" t="s">
        <v>5420</v>
      </c>
      <c r="AF2028">
        <v>68</v>
      </c>
      <c r="AG2028">
        <v>170</v>
      </c>
      <c r="AH2028">
        <v>-2</v>
      </c>
      <c r="AJ2028" t="s">
        <v>4588</v>
      </c>
    </row>
    <row r="2029" spans="1:40" ht="18.75" customHeight="1" x14ac:dyDescent="0.3">
      <c r="A2029" s="1">
        <v>2004131100151</v>
      </c>
      <c r="B2029" t="s">
        <v>210</v>
      </c>
      <c r="C2029" t="s">
        <v>5421</v>
      </c>
      <c r="D2029" t="s">
        <v>446</v>
      </c>
      <c r="E2029" t="s">
        <v>447</v>
      </c>
      <c r="F2029">
        <v>131</v>
      </c>
      <c r="G2029">
        <v>38003</v>
      </c>
      <c r="H2029">
        <v>38485</v>
      </c>
      <c r="I2029">
        <v>45839</v>
      </c>
      <c r="L2029" t="s">
        <v>45</v>
      </c>
      <c r="M2029" t="s">
        <v>136</v>
      </c>
      <c r="N2029" t="s">
        <v>727</v>
      </c>
      <c r="O2029" t="s">
        <v>5422</v>
      </c>
      <c r="P2029" t="s">
        <v>49</v>
      </c>
      <c r="R2029">
        <v>2</v>
      </c>
      <c r="S2029">
        <v>2</v>
      </c>
      <c r="T2029">
        <v>0</v>
      </c>
      <c r="U2029" t="s">
        <v>5423</v>
      </c>
      <c r="V2029" t="s">
        <v>5424</v>
      </c>
      <c r="W2029">
        <v>28401242501438</v>
      </c>
      <c r="X2029">
        <v>30705</v>
      </c>
      <c r="Y2029" t="s">
        <v>103</v>
      </c>
      <c r="Z2029" t="s">
        <v>5425</v>
      </c>
      <c r="AA2029">
        <v>2</v>
      </c>
      <c r="AB2029">
        <v>2</v>
      </c>
      <c r="AD2029" t="s">
        <v>5426</v>
      </c>
      <c r="AE2029" t="s">
        <v>43</v>
      </c>
      <c r="AF2029">
        <v>77</v>
      </c>
      <c r="AG2029">
        <v>176</v>
      </c>
      <c r="AH2029">
        <f>IF([2]!Table1[[#This Row],[الوزن]]&lt;&gt;"",[2]!Table1[[#This Row],[الوزن]]-([2]!Table1[[#This Row],[الطول]]-100),"")</f>
        <v>1</v>
      </c>
      <c r="AJ2029" t="s">
        <v>5427</v>
      </c>
      <c r="AK2029" t="s">
        <v>5428</v>
      </c>
    </row>
    <row r="2030" spans="1:40" ht="18.75" customHeight="1" x14ac:dyDescent="0.3">
      <c r="A2030" s="1">
        <v>2004131100185</v>
      </c>
      <c r="B2030" t="s">
        <v>210</v>
      </c>
      <c r="C2030" t="s">
        <v>5429</v>
      </c>
      <c r="D2030" t="s">
        <v>446</v>
      </c>
      <c r="E2030" t="s">
        <v>447</v>
      </c>
      <c r="F2030">
        <v>130</v>
      </c>
      <c r="G2030">
        <v>38003</v>
      </c>
      <c r="H2030">
        <v>38485</v>
      </c>
      <c r="I2030">
        <v>45839</v>
      </c>
      <c r="L2030" t="s">
        <v>45</v>
      </c>
      <c r="M2030" t="s">
        <v>136</v>
      </c>
      <c r="N2030" t="s">
        <v>727</v>
      </c>
      <c r="O2030" t="s">
        <v>5422</v>
      </c>
      <c r="P2030" t="s">
        <v>49</v>
      </c>
      <c r="R2030">
        <v>17</v>
      </c>
      <c r="S2030">
        <v>6</v>
      </c>
      <c r="T2030">
        <v>0</v>
      </c>
      <c r="U2030" t="s">
        <v>5430</v>
      </c>
      <c r="V2030" t="s">
        <v>459</v>
      </c>
      <c r="W2030">
        <v>28404192501392</v>
      </c>
      <c r="X2030">
        <v>30791</v>
      </c>
      <c r="Y2030" t="s">
        <v>103</v>
      </c>
      <c r="Z2030">
        <v>5</v>
      </c>
      <c r="AA2030">
        <v>1</v>
      </c>
      <c r="AB2030">
        <v>4</v>
      </c>
      <c r="AC2030" t="s">
        <v>5313</v>
      </c>
      <c r="AD2030" t="s">
        <v>1107</v>
      </c>
      <c r="AE2030" t="s">
        <v>43</v>
      </c>
      <c r="AF2030">
        <v>74</v>
      </c>
      <c r="AG2030">
        <v>173</v>
      </c>
      <c r="AH2030">
        <f>IF([2]!Table1[[#This Row],[الوزن]]&lt;&gt;"",[2]!Table1[[#This Row],[الوزن]]-([2]!Table1[[#This Row],[الطول]]-100),"")</f>
        <v>-5</v>
      </c>
      <c r="AJ2030" t="s">
        <v>5431</v>
      </c>
    </row>
    <row r="2031" spans="1:40" ht="18.75" customHeight="1" x14ac:dyDescent="0.3">
      <c r="A2031" s="1">
        <v>2021131804385</v>
      </c>
      <c r="B2031" t="s">
        <v>125</v>
      </c>
      <c r="C2031" t="s">
        <v>5432</v>
      </c>
      <c r="D2031" t="s">
        <v>1363</v>
      </c>
      <c r="E2031" t="s">
        <v>43</v>
      </c>
      <c r="F2031">
        <v>160</v>
      </c>
      <c r="G2031">
        <v>44205</v>
      </c>
      <c r="H2031">
        <v>45197</v>
      </c>
      <c r="I2031">
        <v>45292</v>
      </c>
      <c r="L2031" t="s">
        <v>45</v>
      </c>
      <c r="M2031" t="s">
        <v>342</v>
      </c>
      <c r="N2031" t="s">
        <v>727</v>
      </c>
      <c r="O2031" t="s">
        <v>5433</v>
      </c>
      <c r="U2031" t="s">
        <v>5434</v>
      </c>
      <c r="W2031">
        <v>30212102503335</v>
      </c>
      <c r="X2031">
        <v>37600</v>
      </c>
      <c r="Y2031" t="s">
        <v>767</v>
      </c>
      <c r="AD2031" t="s">
        <v>5435</v>
      </c>
      <c r="AE2031" t="s">
        <v>1240</v>
      </c>
      <c r="AF2031">
        <v>77</v>
      </c>
      <c r="AG2031">
        <v>182</v>
      </c>
      <c r="AH2031">
        <f>IF([2]!Table1[[#This Row],[الوزن]]&lt;&gt;"",[2]!Table1[[#This Row],[الوزن]]-([2]!Table1[[#This Row],[الطول]]-100),"")</f>
        <v>25</v>
      </c>
    </row>
    <row r="2032" spans="1:40" ht="18.75" customHeight="1" x14ac:dyDescent="0.3">
      <c r="A2032" s="1">
        <v>1998131100493</v>
      </c>
      <c r="B2032" t="s">
        <v>57</v>
      </c>
      <c r="C2032" t="s">
        <v>5436</v>
      </c>
      <c r="D2032" t="s">
        <v>717</v>
      </c>
      <c r="E2032" t="s">
        <v>718</v>
      </c>
      <c r="F2032">
        <v>120</v>
      </c>
      <c r="G2032">
        <v>36022</v>
      </c>
      <c r="H2032">
        <v>36494</v>
      </c>
      <c r="I2032">
        <v>44562</v>
      </c>
      <c r="J2032">
        <v>45589</v>
      </c>
      <c r="L2032" t="s">
        <v>135</v>
      </c>
      <c r="M2032" t="s">
        <v>136</v>
      </c>
      <c r="N2032" t="s">
        <v>448</v>
      </c>
      <c r="O2032" t="s">
        <v>5437</v>
      </c>
      <c r="P2032" t="s">
        <v>49</v>
      </c>
      <c r="R2032">
        <v>26</v>
      </c>
      <c r="S2032">
        <v>12</v>
      </c>
      <c r="T2032">
        <v>2</v>
      </c>
      <c r="U2032" t="s">
        <v>5438</v>
      </c>
      <c r="V2032" t="s">
        <v>5439</v>
      </c>
      <c r="W2032">
        <v>28208291701499</v>
      </c>
      <c r="AC2032" t="s">
        <v>5440</v>
      </c>
      <c r="AF2032">
        <v>95</v>
      </c>
      <c r="AG2032">
        <v>170</v>
      </c>
      <c r="AH2032">
        <v>25</v>
      </c>
      <c r="AJ2032" t="s">
        <v>5441</v>
      </c>
    </row>
    <row r="2033" spans="1:37" ht="18.75" customHeight="1" x14ac:dyDescent="0.3">
      <c r="A2033" s="1">
        <v>2018138310150</v>
      </c>
      <c r="B2033" t="s">
        <v>106</v>
      </c>
      <c r="C2033" t="s">
        <v>5442</v>
      </c>
      <c r="D2033" t="s">
        <v>717</v>
      </c>
      <c r="E2033" t="s">
        <v>718</v>
      </c>
      <c r="F2033">
        <v>158</v>
      </c>
      <c r="G2033">
        <v>43279</v>
      </c>
      <c r="H2033">
        <v>44117</v>
      </c>
      <c r="I2033">
        <v>46023</v>
      </c>
      <c r="J2033">
        <v>44142</v>
      </c>
      <c r="L2033" t="s">
        <v>135</v>
      </c>
      <c r="M2033" t="s">
        <v>136</v>
      </c>
      <c r="N2033" t="s">
        <v>127</v>
      </c>
      <c r="O2033" t="s">
        <v>5443</v>
      </c>
      <c r="P2033" t="s">
        <v>49</v>
      </c>
      <c r="R2033">
        <v>2</v>
      </c>
      <c r="S2033">
        <v>0</v>
      </c>
      <c r="T2033">
        <v>0</v>
      </c>
      <c r="U2033" t="s">
        <v>5444</v>
      </c>
      <c r="V2033" t="s">
        <v>5445</v>
      </c>
      <c r="W2033">
        <v>29908091600995</v>
      </c>
      <c r="AC2033" t="s">
        <v>5446</v>
      </c>
      <c r="AF2033">
        <v>58</v>
      </c>
      <c r="AG2033">
        <v>167</v>
      </c>
      <c r="AH2033">
        <v>-9</v>
      </c>
    </row>
    <row r="2034" spans="1:37" ht="18.75" customHeight="1" x14ac:dyDescent="0.3">
      <c r="A2034" s="1">
        <v>2018138310928</v>
      </c>
      <c r="B2034" t="s">
        <v>106</v>
      </c>
      <c r="C2034" t="s">
        <v>5447</v>
      </c>
      <c r="D2034" t="s">
        <v>717</v>
      </c>
      <c r="E2034" t="s">
        <v>718</v>
      </c>
      <c r="F2034">
        <v>158</v>
      </c>
      <c r="G2034">
        <v>43279</v>
      </c>
      <c r="H2034">
        <v>44117</v>
      </c>
      <c r="I2034">
        <v>46023</v>
      </c>
      <c r="J2034">
        <v>44578</v>
      </c>
      <c r="L2034" t="s">
        <v>135</v>
      </c>
      <c r="M2034" t="s">
        <v>136</v>
      </c>
      <c r="N2034" t="s">
        <v>127</v>
      </c>
      <c r="O2034" t="s">
        <v>5448</v>
      </c>
      <c r="P2034" t="s">
        <v>49</v>
      </c>
      <c r="R2034">
        <v>2</v>
      </c>
      <c r="S2034">
        <v>0</v>
      </c>
      <c r="T2034">
        <v>0</v>
      </c>
      <c r="U2034" t="s">
        <v>5449</v>
      </c>
      <c r="V2034" t="s">
        <v>5450</v>
      </c>
      <c r="W2034">
        <v>30205201201611</v>
      </c>
      <c r="AC2034" t="s">
        <v>5451</v>
      </c>
      <c r="AF2034">
        <v>66</v>
      </c>
      <c r="AG2034">
        <v>165</v>
      </c>
      <c r="AH2034">
        <v>1</v>
      </c>
      <c r="AI2034" t="s">
        <v>5452</v>
      </c>
      <c r="AJ2034" t="s">
        <v>5453</v>
      </c>
    </row>
    <row r="2035" spans="1:37" ht="18.75" customHeight="1" x14ac:dyDescent="0.3">
      <c r="A2035" s="1">
        <v>2021134704821</v>
      </c>
      <c r="B2035" t="s">
        <v>125</v>
      </c>
      <c r="C2035" t="s">
        <v>5454</v>
      </c>
      <c r="D2035" t="s">
        <v>717</v>
      </c>
      <c r="E2035" t="s">
        <v>718</v>
      </c>
      <c r="F2035">
        <v>160</v>
      </c>
      <c r="G2035">
        <v>44215</v>
      </c>
      <c r="H2035">
        <v>45197</v>
      </c>
      <c r="I2035">
        <v>45197</v>
      </c>
      <c r="J2035">
        <v>45216</v>
      </c>
      <c r="L2035" t="s">
        <v>135</v>
      </c>
      <c r="M2035" t="s">
        <v>136</v>
      </c>
      <c r="N2035" t="s">
        <v>47</v>
      </c>
      <c r="O2035" t="s">
        <v>499</v>
      </c>
      <c r="P2035" t="s">
        <v>49</v>
      </c>
      <c r="R2035">
        <v>0</v>
      </c>
      <c r="S2035">
        <v>0</v>
      </c>
      <c r="T2035">
        <v>0</v>
      </c>
      <c r="U2035" t="s">
        <v>5449</v>
      </c>
      <c r="V2035" t="s">
        <v>5455</v>
      </c>
      <c r="W2035">
        <v>30007121303239</v>
      </c>
      <c r="AC2035" t="s">
        <v>5456</v>
      </c>
      <c r="AF2035">
        <v>78</v>
      </c>
      <c r="AG2035">
        <v>177</v>
      </c>
      <c r="AH2035">
        <v>1</v>
      </c>
    </row>
    <row r="2036" spans="1:37" ht="18.75" customHeight="1" x14ac:dyDescent="0.3">
      <c r="A2036" s="1">
        <v>2023131100177</v>
      </c>
      <c r="B2036" t="s">
        <v>125</v>
      </c>
      <c r="C2036" t="s">
        <v>5457</v>
      </c>
      <c r="D2036" t="s">
        <v>717</v>
      </c>
      <c r="E2036" t="s">
        <v>718</v>
      </c>
      <c r="F2036">
        <v>162</v>
      </c>
      <c r="G2036">
        <v>44941</v>
      </c>
      <c r="H2036">
        <v>45976</v>
      </c>
      <c r="I2036">
        <v>45976</v>
      </c>
      <c r="J2036">
        <v>45966</v>
      </c>
      <c r="L2036" t="s">
        <v>135</v>
      </c>
      <c r="M2036" t="s">
        <v>136</v>
      </c>
      <c r="N2036" t="s">
        <v>448</v>
      </c>
      <c r="O2036" t="s">
        <v>5012</v>
      </c>
      <c r="P2036" t="s">
        <v>49</v>
      </c>
      <c r="R2036">
        <v>0</v>
      </c>
      <c r="S2036">
        <v>0</v>
      </c>
      <c r="T2036">
        <v>0</v>
      </c>
      <c r="U2036" t="s">
        <v>5458</v>
      </c>
      <c r="V2036" t="s">
        <v>5458</v>
      </c>
      <c r="W2036">
        <v>30109011309638</v>
      </c>
      <c r="X2036">
        <v>37135</v>
      </c>
      <c r="AC2036" t="s">
        <v>5459</v>
      </c>
      <c r="AF2036">
        <v>72</v>
      </c>
      <c r="AG2036">
        <v>181</v>
      </c>
      <c r="AH2036">
        <v>-9</v>
      </c>
    </row>
    <row r="2037" spans="1:37" ht="18.75" customHeight="1" x14ac:dyDescent="0.3">
      <c r="A2037" s="1">
        <v>2015131100653</v>
      </c>
      <c r="B2037" t="s">
        <v>106</v>
      </c>
      <c r="C2037" t="s">
        <v>5460</v>
      </c>
      <c r="D2037" t="s">
        <v>849</v>
      </c>
      <c r="E2037" t="s">
        <v>850</v>
      </c>
      <c r="F2037">
        <v>153</v>
      </c>
      <c r="G2037">
        <v>42030</v>
      </c>
      <c r="H2037">
        <v>42501</v>
      </c>
      <c r="I2037">
        <v>44378</v>
      </c>
      <c r="M2037" t="s">
        <v>136</v>
      </c>
      <c r="N2037" t="s">
        <v>448</v>
      </c>
      <c r="O2037" t="s">
        <v>5012</v>
      </c>
      <c r="P2037" t="s">
        <v>49</v>
      </c>
      <c r="R2037">
        <v>2</v>
      </c>
      <c r="S2037">
        <v>0</v>
      </c>
      <c r="T2037">
        <v>0</v>
      </c>
      <c r="U2037" t="s">
        <v>5461</v>
      </c>
      <c r="V2037" t="s">
        <v>5462</v>
      </c>
      <c r="X2037">
        <v>35836</v>
      </c>
      <c r="Y2037" t="s">
        <v>153</v>
      </c>
      <c r="AF2037">
        <v>59</v>
      </c>
      <c r="AG2037">
        <v>163</v>
      </c>
      <c r="AH2037">
        <v>-4</v>
      </c>
    </row>
    <row r="2038" spans="1:37" ht="18.75" customHeight="1" x14ac:dyDescent="0.3">
      <c r="A2038" s="1">
        <v>1998131812592</v>
      </c>
      <c r="B2038" t="s">
        <v>210</v>
      </c>
      <c r="C2038" t="s">
        <v>5463</v>
      </c>
      <c r="D2038" t="s">
        <v>725</v>
      </c>
      <c r="E2038" t="s">
        <v>43</v>
      </c>
      <c r="F2038">
        <v>101</v>
      </c>
      <c r="G2038">
        <v>32509</v>
      </c>
      <c r="H2038">
        <v>33223</v>
      </c>
      <c r="I2038">
        <v>41640</v>
      </c>
      <c r="J2038">
        <v>45580</v>
      </c>
      <c r="L2038" t="s">
        <v>135</v>
      </c>
      <c r="M2038" t="s">
        <v>726</v>
      </c>
      <c r="N2038" t="s">
        <v>727</v>
      </c>
      <c r="Q2038" t="s">
        <v>49</v>
      </c>
      <c r="R2038">
        <v>67</v>
      </c>
      <c r="S2038">
        <v>7</v>
      </c>
      <c r="T2038">
        <v>3</v>
      </c>
      <c r="U2038" t="s">
        <v>5464</v>
      </c>
      <c r="V2038" t="s">
        <v>5465</v>
      </c>
      <c r="W2038">
        <v>27307071300234</v>
      </c>
      <c r="X2038">
        <v>26852</v>
      </c>
      <c r="Y2038" t="s">
        <v>103</v>
      </c>
      <c r="Z2038">
        <v>4</v>
      </c>
      <c r="AC2038" t="s">
        <v>5466</v>
      </c>
      <c r="AF2038">
        <v>90</v>
      </c>
      <c r="AG2038">
        <v>185</v>
      </c>
      <c r="AH2038" t="str">
        <f>IF([2]!Table1[[#This Row],[الوزن]]&lt;&gt;"",[2]!Table1[[#This Row],[الوزن]]-([2]!Table1[[#This Row],[الطول]]-100),"")</f>
        <v/>
      </c>
      <c r="AI2038" t="s">
        <v>5467</v>
      </c>
    </row>
    <row r="2039" spans="1:37" ht="18.75" customHeight="1" x14ac:dyDescent="0.3">
      <c r="A2039" s="1">
        <v>2004138301207</v>
      </c>
      <c r="B2039" t="s">
        <v>210</v>
      </c>
      <c r="C2039" t="s">
        <v>5468</v>
      </c>
      <c r="D2039" t="s">
        <v>4355</v>
      </c>
      <c r="E2039" t="s">
        <v>718</v>
      </c>
      <c r="F2039">
        <v>131</v>
      </c>
      <c r="G2039">
        <v>38003</v>
      </c>
      <c r="H2039">
        <v>38475</v>
      </c>
      <c r="I2039">
        <v>44378</v>
      </c>
      <c r="J2039">
        <v>45575</v>
      </c>
      <c r="L2039" t="s">
        <v>135</v>
      </c>
      <c r="M2039" t="s">
        <v>1720</v>
      </c>
      <c r="N2039" t="s">
        <v>127</v>
      </c>
      <c r="O2039" t="s">
        <v>3216</v>
      </c>
      <c r="P2039" t="s">
        <v>49</v>
      </c>
      <c r="R2039">
        <v>4</v>
      </c>
      <c r="S2039">
        <v>0</v>
      </c>
      <c r="T2039">
        <v>0</v>
      </c>
      <c r="U2039" t="s">
        <v>5469</v>
      </c>
      <c r="W2039">
        <v>28407071802653</v>
      </c>
      <c r="X2039">
        <v>30870</v>
      </c>
      <c r="AC2039" t="s">
        <v>5470</v>
      </c>
      <c r="AH2039" t="s">
        <v>787</v>
      </c>
      <c r="AI2039" t="s">
        <v>5471</v>
      </c>
      <c r="AJ2039" t="s">
        <v>5472</v>
      </c>
    </row>
    <row r="2040" spans="1:37" ht="18.75" customHeight="1" x14ac:dyDescent="0.3">
      <c r="A2040" s="1">
        <v>2005138304598</v>
      </c>
      <c r="B2040" t="s">
        <v>57</v>
      </c>
      <c r="C2040" t="s">
        <v>5473</v>
      </c>
      <c r="D2040" t="s">
        <v>4355</v>
      </c>
      <c r="E2040" t="s">
        <v>718</v>
      </c>
      <c r="F2040">
        <v>134</v>
      </c>
      <c r="G2040">
        <v>38549</v>
      </c>
      <c r="H2040">
        <v>46184</v>
      </c>
      <c r="I2040">
        <v>44743</v>
      </c>
      <c r="J2040">
        <v>45980</v>
      </c>
      <c r="L2040" t="s">
        <v>135</v>
      </c>
      <c r="M2040" t="s">
        <v>1720</v>
      </c>
      <c r="N2040" t="s">
        <v>127</v>
      </c>
      <c r="O2040" t="s">
        <v>5474</v>
      </c>
      <c r="P2040" t="s">
        <v>49</v>
      </c>
      <c r="R2040">
        <v>9</v>
      </c>
      <c r="S2040">
        <v>0</v>
      </c>
      <c r="T2040">
        <v>0</v>
      </c>
      <c r="U2040" t="s">
        <v>5475</v>
      </c>
      <c r="W2040">
        <v>28202012703811</v>
      </c>
      <c r="X2040">
        <v>29983</v>
      </c>
      <c r="AC2040" t="s">
        <v>2023</v>
      </c>
      <c r="AH2040" t="s">
        <v>787</v>
      </c>
      <c r="AJ2040" t="s">
        <v>5476</v>
      </c>
      <c r="AK2040" t="s">
        <v>5415</v>
      </c>
    </row>
    <row r="2041" spans="1:37" ht="18.75" customHeight="1" x14ac:dyDescent="0.3">
      <c r="A2041" s="1">
        <v>2010131800881</v>
      </c>
      <c r="B2041" t="s">
        <v>75</v>
      </c>
      <c r="C2041" t="s">
        <v>5477</v>
      </c>
      <c r="D2041" t="s">
        <v>725</v>
      </c>
      <c r="E2041" t="s">
        <v>43</v>
      </c>
      <c r="F2041">
        <v>144</v>
      </c>
      <c r="G2041">
        <v>40376</v>
      </c>
      <c r="H2041">
        <v>40849</v>
      </c>
      <c r="I2041">
        <v>44562</v>
      </c>
      <c r="J2041">
        <v>45972</v>
      </c>
      <c r="L2041" t="s">
        <v>135</v>
      </c>
      <c r="M2041" t="s">
        <v>726</v>
      </c>
      <c r="N2041" t="s">
        <v>727</v>
      </c>
      <c r="P2041" t="s">
        <v>49</v>
      </c>
      <c r="R2041">
        <v>11</v>
      </c>
      <c r="S2041">
        <v>2</v>
      </c>
      <c r="T2041">
        <v>0</v>
      </c>
      <c r="U2041" t="s">
        <v>5478</v>
      </c>
      <c r="V2041" t="s">
        <v>5479</v>
      </c>
      <c r="W2041">
        <v>29109011800557</v>
      </c>
      <c r="X2041">
        <v>33482</v>
      </c>
      <c r="Y2041" t="s">
        <v>103</v>
      </c>
      <c r="Z2041">
        <v>2</v>
      </c>
      <c r="AC2041" t="s">
        <v>5480</v>
      </c>
      <c r="AF2041">
        <v>68</v>
      </c>
      <c r="AG2041">
        <v>172</v>
      </c>
      <c r="AH2041" t="str">
        <f>IF([2]!Table1[[#This Row],[الوزن]]&lt;&gt;"",[2]!Table1[[#This Row],[الوزن]]-([2]!Table1[[#This Row],[الطول]]-100),"")</f>
        <v/>
      </c>
      <c r="AI2041" t="s">
        <v>5481</v>
      </c>
    </row>
    <row r="2042" spans="1:37" ht="18.75" customHeight="1" x14ac:dyDescent="0.3">
      <c r="A2042" s="1">
        <v>2011138304412</v>
      </c>
      <c r="B2042" t="s">
        <v>75</v>
      </c>
      <c r="C2042" t="s">
        <v>5482</v>
      </c>
      <c r="D2042" t="s">
        <v>4355</v>
      </c>
      <c r="E2042" t="s">
        <v>718</v>
      </c>
      <c r="F2042">
        <v>145</v>
      </c>
      <c r="G2042">
        <v>40558</v>
      </c>
      <c r="H2042">
        <v>41030</v>
      </c>
      <c r="I2042">
        <v>44743</v>
      </c>
      <c r="J2042">
        <v>45587</v>
      </c>
      <c r="L2042" t="s">
        <v>135</v>
      </c>
      <c r="M2042" t="s">
        <v>1720</v>
      </c>
      <c r="N2042" t="s">
        <v>127</v>
      </c>
      <c r="O2042" t="s">
        <v>5483</v>
      </c>
      <c r="P2042" t="s">
        <v>49</v>
      </c>
      <c r="R2042">
        <v>10</v>
      </c>
      <c r="S2042">
        <v>0</v>
      </c>
      <c r="T2042">
        <v>0</v>
      </c>
      <c r="U2042" t="s">
        <v>5484</v>
      </c>
      <c r="W2042">
        <v>2920701170477</v>
      </c>
      <c r="X2042">
        <v>33786</v>
      </c>
      <c r="AC2042" t="s">
        <v>5485</v>
      </c>
      <c r="AH2042" t="s">
        <v>787</v>
      </c>
      <c r="AJ2042" t="s">
        <v>5486</v>
      </c>
    </row>
    <row r="2043" spans="1:37" ht="18.75" customHeight="1" x14ac:dyDescent="0.3">
      <c r="A2043" s="1">
        <v>2011138307698</v>
      </c>
      <c r="B2043" t="s">
        <v>75</v>
      </c>
      <c r="C2043" t="s">
        <v>5487</v>
      </c>
      <c r="D2043" t="s">
        <v>4355</v>
      </c>
      <c r="E2043" t="s">
        <v>718</v>
      </c>
      <c r="F2043">
        <v>145</v>
      </c>
      <c r="G2043">
        <v>40558</v>
      </c>
      <c r="H2043">
        <v>41030</v>
      </c>
      <c r="I2043">
        <v>44743</v>
      </c>
      <c r="J2043">
        <v>44707</v>
      </c>
      <c r="L2043" t="s">
        <v>135</v>
      </c>
      <c r="M2043" t="s">
        <v>1720</v>
      </c>
      <c r="N2043" t="s">
        <v>127</v>
      </c>
      <c r="O2043" t="s">
        <v>5488</v>
      </c>
      <c r="P2043" t="s">
        <v>49</v>
      </c>
      <c r="R2043">
        <v>3</v>
      </c>
      <c r="S2043">
        <v>0</v>
      </c>
      <c r="T2043">
        <v>0</v>
      </c>
      <c r="U2043" t="s">
        <v>5489</v>
      </c>
      <c r="W2043">
        <v>28906251602233</v>
      </c>
      <c r="X2043">
        <v>32684</v>
      </c>
      <c r="AC2043" t="s">
        <v>5490</v>
      </c>
      <c r="AH2043" t="s">
        <v>787</v>
      </c>
      <c r="AJ2043" t="s">
        <v>5491</v>
      </c>
    </row>
    <row r="2044" spans="1:37" ht="18.75" customHeight="1" x14ac:dyDescent="0.3">
      <c r="A2044" s="1">
        <v>2013138317338</v>
      </c>
      <c r="B2044" t="s">
        <v>75</v>
      </c>
      <c r="C2044" t="s">
        <v>5492</v>
      </c>
      <c r="D2044" t="s">
        <v>4355</v>
      </c>
      <c r="E2044" t="s">
        <v>718</v>
      </c>
      <c r="F2044">
        <v>150</v>
      </c>
      <c r="G2044">
        <v>41510</v>
      </c>
      <c r="H2044">
        <v>41982</v>
      </c>
      <c r="I2044">
        <v>45658</v>
      </c>
      <c r="J2044">
        <v>44527</v>
      </c>
      <c r="L2044" t="s">
        <v>135</v>
      </c>
      <c r="M2044" t="s">
        <v>1720</v>
      </c>
      <c r="N2044" t="s">
        <v>127</v>
      </c>
      <c r="O2044" t="s">
        <v>5483</v>
      </c>
      <c r="Q2044" t="s">
        <v>49</v>
      </c>
      <c r="R2044">
        <v>0</v>
      </c>
      <c r="S2044">
        <v>0</v>
      </c>
      <c r="T2044">
        <v>0</v>
      </c>
      <c r="U2044" t="s">
        <v>5493</v>
      </c>
      <c r="W2044">
        <v>29404281700891</v>
      </c>
      <c r="X2044">
        <v>34452</v>
      </c>
      <c r="AC2044" t="s">
        <v>1996</v>
      </c>
      <c r="AH2044" t="s">
        <v>787</v>
      </c>
      <c r="AJ2044" t="s">
        <v>5494</v>
      </c>
      <c r="AK2044" t="s">
        <v>5415</v>
      </c>
    </row>
    <row r="2045" spans="1:37" ht="18.75" customHeight="1" x14ac:dyDescent="0.3">
      <c r="A2045" s="1">
        <v>2014138312401</v>
      </c>
      <c r="B2045" t="s">
        <v>75</v>
      </c>
      <c r="C2045" t="s">
        <v>5495</v>
      </c>
      <c r="D2045" t="s">
        <v>4355</v>
      </c>
      <c r="E2045" t="s">
        <v>718</v>
      </c>
      <c r="F2045">
        <v>152</v>
      </c>
      <c r="G2045">
        <v>41853</v>
      </c>
      <c r="H2045">
        <v>42326</v>
      </c>
      <c r="I2045">
        <v>46023</v>
      </c>
      <c r="J2045">
        <v>44501</v>
      </c>
      <c r="L2045" t="s">
        <v>135</v>
      </c>
      <c r="M2045" t="s">
        <v>1720</v>
      </c>
      <c r="N2045" t="s">
        <v>127</v>
      </c>
      <c r="O2045" t="s">
        <v>5496</v>
      </c>
      <c r="Q2045" t="s">
        <v>49</v>
      </c>
      <c r="R2045">
        <v>0</v>
      </c>
      <c r="S2045">
        <v>0</v>
      </c>
      <c r="T2045">
        <v>0</v>
      </c>
      <c r="U2045" t="s">
        <v>5497</v>
      </c>
      <c r="W2045">
        <v>2951151800177</v>
      </c>
      <c r="X2045">
        <v>35018</v>
      </c>
      <c r="AC2045" t="s">
        <v>3953</v>
      </c>
      <c r="AH2045" t="s">
        <v>787</v>
      </c>
      <c r="AJ2045" t="s">
        <v>5498</v>
      </c>
    </row>
    <row r="2046" spans="1:37" ht="18.75" customHeight="1" x14ac:dyDescent="0.3">
      <c r="A2046" s="1">
        <v>2017138304022</v>
      </c>
      <c r="B2046" t="s">
        <v>106</v>
      </c>
      <c r="C2046" t="s">
        <v>5499</v>
      </c>
      <c r="D2046" t="s">
        <v>4355</v>
      </c>
      <c r="E2046" t="s">
        <v>718</v>
      </c>
      <c r="F2046">
        <v>157</v>
      </c>
      <c r="G2046">
        <v>42915</v>
      </c>
      <c r="H2046">
        <v>43663</v>
      </c>
      <c r="I2046">
        <v>45658</v>
      </c>
      <c r="J2046">
        <v>45586</v>
      </c>
      <c r="L2046" t="s">
        <v>45</v>
      </c>
      <c r="M2046" t="s">
        <v>1720</v>
      </c>
      <c r="N2046" t="s">
        <v>127</v>
      </c>
      <c r="O2046" t="s">
        <v>5500</v>
      </c>
      <c r="Q2046" t="s">
        <v>49</v>
      </c>
      <c r="R2046">
        <v>2</v>
      </c>
      <c r="S2046">
        <v>0</v>
      </c>
      <c r="T2046">
        <v>0</v>
      </c>
      <c r="U2046" t="s">
        <v>5501</v>
      </c>
      <c r="W2046">
        <v>29704162200255</v>
      </c>
      <c r="X2046">
        <v>35536</v>
      </c>
      <c r="AC2046" t="s">
        <v>5502</v>
      </c>
      <c r="AF2046">
        <v>82</v>
      </c>
      <c r="AG2046">
        <v>178</v>
      </c>
      <c r="AH2046">
        <v>4</v>
      </c>
      <c r="AJ2046" t="s">
        <v>5503</v>
      </c>
    </row>
    <row r="2047" spans="1:37" ht="18.75" customHeight="1" x14ac:dyDescent="0.3">
      <c r="A2047" s="1">
        <v>2011131800368</v>
      </c>
      <c r="B2047" t="s">
        <v>75</v>
      </c>
      <c r="C2047" t="s">
        <v>5504</v>
      </c>
      <c r="D2047" t="s">
        <v>3500</v>
      </c>
      <c r="E2047" t="s">
        <v>335</v>
      </c>
      <c r="F2047">
        <v>147</v>
      </c>
      <c r="G2047">
        <v>40558</v>
      </c>
      <c r="H2047">
        <v>41009</v>
      </c>
      <c r="I2047">
        <v>44743</v>
      </c>
      <c r="L2047" t="s">
        <v>135</v>
      </c>
      <c r="M2047" t="s">
        <v>335</v>
      </c>
      <c r="N2047" t="s">
        <v>727</v>
      </c>
      <c r="P2047" t="s">
        <v>49</v>
      </c>
      <c r="U2047">
        <v>1065559348</v>
      </c>
      <c r="V2047">
        <v>1065559348</v>
      </c>
      <c r="W2047">
        <v>29409101801891</v>
      </c>
      <c r="X2047">
        <v>34587</v>
      </c>
      <c r="Y2047" t="s">
        <v>103</v>
      </c>
      <c r="AE2047">
        <v>51</v>
      </c>
      <c r="AF2047">
        <v>170</v>
      </c>
      <c r="AG2047">
        <v>-19</v>
      </c>
      <c r="AJ2047" t="s">
        <v>5505</v>
      </c>
    </row>
    <row r="2048" spans="1:37" ht="18.75" customHeight="1" x14ac:dyDescent="0.3">
      <c r="A2048" s="1">
        <v>2018138314699</v>
      </c>
      <c r="B2048" t="s">
        <v>106</v>
      </c>
      <c r="C2048" t="s">
        <v>5506</v>
      </c>
      <c r="D2048" t="s">
        <v>4355</v>
      </c>
      <c r="E2048" t="s">
        <v>718</v>
      </c>
      <c r="F2048">
        <v>158</v>
      </c>
      <c r="G2048">
        <v>43279</v>
      </c>
      <c r="H2048">
        <v>44117</v>
      </c>
      <c r="I2048">
        <v>46023</v>
      </c>
      <c r="J2048">
        <v>45978</v>
      </c>
      <c r="L2048" t="s">
        <v>45</v>
      </c>
      <c r="M2048" t="s">
        <v>1720</v>
      </c>
      <c r="N2048" t="s">
        <v>127</v>
      </c>
      <c r="O2048" t="s">
        <v>4978</v>
      </c>
      <c r="Q2048" t="s">
        <v>49</v>
      </c>
      <c r="R2048">
        <v>5</v>
      </c>
      <c r="S2048">
        <v>0</v>
      </c>
      <c r="T2048">
        <v>0</v>
      </c>
      <c r="U2048" t="s">
        <v>5507</v>
      </c>
      <c r="W2048">
        <v>29901241701322</v>
      </c>
      <c r="X2048">
        <v>36184</v>
      </c>
      <c r="AC2048" t="s">
        <v>5508</v>
      </c>
      <c r="AH2048" t="s">
        <v>787</v>
      </c>
      <c r="AJ2048" t="s">
        <v>5509</v>
      </c>
    </row>
    <row r="2049" spans="1:36" ht="18.75" customHeight="1" x14ac:dyDescent="0.3">
      <c r="A2049" s="1">
        <v>2019138312310</v>
      </c>
      <c r="B2049" t="s">
        <v>125</v>
      </c>
      <c r="C2049" t="s">
        <v>5510</v>
      </c>
      <c r="D2049" t="s">
        <v>4355</v>
      </c>
      <c r="E2049" t="s">
        <v>718</v>
      </c>
      <c r="F2049">
        <v>159</v>
      </c>
      <c r="G2049">
        <v>43692</v>
      </c>
      <c r="H2049">
        <v>44482</v>
      </c>
      <c r="I2049">
        <v>44482</v>
      </c>
      <c r="J2049">
        <v>45588</v>
      </c>
      <c r="L2049" t="s">
        <v>135</v>
      </c>
      <c r="M2049" t="s">
        <v>1720</v>
      </c>
      <c r="N2049" t="s">
        <v>127</v>
      </c>
      <c r="O2049" t="s">
        <v>5511</v>
      </c>
      <c r="R2049">
        <v>0</v>
      </c>
      <c r="S2049">
        <v>0</v>
      </c>
      <c r="T2049">
        <v>0</v>
      </c>
      <c r="U2049" t="s">
        <v>5512</v>
      </c>
      <c r="V2049" t="s">
        <v>5513</v>
      </c>
      <c r="W2049">
        <v>30102061701712</v>
      </c>
      <c r="X2049">
        <v>36928</v>
      </c>
      <c r="AC2049" t="s">
        <v>5514</v>
      </c>
      <c r="AF2049">
        <v>68</v>
      </c>
      <c r="AG2049">
        <v>174</v>
      </c>
      <c r="AH2049">
        <v>-6</v>
      </c>
      <c r="AJ2049" t="s">
        <v>5515</v>
      </c>
    </row>
    <row r="2050" spans="1:36" ht="18.75" customHeight="1" x14ac:dyDescent="0.3">
      <c r="A2050" s="1">
        <v>2021138316200</v>
      </c>
      <c r="B2050" t="s">
        <v>125</v>
      </c>
      <c r="C2050" t="s">
        <v>5516</v>
      </c>
      <c r="D2050" t="s">
        <v>4355</v>
      </c>
      <c r="E2050" t="s">
        <v>718</v>
      </c>
      <c r="F2050">
        <v>161</v>
      </c>
      <c r="G2050">
        <v>44546</v>
      </c>
      <c r="H2050">
        <v>45581</v>
      </c>
      <c r="I2050">
        <v>45565</v>
      </c>
      <c r="J2050">
        <v>45581</v>
      </c>
      <c r="L2050" t="s">
        <v>45</v>
      </c>
      <c r="M2050" t="s">
        <v>1720</v>
      </c>
      <c r="N2050" t="s">
        <v>127</v>
      </c>
      <c r="O2050" t="s">
        <v>5483</v>
      </c>
      <c r="P2050" t="s">
        <v>49</v>
      </c>
      <c r="R2050">
        <v>0</v>
      </c>
      <c r="S2050">
        <v>0</v>
      </c>
      <c r="T2050">
        <v>0</v>
      </c>
      <c r="U2050" t="s">
        <v>5517</v>
      </c>
      <c r="W2050">
        <v>30408251700536</v>
      </c>
      <c r="X2050">
        <v>38224</v>
      </c>
      <c r="AC2050" t="s">
        <v>346</v>
      </c>
      <c r="AH2050" t="s">
        <v>787</v>
      </c>
    </row>
    <row r="2051" spans="1:36" ht="18.75" customHeight="1" x14ac:dyDescent="0.3">
      <c r="A2051" s="1">
        <v>2021138316268</v>
      </c>
      <c r="B2051" t="s">
        <v>125</v>
      </c>
      <c r="C2051" t="s">
        <v>5518</v>
      </c>
      <c r="D2051" t="s">
        <v>4355</v>
      </c>
      <c r="E2051" t="s">
        <v>718</v>
      </c>
      <c r="F2051">
        <v>161</v>
      </c>
      <c r="G2051">
        <v>44546</v>
      </c>
      <c r="H2051">
        <v>45581</v>
      </c>
      <c r="I2051">
        <v>45565</v>
      </c>
      <c r="J2051">
        <v>45581</v>
      </c>
      <c r="L2051" t="s">
        <v>45</v>
      </c>
      <c r="M2051" t="s">
        <v>1720</v>
      </c>
      <c r="N2051" t="s">
        <v>127</v>
      </c>
      <c r="O2051" t="s">
        <v>5483</v>
      </c>
      <c r="P2051" t="s">
        <v>49</v>
      </c>
      <c r="R2051">
        <v>0</v>
      </c>
      <c r="S2051">
        <v>0</v>
      </c>
      <c r="T2051">
        <v>0</v>
      </c>
      <c r="U2051" t="s">
        <v>5519</v>
      </c>
      <c r="W2051">
        <v>30404071600872</v>
      </c>
      <c r="X2051">
        <v>38084</v>
      </c>
      <c r="AC2051" t="s">
        <v>5520</v>
      </c>
      <c r="AH2051" t="s">
        <v>787</v>
      </c>
    </row>
    <row r="2052" spans="1:36" ht="18.75" customHeight="1" x14ac:dyDescent="0.3">
      <c r="A2052" s="1">
        <v>2010138302640</v>
      </c>
      <c r="B2052" t="s">
        <v>75</v>
      </c>
      <c r="C2052" t="s">
        <v>5521</v>
      </c>
      <c r="D2052" t="s">
        <v>5345</v>
      </c>
      <c r="E2052" t="s">
        <v>718</v>
      </c>
      <c r="F2052">
        <v>143</v>
      </c>
      <c r="G2052">
        <v>40194</v>
      </c>
      <c r="H2052">
        <v>40665</v>
      </c>
      <c r="I2052">
        <v>44378</v>
      </c>
      <c r="J2052">
        <v>45975</v>
      </c>
      <c r="L2052" t="s">
        <v>135</v>
      </c>
      <c r="M2052" t="s">
        <v>812</v>
      </c>
      <c r="N2052" t="s">
        <v>127</v>
      </c>
      <c r="O2052" t="s">
        <v>5522</v>
      </c>
      <c r="P2052" t="s">
        <v>49</v>
      </c>
      <c r="R2052">
        <v>1</v>
      </c>
      <c r="S2052">
        <v>0</v>
      </c>
      <c r="T2052">
        <v>0</v>
      </c>
      <c r="U2052" t="s">
        <v>5523</v>
      </c>
      <c r="V2052" t="s">
        <v>5524</v>
      </c>
      <c r="W2052">
        <v>29004191600791</v>
      </c>
      <c r="X2052">
        <v>32982</v>
      </c>
      <c r="AC2052" t="s">
        <v>5525</v>
      </c>
      <c r="AF2052">
        <v>83</v>
      </c>
      <c r="AG2052">
        <v>181</v>
      </c>
      <c r="AH2052">
        <v>2</v>
      </c>
      <c r="AJ2052" t="s">
        <v>5526</v>
      </c>
    </row>
    <row r="2053" spans="1:36" ht="18.75" customHeight="1" x14ac:dyDescent="0.3">
      <c r="A2053" s="1">
        <v>2010138309159</v>
      </c>
      <c r="B2053" t="s">
        <v>75</v>
      </c>
      <c r="C2053" t="s">
        <v>5527</v>
      </c>
      <c r="D2053" t="s">
        <v>5345</v>
      </c>
      <c r="E2053" t="s">
        <v>718</v>
      </c>
      <c r="F2053">
        <v>144</v>
      </c>
      <c r="G2053">
        <v>40376</v>
      </c>
      <c r="H2053">
        <v>40860</v>
      </c>
      <c r="I2053">
        <v>44927</v>
      </c>
      <c r="J2053">
        <v>45229</v>
      </c>
      <c r="L2053" t="s">
        <v>135</v>
      </c>
      <c r="M2053" t="s">
        <v>812</v>
      </c>
      <c r="N2053" t="s">
        <v>127</v>
      </c>
      <c r="O2053" t="s">
        <v>5522</v>
      </c>
      <c r="Q2053" t="s">
        <v>49</v>
      </c>
      <c r="R2053">
        <v>31</v>
      </c>
      <c r="S2053">
        <v>3</v>
      </c>
      <c r="T2053">
        <v>1</v>
      </c>
      <c r="U2053" t="s">
        <v>5528</v>
      </c>
      <c r="V2053" t="s">
        <v>5529</v>
      </c>
      <c r="W2053">
        <v>29203022201252</v>
      </c>
      <c r="X2053">
        <v>33665</v>
      </c>
      <c r="AC2053" t="s">
        <v>5530</v>
      </c>
      <c r="AF2053">
        <v>71</v>
      </c>
      <c r="AG2053">
        <v>174</v>
      </c>
      <c r="AH2053">
        <v>-3</v>
      </c>
      <c r="AJ2053" t="s">
        <v>5531</v>
      </c>
    </row>
    <row r="2054" spans="1:36" ht="18.75" customHeight="1" x14ac:dyDescent="0.3">
      <c r="A2054" s="1">
        <v>2012138304436</v>
      </c>
      <c r="B2054" t="s">
        <v>75</v>
      </c>
      <c r="C2054" t="s">
        <v>5532</v>
      </c>
      <c r="D2054" t="s">
        <v>5345</v>
      </c>
      <c r="E2054" t="s">
        <v>718</v>
      </c>
      <c r="F2054">
        <v>147</v>
      </c>
      <c r="G2054">
        <v>40936</v>
      </c>
      <c r="H2054">
        <v>41407</v>
      </c>
      <c r="I2054">
        <v>45108</v>
      </c>
      <c r="J2054">
        <v>45976</v>
      </c>
      <c r="L2054" t="s">
        <v>135</v>
      </c>
      <c r="M2054" t="s">
        <v>812</v>
      </c>
      <c r="N2054" t="s">
        <v>127</v>
      </c>
      <c r="O2054" t="s">
        <v>5533</v>
      </c>
      <c r="Q2054" t="s">
        <v>49</v>
      </c>
      <c r="R2054">
        <v>3</v>
      </c>
      <c r="S2054">
        <v>1</v>
      </c>
      <c r="T2054">
        <v>0</v>
      </c>
      <c r="U2054" t="s">
        <v>5534</v>
      </c>
      <c r="V2054" t="s">
        <v>5535</v>
      </c>
      <c r="W2054">
        <v>28912131300055</v>
      </c>
      <c r="X2054">
        <v>32855</v>
      </c>
      <c r="AC2054" t="s">
        <v>5536</v>
      </c>
      <c r="AF2054">
        <v>75</v>
      </c>
      <c r="AG2054">
        <v>171</v>
      </c>
      <c r="AH2054">
        <v>4</v>
      </c>
      <c r="AJ2054" t="s">
        <v>5537</v>
      </c>
    </row>
    <row r="2055" spans="1:36" ht="18.75" customHeight="1" x14ac:dyDescent="0.3">
      <c r="A2055" s="1">
        <v>2012138304684</v>
      </c>
      <c r="B2055" t="s">
        <v>75</v>
      </c>
      <c r="C2055" t="s">
        <v>5538</v>
      </c>
      <c r="D2055" t="s">
        <v>5345</v>
      </c>
      <c r="E2055" t="s">
        <v>718</v>
      </c>
      <c r="F2055">
        <v>147</v>
      </c>
      <c r="G2055">
        <v>40936</v>
      </c>
      <c r="H2055">
        <v>41407</v>
      </c>
      <c r="I2055">
        <v>45108</v>
      </c>
      <c r="J2055">
        <v>45969</v>
      </c>
      <c r="L2055" t="s">
        <v>135</v>
      </c>
      <c r="M2055" t="s">
        <v>812</v>
      </c>
      <c r="N2055" t="s">
        <v>127</v>
      </c>
      <c r="O2055" t="s">
        <v>5522</v>
      </c>
      <c r="Q2055" t="s">
        <v>49</v>
      </c>
      <c r="R2055">
        <v>7</v>
      </c>
      <c r="S2055">
        <v>0</v>
      </c>
      <c r="T2055">
        <v>0</v>
      </c>
      <c r="U2055" t="s">
        <v>5539</v>
      </c>
      <c r="V2055" t="s">
        <v>5540</v>
      </c>
      <c r="W2055">
        <v>29112012502399</v>
      </c>
      <c r="X2055">
        <v>33573</v>
      </c>
      <c r="AC2055" t="s">
        <v>5541</v>
      </c>
      <c r="AF2055">
        <v>70</v>
      </c>
      <c r="AG2055">
        <v>181</v>
      </c>
      <c r="AH2055">
        <v>-11</v>
      </c>
      <c r="AJ2055" t="s">
        <v>5542</v>
      </c>
    </row>
    <row r="2056" spans="1:36" ht="18.75" customHeight="1" x14ac:dyDescent="0.3">
      <c r="A2056" s="1">
        <v>2013138304880</v>
      </c>
      <c r="B2056" t="s">
        <v>75</v>
      </c>
      <c r="C2056" t="s">
        <v>5543</v>
      </c>
      <c r="D2056" t="s">
        <v>5345</v>
      </c>
      <c r="E2056" t="s">
        <v>718</v>
      </c>
      <c r="F2056">
        <v>150</v>
      </c>
      <c r="G2056">
        <v>41510</v>
      </c>
      <c r="H2056">
        <v>41982</v>
      </c>
      <c r="I2056">
        <v>45658</v>
      </c>
      <c r="J2056">
        <v>45593</v>
      </c>
      <c r="L2056" t="s">
        <v>135</v>
      </c>
      <c r="M2056" t="s">
        <v>812</v>
      </c>
      <c r="N2056" t="s">
        <v>127</v>
      </c>
      <c r="O2056" t="s">
        <v>5522</v>
      </c>
      <c r="R2056">
        <v>1</v>
      </c>
      <c r="S2056">
        <v>0</v>
      </c>
      <c r="T2056">
        <v>0</v>
      </c>
      <c r="U2056" t="s">
        <v>5544</v>
      </c>
      <c r="V2056" t="s">
        <v>5545</v>
      </c>
      <c r="W2056">
        <v>29402201801435</v>
      </c>
      <c r="X2056">
        <v>34385</v>
      </c>
      <c r="AC2056" t="s">
        <v>5546</v>
      </c>
      <c r="AF2056">
        <v>68</v>
      </c>
      <c r="AG2056">
        <v>173</v>
      </c>
      <c r="AH2056">
        <v>-5</v>
      </c>
      <c r="AJ2056" t="s">
        <v>5547</v>
      </c>
    </row>
    <row r="2057" spans="1:36" ht="18.75" customHeight="1" x14ac:dyDescent="0.3">
      <c r="A2057" s="1">
        <v>2014138309044</v>
      </c>
      <c r="B2057" t="s">
        <v>75</v>
      </c>
      <c r="C2057" t="s">
        <v>5548</v>
      </c>
      <c r="D2057" t="s">
        <v>5345</v>
      </c>
      <c r="E2057" t="s">
        <v>718</v>
      </c>
      <c r="F2057">
        <v>152</v>
      </c>
      <c r="G2057">
        <v>41853</v>
      </c>
      <c r="H2057">
        <v>42326</v>
      </c>
      <c r="I2057">
        <v>46023</v>
      </c>
      <c r="J2057">
        <v>44875</v>
      </c>
      <c r="L2057" t="s">
        <v>135</v>
      </c>
      <c r="M2057" t="s">
        <v>812</v>
      </c>
      <c r="N2057" t="s">
        <v>127</v>
      </c>
      <c r="O2057" t="s">
        <v>5522</v>
      </c>
      <c r="Q2057" t="s">
        <v>49</v>
      </c>
      <c r="R2057">
        <v>1</v>
      </c>
      <c r="S2057">
        <v>0</v>
      </c>
      <c r="T2057">
        <v>0</v>
      </c>
      <c r="U2057" t="s">
        <v>5549</v>
      </c>
      <c r="V2057" t="s">
        <v>5550</v>
      </c>
      <c r="W2057">
        <v>29611101400059</v>
      </c>
      <c r="X2057">
        <v>35379</v>
      </c>
      <c r="AC2057" t="s">
        <v>5551</v>
      </c>
      <c r="AF2057">
        <v>75</v>
      </c>
      <c r="AG2057">
        <v>177</v>
      </c>
      <c r="AH2057">
        <v>-2</v>
      </c>
      <c r="AJ2057" t="s">
        <v>5552</v>
      </c>
    </row>
    <row r="2058" spans="1:36" ht="18.75" customHeight="1" x14ac:dyDescent="0.3">
      <c r="A2058" s="1">
        <v>2014138310695</v>
      </c>
      <c r="B2058" t="s">
        <v>75</v>
      </c>
      <c r="C2058" t="s">
        <v>5553</v>
      </c>
      <c r="D2058" t="s">
        <v>5345</v>
      </c>
      <c r="E2058" t="s">
        <v>718</v>
      </c>
      <c r="F2058">
        <v>152</v>
      </c>
      <c r="G2058">
        <v>41853</v>
      </c>
      <c r="H2058">
        <v>42326</v>
      </c>
      <c r="I2058">
        <v>46023</v>
      </c>
      <c r="J2058">
        <v>45975</v>
      </c>
      <c r="L2058" t="s">
        <v>135</v>
      </c>
      <c r="M2058" t="s">
        <v>812</v>
      </c>
      <c r="N2058" t="s">
        <v>127</v>
      </c>
      <c r="O2058" t="s">
        <v>5554</v>
      </c>
      <c r="P2058" t="s">
        <v>49</v>
      </c>
      <c r="R2058">
        <v>3</v>
      </c>
      <c r="S2058">
        <v>0</v>
      </c>
      <c r="T2058">
        <v>0</v>
      </c>
      <c r="U2058" t="s">
        <v>5555</v>
      </c>
      <c r="V2058" t="s">
        <v>5556</v>
      </c>
      <c r="W2058">
        <v>29511201802958</v>
      </c>
      <c r="X2058">
        <v>35023</v>
      </c>
      <c r="AC2058" t="s">
        <v>5557</v>
      </c>
      <c r="AF2058">
        <v>61</v>
      </c>
      <c r="AG2058">
        <v>172</v>
      </c>
      <c r="AH2058">
        <v>-11</v>
      </c>
      <c r="AJ2058" t="s">
        <v>1825</v>
      </c>
    </row>
    <row r="2059" spans="1:36" ht="18.75" customHeight="1" x14ac:dyDescent="0.3">
      <c r="A2059" s="1">
        <v>2015135200566</v>
      </c>
      <c r="B2059" t="s">
        <v>106</v>
      </c>
      <c r="C2059" t="s">
        <v>5558</v>
      </c>
      <c r="D2059" t="s">
        <v>5345</v>
      </c>
      <c r="E2059" t="s">
        <v>718</v>
      </c>
      <c r="F2059">
        <v>153</v>
      </c>
      <c r="G2059">
        <v>42030</v>
      </c>
      <c r="H2059">
        <v>42501</v>
      </c>
      <c r="I2059">
        <v>44378</v>
      </c>
      <c r="J2059">
        <v>45771</v>
      </c>
      <c r="L2059" t="s">
        <v>135</v>
      </c>
      <c r="M2059" t="s">
        <v>812</v>
      </c>
      <c r="N2059" t="s">
        <v>127</v>
      </c>
      <c r="O2059" t="s">
        <v>5559</v>
      </c>
      <c r="P2059" t="s">
        <v>49</v>
      </c>
      <c r="R2059">
        <v>0</v>
      </c>
      <c r="S2059">
        <v>0</v>
      </c>
      <c r="T2059">
        <v>0</v>
      </c>
      <c r="U2059" t="s">
        <v>5560</v>
      </c>
      <c r="V2059" t="s">
        <v>5561</v>
      </c>
      <c r="W2059">
        <v>29808151304555</v>
      </c>
      <c r="X2059">
        <v>36022</v>
      </c>
      <c r="AC2059" t="s">
        <v>5562</v>
      </c>
      <c r="AF2059">
        <v>74</v>
      </c>
      <c r="AG2059">
        <v>180</v>
      </c>
      <c r="AH2059">
        <v>-6</v>
      </c>
      <c r="AJ2059" t="s">
        <v>5563</v>
      </c>
    </row>
    <row r="2060" spans="1:36" ht="18.75" customHeight="1" x14ac:dyDescent="0.3">
      <c r="A2060" s="1">
        <v>2015138308656</v>
      </c>
      <c r="B2060" t="s">
        <v>106</v>
      </c>
      <c r="C2060" t="s">
        <v>5564</v>
      </c>
      <c r="D2060" t="s">
        <v>5345</v>
      </c>
      <c r="E2060" t="s">
        <v>718</v>
      </c>
      <c r="F2060">
        <v>154</v>
      </c>
      <c r="G2060">
        <v>42224</v>
      </c>
      <c r="H2060">
        <v>42790</v>
      </c>
      <c r="I2060">
        <v>44743</v>
      </c>
      <c r="J2060">
        <v>44859</v>
      </c>
      <c r="L2060" t="s">
        <v>135</v>
      </c>
      <c r="M2060" t="s">
        <v>812</v>
      </c>
      <c r="N2060" t="s">
        <v>127</v>
      </c>
      <c r="O2060" t="s">
        <v>1756</v>
      </c>
      <c r="P2060" t="s">
        <v>49</v>
      </c>
      <c r="R2060">
        <v>2</v>
      </c>
      <c r="S2060">
        <v>0</v>
      </c>
      <c r="T2060">
        <v>0</v>
      </c>
      <c r="U2060" t="s">
        <v>5565</v>
      </c>
      <c r="V2060" t="s">
        <v>5566</v>
      </c>
      <c r="W2060">
        <v>29606061800799</v>
      </c>
      <c r="X2060">
        <v>35222</v>
      </c>
      <c r="AC2060" t="s">
        <v>5567</v>
      </c>
      <c r="AF2060">
        <v>80</v>
      </c>
      <c r="AG2060">
        <v>174</v>
      </c>
      <c r="AH2060">
        <v>6</v>
      </c>
      <c r="AJ2060" t="s">
        <v>5568</v>
      </c>
    </row>
    <row r="2061" spans="1:36" ht="18.75" customHeight="1" x14ac:dyDescent="0.3">
      <c r="A2061" s="1">
        <v>2015138314306</v>
      </c>
      <c r="B2061" t="s">
        <v>106</v>
      </c>
      <c r="C2061" t="s">
        <v>5569</v>
      </c>
      <c r="D2061" t="s">
        <v>5345</v>
      </c>
      <c r="E2061" t="s">
        <v>718</v>
      </c>
      <c r="F2061">
        <v>154</v>
      </c>
      <c r="G2061">
        <v>42224</v>
      </c>
      <c r="H2061">
        <v>42789</v>
      </c>
      <c r="I2061">
        <v>44743</v>
      </c>
      <c r="J2061">
        <v>45456</v>
      </c>
      <c r="L2061" t="s">
        <v>135</v>
      </c>
      <c r="M2061" t="s">
        <v>812</v>
      </c>
      <c r="N2061" t="s">
        <v>127</v>
      </c>
      <c r="O2061" t="s">
        <v>5570</v>
      </c>
      <c r="P2061" t="s">
        <v>49</v>
      </c>
      <c r="R2061">
        <v>0</v>
      </c>
      <c r="S2061">
        <v>0</v>
      </c>
      <c r="T2061">
        <v>0</v>
      </c>
      <c r="U2061" t="s">
        <v>5571</v>
      </c>
      <c r="V2061" t="s">
        <v>5572</v>
      </c>
      <c r="W2061">
        <v>29408211602137</v>
      </c>
      <c r="X2061">
        <v>34567</v>
      </c>
      <c r="AC2061" t="s">
        <v>5573</v>
      </c>
      <c r="AF2061">
        <v>70</v>
      </c>
      <c r="AG2061">
        <v>180</v>
      </c>
      <c r="AH2061">
        <v>-10</v>
      </c>
      <c r="AJ2061" t="s">
        <v>5574</v>
      </c>
    </row>
    <row r="2062" spans="1:36" ht="18.75" customHeight="1" x14ac:dyDescent="0.3">
      <c r="A2062" s="1">
        <v>2015138322630</v>
      </c>
      <c r="B2062" t="s">
        <v>106</v>
      </c>
      <c r="C2062" t="s">
        <v>5575</v>
      </c>
      <c r="D2062" t="s">
        <v>5345</v>
      </c>
      <c r="E2062" t="s">
        <v>718</v>
      </c>
      <c r="F2062">
        <v>155</v>
      </c>
      <c r="G2062">
        <v>42369</v>
      </c>
      <c r="H2062">
        <v>42932</v>
      </c>
      <c r="I2062">
        <v>44927</v>
      </c>
      <c r="J2062">
        <v>44880</v>
      </c>
      <c r="L2062" t="s">
        <v>135</v>
      </c>
      <c r="M2062" t="s">
        <v>812</v>
      </c>
      <c r="N2062" t="s">
        <v>127</v>
      </c>
      <c r="O2062" t="s">
        <v>5576</v>
      </c>
      <c r="P2062" t="s">
        <v>49</v>
      </c>
      <c r="R2062">
        <v>4</v>
      </c>
      <c r="S2062">
        <v>0</v>
      </c>
      <c r="T2062">
        <v>0</v>
      </c>
      <c r="U2062" t="s">
        <v>5577</v>
      </c>
      <c r="V2062" t="s">
        <v>5572</v>
      </c>
      <c r="W2062">
        <v>29904011609754</v>
      </c>
      <c r="X2062">
        <v>36251</v>
      </c>
      <c r="AC2062" t="s">
        <v>5578</v>
      </c>
      <c r="AF2062">
        <v>70</v>
      </c>
      <c r="AG2062">
        <v>172</v>
      </c>
      <c r="AH2062">
        <v>-2</v>
      </c>
      <c r="AJ2062" t="s">
        <v>5579</v>
      </c>
    </row>
    <row r="2063" spans="1:36" ht="18.75" customHeight="1" x14ac:dyDescent="0.3">
      <c r="A2063" s="1">
        <v>2016130401258</v>
      </c>
      <c r="B2063" t="s">
        <v>106</v>
      </c>
      <c r="C2063" t="s">
        <v>5580</v>
      </c>
      <c r="D2063" t="s">
        <v>5345</v>
      </c>
      <c r="E2063" t="s">
        <v>718</v>
      </c>
      <c r="F2063">
        <v>156</v>
      </c>
      <c r="G2063">
        <v>42575</v>
      </c>
      <c r="H2063">
        <v>43321</v>
      </c>
      <c r="I2063">
        <v>45292</v>
      </c>
      <c r="J2063">
        <v>45233</v>
      </c>
      <c r="L2063" t="s">
        <v>135</v>
      </c>
      <c r="M2063" t="s">
        <v>158</v>
      </c>
      <c r="N2063" t="s">
        <v>127</v>
      </c>
      <c r="O2063" t="s">
        <v>78</v>
      </c>
      <c r="Q2063" t="s">
        <v>49</v>
      </c>
      <c r="R2063">
        <v>2</v>
      </c>
      <c r="S2063">
        <v>0</v>
      </c>
      <c r="T2063">
        <v>0</v>
      </c>
      <c r="U2063" t="s">
        <v>5581</v>
      </c>
      <c r="V2063" t="s">
        <v>5582</v>
      </c>
      <c r="W2063">
        <v>29707021601158</v>
      </c>
      <c r="X2063">
        <v>35613</v>
      </c>
      <c r="AC2063" t="s">
        <v>4071</v>
      </c>
      <c r="AF2063">
        <v>70</v>
      </c>
      <c r="AG2063">
        <v>170</v>
      </c>
      <c r="AH2063">
        <v>0</v>
      </c>
      <c r="AJ2063" t="s">
        <v>5583</v>
      </c>
    </row>
    <row r="2064" spans="1:36" ht="18.75" customHeight="1" x14ac:dyDescent="0.3">
      <c r="A2064" s="1">
        <v>2016138302490</v>
      </c>
      <c r="B2064" t="s">
        <v>106</v>
      </c>
      <c r="C2064" t="s">
        <v>5584</v>
      </c>
      <c r="D2064" t="s">
        <v>5345</v>
      </c>
      <c r="E2064" t="s">
        <v>718</v>
      </c>
      <c r="F2064">
        <v>156</v>
      </c>
      <c r="G2064">
        <v>42575</v>
      </c>
      <c r="H2064">
        <v>43321</v>
      </c>
      <c r="I2064">
        <v>45292</v>
      </c>
      <c r="J2064">
        <v>45218</v>
      </c>
      <c r="L2064" t="s">
        <v>135</v>
      </c>
      <c r="M2064" t="s">
        <v>812</v>
      </c>
      <c r="N2064" t="s">
        <v>127</v>
      </c>
      <c r="O2064" t="s">
        <v>5559</v>
      </c>
      <c r="Q2064" t="s">
        <v>49</v>
      </c>
      <c r="R2064">
        <v>0</v>
      </c>
      <c r="S2064">
        <v>0</v>
      </c>
      <c r="T2064">
        <v>0</v>
      </c>
      <c r="U2064" t="s">
        <v>5585</v>
      </c>
      <c r="V2064" t="s">
        <v>5586</v>
      </c>
      <c r="W2064">
        <v>29911201704938</v>
      </c>
      <c r="X2064">
        <v>36484</v>
      </c>
      <c r="AC2064" t="s">
        <v>346</v>
      </c>
      <c r="AF2064">
        <v>70</v>
      </c>
      <c r="AG2064">
        <v>175</v>
      </c>
      <c r="AH2064">
        <v>-5</v>
      </c>
      <c r="AJ2064" t="s">
        <v>5587</v>
      </c>
    </row>
    <row r="2065" spans="1:40" ht="18.75" customHeight="1" x14ac:dyDescent="0.3">
      <c r="A2065" s="1">
        <v>2017130400232</v>
      </c>
      <c r="B2065" t="s">
        <v>106</v>
      </c>
      <c r="C2065" t="s">
        <v>5588</v>
      </c>
      <c r="D2065" t="s">
        <v>5345</v>
      </c>
      <c r="E2065" t="s">
        <v>718</v>
      </c>
      <c r="F2065">
        <v>157</v>
      </c>
      <c r="G2065">
        <v>42915</v>
      </c>
      <c r="H2065">
        <v>44117</v>
      </c>
      <c r="I2065">
        <v>46023</v>
      </c>
      <c r="J2065">
        <v>45971</v>
      </c>
      <c r="L2065" t="s">
        <v>135</v>
      </c>
      <c r="M2065" t="s">
        <v>158</v>
      </c>
      <c r="N2065" t="s">
        <v>127</v>
      </c>
      <c r="O2065" t="s">
        <v>78</v>
      </c>
      <c r="Q2065" t="s">
        <v>49</v>
      </c>
      <c r="R2065">
        <v>3</v>
      </c>
      <c r="S2065">
        <v>0</v>
      </c>
      <c r="T2065">
        <v>0</v>
      </c>
      <c r="U2065" t="s">
        <v>5589</v>
      </c>
      <c r="V2065" t="s">
        <v>5590</v>
      </c>
      <c r="W2065">
        <v>30004222101131</v>
      </c>
      <c r="X2065">
        <v>36638</v>
      </c>
      <c r="AC2065" t="s">
        <v>5591</v>
      </c>
      <c r="AF2065">
        <v>51</v>
      </c>
      <c r="AG2065">
        <v>171</v>
      </c>
      <c r="AH2065">
        <v>-20</v>
      </c>
      <c r="AJ2065" t="s">
        <v>5592</v>
      </c>
    </row>
    <row r="2066" spans="1:40" ht="18.75" customHeight="1" x14ac:dyDescent="0.3">
      <c r="A2066" s="1">
        <v>2018130402864</v>
      </c>
      <c r="B2066" t="s">
        <v>106</v>
      </c>
      <c r="C2066" t="s">
        <v>5593</v>
      </c>
      <c r="D2066" t="s">
        <v>5345</v>
      </c>
      <c r="E2066" t="s">
        <v>718</v>
      </c>
      <c r="F2066">
        <v>158</v>
      </c>
      <c r="G2066">
        <v>43279</v>
      </c>
      <c r="H2066">
        <v>44117</v>
      </c>
      <c r="I2066">
        <v>46023</v>
      </c>
      <c r="J2066">
        <v>45652</v>
      </c>
      <c r="L2066" t="s">
        <v>135</v>
      </c>
      <c r="M2066" t="s">
        <v>158</v>
      </c>
      <c r="N2066" t="s">
        <v>127</v>
      </c>
      <c r="O2066" t="s">
        <v>78</v>
      </c>
      <c r="Q2066" t="s">
        <v>49</v>
      </c>
      <c r="R2066">
        <v>3</v>
      </c>
      <c r="S2066">
        <v>0</v>
      </c>
      <c r="T2066">
        <v>0</v>
      </c>
      <c r="U2066" t="s">
        <v>5594</v>
      </c>
      <c r="V2066" t="s">
        <v>5595</v>
      </c>
      <c r="W2066">
        <v>3020901203775</v>
      </c>
      <c r="X2066">
        <v>37508</v>
      </c>
      <c r="AC2066" t="s">
        <v>5596</v>
      </c>
      <c r="AF2066">
        <v>57</v>
      </c>
      <c r="AG2066">
        <v>166</v>
      </c>
      <c r="AH2066">
        <v>-9</v>
      </c>
      <c r="AJ2066" t="s">
        <v>5597</v>
      </c>
    </row>
    <row r="2067" spans="1:40" ht="18.75" customHeight="1" x14ac:dyDescent="0.3">
      <c r="A2067" s="1">
        <v>2018131810933</v>
      </c>
      <c r="B2067" t="s">
        <v>106</v>
      </c>
      <c r="C2067" t="s">
        <v>5598</v>
      </c>
      <c r="D2067" t="s">
        <v>5345</v>
      </c>
      <c r="E2067" t="s">
        <v>718</v>
      </c>
      <c r="F2067">
        <v>158</v>
      </c>
      <c r="G2067">
        <v>43279</v>
      </c>
      <c r="H2067">
        <v>44117</v>
      </c>
      <c r="I2067">
        <v>46023</v>
      </c>
      <c r="J2067">
        <v>45831</v>
      </c>
      <c r="L2067" t="s">
        <v>135</v>
      </c>
      <c r="M2067" t="s">
        <v>46</v>
      </c>
      <c r="N2067" t="s">
        <v>127</v>
      </c>
      <c r="O2067" t="s">
        <v>5599</v>
      </c>
      <c r="Q2067" t="s">
        <v>49</v>
      </c>
      <c r="R2067">
        <v>4</v>
      </c>
      <c r="S2067">
        <v>0</v>
      </c>
      <c r="T2067">
        <v>0</v>
      </c>
      <c r="U2067" t="s">
        <v>5600</v>
      </c>
      <c r="V2067" t="s">
        <v>5601</v>
      </c>
      <c r="W2067">
        <v>29907301601217</v>
      </c>
      <c r="X2067">
        <v>36371</v>
      </c>
      <c r="AC2067" t="s">
        <v>5602</v>
      </c>
      <c r="AF2067">
        <v>74</v>
      </c>
      <c r="AG2067">
        <v>187</v>
      </c>
      <c r="AH2067">
        <v>-13</v>
      </c>
      <c r="AJ2067" t="s">
        <v>5603</v>
      </c>
    </row>
    <row r="2068" spans="1:40" ht="18.75" customHeight="1" x14ac:dyDescent="0.3">
      <c r="A2068" s="1">
        <v>2019138306636</v>
      </c>
      <c r="B2068" t="s">
        <v>125</v>
      </c>
      <c r="C2068" t="s">
        <v>5604</v>
      </c>
      <c r="D2068" t="s">
        <v>5345</v>
      </c>
      <c r="E2068" t="s">
        <v>718</v>
      </c>
      <c r="F2068">
        <v>159</v>
      </c>
      <c r="G2068">
        <v>43692</v>
      </c>
      <c r="H2068">
        <v>44482</v>
      </c>
      <c r="I2068">
        <v>44482</v>
      </c>
      <c r="J2068">
        <v>44505</v>
      </c>
      <c r="L2068" t="s">
        <v>135</v>
      </c>
      <c r="M2068" t="s">
        <v>812</v>
      </c>
      <c r="N2068" t="s">
        <v>127</v>
      </c>
      <c r="O2068" t="s">
        <v>825</v>
      </c>
      <c r="P2068" t="s">
        <v>49</v>
      </c>
      <c r="R2068">
        <v>0</v>
      </c>
      <c r="S2068">
        <v>0</v>
      </c>
      <c r="T2068">
        <v>0</v>
      </c>
      <c r="U2068" t="s">
        <v>5605</v>
      </c>
      <c r="V2068" t="s">
        <v>5606</v>
      </c>
      <c r="W2068">
        <v>29711201304418</v>
      </c>
      <c r="X2068">
        <v>35754</v>
      </c>
      <c r="AC2068" t="s">
        <v>5607</v>
      </c>
      <c r="AF2068">
        <v>73</v>
      </c>
      <c r="AG2068">
        <v>177</v>
      </c>
      <c r="AH2068">
        <v>-4</v>
      </c>
    </row>
    <row r="2069" spans="1:40" ht="18.75" customHeight="1" x14ac:dyDescent="0.3">
      <c r="A2069" s="1">
        <v>2019138311825</v>
      </c>
      <c r="B2069" t="s">
        <v>125</v>
      </c>
      <c r="C2069" t="s">
        <v>5608</v>
      </c>
      <c r="D2069" t="s">
        <v>5345</v>
      </c>
      <c r="E2069" t="s">
        <v>718</v>
      </c>
      <c r="F2069">
        <v>159</v>
      </c>
      <c r="G2069">
        <v>43692</v>
      </c>
      <c r="H2069">
        <v>44482</v>
      </c>
      <c r="I2069">
        <v>44482</v>
      </c>
      <c r="J2069">
        <v>44505</v>
      </c>
      <c r="L2069" t="s">
        <v>135</v>
      </c>
      <c r="M2069" t="s">
        <v>812</v>
      </c>
      <c r="N2069" t="s">
        <v>127</v>
      </c>
      <c r="O2069" t="s">
        <v>5609</v>
      </c>
      <c r="P2069" t="s">
        <v>49</v>
      </c>
      <c r="R2069">
        <v>1</v>
      </c>
      <c r="S2069">
        <v>0</v>
      </c>
      <c r="T2069">
        <v>0</v>
      </c>
      <c r="U2069" t="s">
        <v>5610</v>
      </c>
      <c r="V2069" t="s">
        <v>5611</v>
      </c>
      <c r="W2069">
        <v>29703151701493</v>
      </c>
      <c r="X2069">
        <v>35504</v>
      </c>
      <c r="AC2069" t="s">
        <v>5612</v>
      </c>
      <c r="AF2069">
        <v>70</v>
      </c>
      <c r="AG2069">
        <v>176</v>
      </c>
      <c r="AH2069">
        <v>-6</v>
      </c>
      <c r="AN2069" t="s">
        <v>5197</v>
      </c>
    </row>
    <row r="2070" spans="1:40" ht="18.75" customHeight="1" x14ac:dyDescent="0.3">
      <c r="A2070" s="1">
        <v>2019138316809</v>
      </c>
      <c r="B2070" t="s">
        <v>125</v>
      </c>
      <c r="C2070" t="s">
        <v>5613</v>
      </c>
      <c r="D2070" t="s">
        <v>5345</v>
      </c>
      <c r="E2070" t="s">
        <v>718</v>
      </c>
      <c r="F2070">
        <v>159</v>
      </c>
      <c r="G2070">
        <v>43692</v>
      </c>
      <c r="H2070">
        <v>44482</v>
      </c>
      <c r="I2070">
        <v>44482</v>
      </c>
      <c r="J2070">
        <v>44505</v>
      </c>
      <c r="L2070" t="s">
        <v>135</v>
      </c>
      <c r="M2070" t="s">
        <v>812</v>
      </c>
      <c r="N2070" t="s">
        <v>127</v>
      </c>
      <c r="O2070" t="s">
        <v>1756</v>
      </c>
      <c r="P2070" t="s">
        <v>49</v>
      </c>
      <c r="R2070">
        <v>3</v>
      </c>
      <c r="S2070">
        <v>0</v>
      </c>
      <c r="T2070">
        <v>0</v>
      </c>
      <c r="U2070" t="s">
        <v>5614</v>
      </c>
      <c r="V2070" t="s">
        <v>5615</v>
      </c>
      <c r="W2070">
        <v>29610221201452</v>
      </c>
      <c r="X2070">
        <v>35360</v>
      </c>
      <c r="AC2070" t="s">
        <v>5616</v>
      </c>
      <c r="AG2070">
        <v>173</v>
      </c>
      <c r="AH2070" t="s">
        <v>787</v>
      </c>
    </row>
    <row r="2071" spans="1:40" ht="18.75" customHeight="1" x14ac:dyDescent="0.3">
      <c r="A2071" s="1">
        <v>2021131800151</v>
      </c>
      <c r="B2071" t="s">
        <v>125</v>
      </c>
      <c r="C2071" t="s">
        <v>5617</v>
      </c>
      <c r="D2071" t="s">
        <v>5345</v>
      </c>
      <c r="E2071" t="s">
        <v>718</v>
      </c>
      <c r="F2071">
        <v>160</v>
      </c>
      <c r="G2071">
        <v>44205</v>
      </c>
      <c r="H2071">
        <v>45197</v>
      </c>
      <c r="I2071">
        <v>45197</v>
      </c>
      <c r="J2071">
        <v>45251</v>
      </c>
      <c r="L2071" t="s">
        <v>135</v>
      </c>
      <c r="M2071" t="s">
        <v>812</v>
      </c>
      <c r="N2071" t="s">
        <v>127</v>
      </c>
      <c r="O2071" t="s">
        <v>5618</v>
      </c>
      <c r="P2071" t="s">
        <v>49</v>
      </c>
      <c r="R2071">
        <v>3</v>
      </c>
      <c r="S2071">
        <v>0</v>
      </c>
      <c r="T2071">
        <v>0</v>
      </c>
      <c r="U2071" t="s">
        <v>5619</v>
      </c>
      <c r="V2071" t="s">
        <v>5620</v>
      </c>
      <c r="W2071">
        <v>30010181400412</v>
      </c>
      <c r="X2071">
        <v>36817</v>
      </c>
      <c r="AC2071" t="s">
        <v>5621</v>
      </c>
      <c r="AF2071">
        <v>56</v>
      </c>
      <c r="AG2071">
        <v>171</v>
      </c>
      <c r="AH2071">
        <v>-15</v>
      </c>
    </row>
    <row r="2072" spans="1:40" ht="18.75" customHeight="1" x14ac:dyDescent="0.3">
      <c r="A2072" s="1">
        <v>2021131807305</v>
      </c>
      <c r="B2072" t="s">
        <v>125</v>
      </c>
      <c r="C2072" t="s">
        <v>5622</v>
      </c>
      <c r="D2072" t="s">
        <v>5345</v>
      </c>
      <c r="E2072" t="s">
        <v>718</v>
      </c>
      <c r="F2072">
        <v>160</v>
      </c>
      <c r="G2072">
        <v>44205</v>
      </c>
      <c r="H2072">
        <v>45197</v>
      </c>
      <c r="I2072">
        <v>45197</v>
      </c>
      <c r="J2072">
        <v>45217</v>
      </c>
      <c r="L2072" t="s">
        <v>135</v>
      </c>
      <c r="M2072" t="s">
        <v>46</v>
      </c>
      <c r="N2072" t="s">
        <v>127</v>
      </c>
      <c r="O2072" t="s">
        <v>5618</v>
      </c>
      <c r="P2072" t="s">
        <v>49</v>
      </c>
      <c r="R2072">
        <v>0</v>
      </c>
      <c r="S2072">
        <v>0</v>
      </c>
      <c r="T2072">
        <v>0</v>
      </c>
      <c r="U2072" t="s">
        <v>5623</v>
      </c>
      <c r="V2072" t="s">
        <v>5624</v>
      </c>
      <c r="W2072">
        <v>30211122800356</v>
      </c>
      <c r="X2072">
        <v>37572</v>
      </c>
      <c r="AC2072" t="s">
        <v>5625</v>
      </c>
      <c r="AF2072">
        <v>60</v>
      </c>
      <c r="AG2072">
        <v>170</v>
      </c>
      <c r="AH2072">
        <v>-10</v>
      </c>
    </row>
    <row r="2073" spans="1:40" ht="18.75" customHeight="1" x14ac:dyDescent="0.3">
      <c r="A2073" s="1">
        <v>2021138304396</v>
      </c>
      <c r="B2073" t="s">
        <v>125</v>
      </c>
      <c r="C2073" t="s">
        <v>5626</v>
      </c>
      <c r="D2073" t="s">
        <v>5345</v>
      </c>
      <c r="E2073" t="s">
        <v>718</v>
      </c>
      <c r="F2073">
        <v>160</v>
      </c>
      <c r="G2073">
        <v>44205</v>
      </c>
      <c r="H2073">
        <v>45197</v>
      </c>
      <c r="I2073">
        <v>45197</v>
      </c>
      <c r="J2073">
        <v>45217</v>
      </c>
      <c r="L2073" t="s">
        <v>135</v>
      </c>
      <c r="M2073" t="s">
        <v>812</v>
      </c>
      <c r="N2073" t="s">
        <v>127</v>
      </c>
      <c r="O2073" t="s">
        <v>4634</v>
      </c>
      <c r="P2073" t="s">
        <v>49</v>
      </c>
      <c r="R2073">
        <v>3</v>
      </c>
      <c r="S2073">
        <v>0</v>
      </c>
      <c r="T2073">
        <v>0</v>
      </c>
      <c r="U2073" t="s">
        <v>5627</v>
      </c>
      <c r="V2073" t="s">
        <v>5628</v>
      </c>
      <c r="W2073">
        <v>30208022500787</v>
      </c>
      <c r="X2073">
        <v>37470</v>
      </c>
      <c r="AC2073" t="s">
        <v>5629</v>
      </c>
      <c r="AF2073">
        <v>83</v>
      </c>
      <c r="AG2073">
        <v>180</v>
      </c>
      <c r="AH2073">
        <v>3</v>
      </c>
    </row>
    <row r="2074" spans="1:40" ht="18.75" customHeight="1" x14ac:dyDescent="0.3">
      <c r="A2074" s="1">
        <v>2021138313199</v>
      </c>
      <c r="B2074" t="s">
        <v>125</v>
      </c>
      <c r="C2074" t="s">
        <v>5630</v>
      </c>
      <c r="D2074" t="s">
        <v>5345</v>
      </c>
      <c r="E2074" t="s">
        <v>718</v>
      </c>
      <c r="F2074">
        <v>161</v>
      </c>
      <c r="G2074">
        <v>44546</v>
      </c>
      <c r="H2074">
        <v>45581</v>
      </c>
      <c r="I2074">
        <v>45581</v>
      </c>
      <c r="J2074">
        <v>45584</v>
      </c>
      <c r="L2074" t="s">
        <v>135</v>
      </c>
      <c r="M2074" t="s">
        <v>812</v>
      </c>
      <c r="N2074" t="s">
        <v>127</v>
      </c>
      <c r="O2074" t="s">
        <v>1756</v>
      </c>
      <c r="P2074" t="s">
        <v>49</v>
      </c>
      <c r="R2074">
        <v>0</v>
      </c>
      <c r="S2074">
        <v>0</v>
      </c>
      <c r="T2074">
        <v>0</v>
      </c>
      <c r="U2074" t="s">
        <v>5631</v>
      </c>
      <c r="W2074">
        <v>30501122601696</v>
      </c>
      <c r="X2074">
        <v>38364</v>
      </c>
      <c r="AC2074" t="s">
        <v>5632</v>
      </c>
      <c r="AF2074">
        <v>72</v>
      </c>
      <c r="AG2074">
        <v>178</v>
      </c>
      <c r="AH2074">
        <v>-6</v>
      </c>
    </row>
    <row r="2075" spans="1:40" ht="18.75" customHeight="1" x14ac:dyDescent="0.3">
      <c r="A2075" s="1">
        <v>2021138313214</v>
      </c>
      <c r="B2075" t="s">
        <v>125</v>
      </c>
      <c r="C2075" t="s">
        <v>5633</v>
      </c>
      <c r="D2075" t="s">
        <v>5345</v>
      </c>
      <c r="E2075" t="s">
        <v>718</v>
      </c>
      <c r="F2075">
        <v>161</v>
      </c>
      <c r="G2075">
        <v>44546</v>
      </c>
      <c r="H2075">
        <v>45581</v>
      </c>
      <c r="I2075">
        <v>45581</v>
      </c>
      <c r="J2075">
        <v>45584</v>
      </c>
      <c r="L2075" t="s">
        <v>135</v>
      </c>
      <c r="M2075" t="s">
        <v>812</v>
      </c>
      <c r="N2075" t="s">
        <v>127</v>
      </c>
      <c r="O2075" t="s">
        <v>1756</v>
      </c>
      <c r="P2075" t="s">
        <v>49</v>
      </c>
      <c r="R2075">
        <v>0</v>
      </c>
      <c r="S2075">
        <v>0</v>
      </c>
      <c r="T2075">
        <v>0</v>
      </c>
      <c r="U2075" t="s">
        <v>5634</v>
      </c>
      <c r="V2075" t="s">
        <v>5635</v>
      </c>
      <c r="W2075">
        <v>30501142500233</v>
      </c>
      <c r="X2075">
        <v>38366</v>
      </c>
      <c r="AC2075" t="s">
        <v>5636</v>
      </c>
      <c r="AF2075">
        <v>60</v>
      </c>
      <c r="AG2075">
        <v>176</v>
      </c>
      <c r="AH2075">
        <v>-16</v>
      </c>
    </row>
    <row r="2076" spans="1:40" ht="18.75" customHeight="1" x14ac:dyDescent="0.3">
      <c r="A2076" s="1">
        <v>2021138313256</v>
      </c>
      <c r="B2076" t="s">
        <v>125</v>
      </c>
      <c r="C2076" t="s">
        <v>5637</v>
      </c>
      <c r="D2076" t="s">
        <v>5345</v>
      </c>
      <c r="E2076" t="s">
        <v>718</v>
      </c>
      <c r="F2076">
        <v>161</v>
      </c>
      <c r="G2076">
        <v>44546</v>
      </c>
      <c r="H2076">
        <v>45581</v>
      </c>
      <c r="I2076">
        <v>45581</v>
      </c>
      <c r="J2076">
        <v>45584</v>
      </c>
      <c r="L2076" t="s">
        <v>135</v>
      </c>
      <c r="M2076" t="s">
        <v>812</v>
      </c>
      <c r="N2076" t="s">
        <v>127</v>
      </c>
      <c r="O2076" t="s">
        <v>1756</v>
      </c>
      <c r="P2076" t="s">
        <v>49</v>
      </c>
      <c r="R2076">
        <v>1</v>
      </c>
      <c r="S2076">
        <v>0</v>
      </c>
      <c r="T2076">
        <v>0</v>
      </c>
      <c r="U2076" t="s">
        <v>5638</v>
      </c>
      <c r="V2076" t="s">
        <v>5639</v>
      </c>
      <c r="W2076">
        <v>30111172600574</v>
      </c>
      <c r="X2076">
        <v>37212</v>
      </c>
      <c r="AC2076" t="s">
        <v>4540</v>
      </c>
      <c r="AF2076">
        <v>72</v>
      </c>
      <c r="AG2076">
        <v>188</v>
      </c>
      <c r="AH2076">
        <v>-16</v>
      </c>
    </row>
    <row r="2077" spans="1:40" ht="18.75" customHeight="1" x14ac:dyDescent="0.3">
      <c r="A2077" s="1">
        <v>2021138313264</v>
      </c>
      <c r="B2077" t="s">
        <v>125</v>
      </c>
      <c r="C2077" t="s">
        <v>5640</v>
      </c>
      <c r="D2077" t="s">
        <v>5345</v>
      </c>
      <c r="E2077" t="s">
        <v>718</v>
      </c>
      <c r="F2077">
        <v>161</v>
      </c>
      <c r="G2077">
        <v>44546</v>
      </c>
      <c r="H2077">
        <v>45581</v>
      </c>
      <c r="I2077">
        <v>45581</v>
      </c>
      <c r="J2077">
        <v>45584</v>
      </c>
      <c r="L2077" t="s">
        <v>135</v>
      </c>
      <c r="M2077" t="s">
        <v>812</v>
      </c>
      <c r="N2077" t="s">
        <v>127</v>
      </c>
      <c r="O2077" t="s">
        <v>5641</v>
      </c>
      <c r="P2077" t="s">
        <v>49</v>
      </c>
      <c r="R2077">
        <v>0</v>
      </c>
      <c r="S2077">
        <v>0</v>
      </c>
      <c r="T2077">
        <v>0</v>
      </c>
      <c r="U2077" t="s">
        <v>5642</v>
      </c>
      <c r="V2077" t="s">
        <v>5643</v>
      </c>
      <c r="W2077">
        <v>29908142501695</v>
      </c>
      <c r="X2077">
        <v>36386</v>
      </c>
      <c r="AC2077" t="s">
        <v>5644</v>
      </c>
      <c r="AF2077">
        <v>67</v>
      </c>
      <c r="AG2077">
        <v>183</v>
      </c>
      <c r="AH2077">
        <v>-16</v>
      </c>
    </row>
    <row r="2078" spans="1:40" ht="18.75" customHeight="1" x14ac:dyDescent="0.3">
      <c r="A2078" s="1">
        <v>2023138301124</v>
      </c>
      <c r="B2078" t="s">
        <v>125</v>
      </c>
      <c r="C2078" t="s">
        <v>5645</v>
      </c>
      <c r="D2078" t="s">
        <v>5345</v>
      </c>
      <c r="E2078" t="s">
        <v>718</v>
      </c>
      <c r="F2078">
        <v>162</v>
      </c>
      <c r="G2078">
        <v>44941</v>
      </c>
      <c r="H2078">
        <v>45976</v>
      </c>
      <c r="I2078">
        <v>45976</v>
      </c>
      <c r="J2078">
        <v>45967</v>
      </c>
      <c r="L2078" t="s">
        <v>135</v>
      </c>
      <c r="M2078" t="s">
        <v>812</v>
      </c>
      <c r="N2078" t="s">
        <v>127</v>
      </c>
      <c r="O2078" t="s">
        <v>1756</v>
      </c>
      <c r="P2078" t="s">
        <v>49</v>
      </c>
      <c r="R2078">
        <v>0</v>
      </c>
      <c r="S2078">
        <v>0</v>
      </c>
      <c r="T2078">
        <v>0</v>
      </c>
      <c r="U2078" t="s">
        <v>5646</v>
      </c>
      <c r="V2078" t="s">
        <v>5647</v>
      </c>
      <c r="W2078">
        <v>30312211400877</v>
      </c>
      <c r="X2078">
        <v>37976</v>
      </c>
      <c r="AC2078" t="s">
        <v>5648</v>
      </c>
      <c r="AF2078">
        <v>66</v>
      </c>
      <c r="AG2078">
        <v>180</v>
      </c>
      <c r="AH2078">
        <v>-14</v>
      </c>
    </row>
    <row r="2079" spans="1:40" ht="18.75" customHeight="1" x14ac:dyDescent="0.3">
      <c r="A2079" s="1">
        <v>2023138308948</v>
      </c>
      <c r="B2079" t="s">
        <v>125</v>
      </c>
      <c r="C2079" t="s">
        <v>5649</v>
      </c>
      <c r="D2079" t="s">
        <v>5345</v>
      </c>
      <c r="E2079" t="s">
        <v>718</v>
      </c>
      <c r="F2079">
        <v>162</v>
      </c>
      <c r="G2079">
        <v>44941</v>
      </c>
      <c r="H2079">
        <v>45976</v>
      </c>
      <c r="I2079">
        <v>45976</v>
      </c>
      <c r="J2079">
        <v>45967</v>
      </c>
      <c r="L2079" t="s">
        <v>135</v>
      </c>
      <c r="M2079" t="s">
        <v>812</v>
      </c>
      <c r="N2079" t="s">
        <v>127</v>
      </c>
      <c r="O2079" t="s">
        <v>1756</v>
      </c>
      <c r="P2079" t="s">
        <v>49</v>
      </c>
      <c r="R2079">
        <v>0</v>
      </c>
      <c r="S2079">
        <v>0</v>
      </c>
      <c r="T2079">
        <v>0</v>
      </c>
      <c r="U2079" t="s">
        <v>5650</v>
      </c>
      <c r="V2079" t="s">
        <v>5651</v>
      </c>
      <c r="W2079">
        <v>30511032401855</v>
      </c>
      <c r="X2079">
        <v>38659</v>
      </c>
      <c r="AC2079" t="s">
        <v>5652</v>
      </c>
      <c r="AF2079">
        <v>78</v>
      </c>
      <c r="AG2079">
        <v>185</v>
      </c>
      <c r="AH2079">
        <v>-7</v>
      </c>
    </row>
    <row r="2080" spans="1:40" ht="18.75" customHeight="1" x14ac:dyDescent="0.3">
      <c r="A2080" s="1">
        <v>2023138309003</v>
      </c>
      <c r="B2080" t="s">
        <v>125</v>
      </c>
      <c r="C2080" t="s">
        <v>5653</v>
      </c>
      <c r="D2080" t="s">
        <v>5345</v>
      </c>
      <c r="E2080" t="s">
        <v>718</v>
      </c>
      <c r="F2080">
        <v>162</v>
      </c>
      <c r="G2080">
        <v>44941</v>
      </c>
      <c r="H2080">
        <v>45976</v>
      </c>
      <c r="I2080">
        <v>45976</v>
      </c>
      <c r="J2080">
        <v>45967</v>
      </c>
      <c r="L2080" t="s">
        <v>135</v>
      </c>
      <c r="M2080" t="s">
        <v>812</v>
      </c>
      <c r="N2080" t="s">
        <v>127</v>
      </c>
      <c r="O2080" t="s">
        <v>5533</v>
      </c>
      <c r="P2080" t="s">
        <v>49</v>
      </c>
      <c r="R2080">
        <v>0</v>
      </c>
      <c r="S2080">
        <v>0</v>
      </c>
      <c r="T2080">
        <v>0</v>
      </c>
      <c r="U2080" t="s">
        <v>5654</v>
      </c>
      <c r="V2080" t="s">
        <v>5655</v>
      </c>
      <c r="W2080">
        <v>30509052202013</v>
      </c>
      <c r="X2080">
        <v>38600</v>
      </c>
      <c r="AC2080" t="s">
        <v>5656</v>
      </c>
      <c r="AF2080">
        <v>63</v>
      </c>
      <c r="AG2080">
        <v>177</v>
      </c>
      <c r="AH2080">
        <v>-14</v>
      </c>
    </row>
    <row r="2081" spans="1:36" ht="18.75" customHeight="1" x14ac:dyDescent="0.3">
      <c r="A2081" s="1">
        <v>2002138302788</v>
      </c>
      <c r="B2081" t="s">
        <v>210</v>
      </c>
      <c r="C2081" t="s">
        <v>5657</v>
      </c>
      <c r="D2081" t="s">
        <v>770</v>
      </c>
      <c r="E2081" t="s">
        <v>718</v>
      </c>
      <c r="F2081">
        <v>128</v>
      </c>
      <c r="G2081">
        <v>37440</v>
      </c>
      <c r="H2081">
        <v>37903</v>
      </c>
      <c r="I2081">
        <v>45292</v>
      </c>
      <c r="J2081">
        <v>45968</v>
      </c>
      <c r="L2081" t="s">
        <v>771</v>
      </c>
      <c r="M2081" t="s">
        <v>812</v>
      </c>
      <c r="N2081" t="s">
        <v>127</v>
      </c>
      <c r="O2081" t="s">
        <v>5658</v>
      </c>
      <c r="P2081" t="s">
        <v>49</v>
      </c>
      <c r="R2081">
        <v>24</v>
      </c>
      <c r="U2081" t="s">
        <v>5659</v>
      </c>
      <c r="V2081" t="s">
        <v>5660</v>
      </c>
      <c r="W2081">
        <v>28506101601494</v>
      </c>
      <c r="X2081">
        <v>31208</v>
      </c>
      <c r="AC2081" t="s">
        <v>5661</v>
      </c>
      <c r="AF2081">
        <v>80</v>
      </c>
      <c r="AG2081">
        <v>183</v>
      </c>
      <c r="AH2081">
        <v>-3</v>
      </c>
      <c r="AI2081" t="s">
        <v>5662</v>
      </c>
      <c r="AJ2081" t="s">
        <v>5663</v>
      </c>
    </row>
    <row r="2082" spans="1:36" ht="18.75" customHeight="1" x14ac:dyDescent="0.3">
      <c r="A2082" s="1">
        <v>2009138305069</v>
      </c>
      <c r="B2082" t="s">
        <v>57</v>
      </c>
      <c r="C2082" t="s">
        <v>5664</v>
      </c>
      <c r="D2082" t="s">
        <v>770</v>
      </c>
      <c r="E2082" t="s">
        <v>718</v>
      </c>
      <c r="F2082">
        <v>141</v>
      </c>
      <c r="G2082">
        <v>39837</v>
      </c>
      <c r="H2082">
        <v>40308</v>
      </c>
      <c r="I2082">
        <v>45839</v>
      </c>
      <c r="J2082">
        <v>45566</v>
      </c>
      <c r="L2082" t="s">
        <v>771</v>
      </c>
      <c r="M2082" t="s">
        <v>812</v>
      </c>
      <c r="N2082" t="s">
        <v>127</v>
      </c>
      <c r="O2082" t="s">
        <v>5665</v>
      </c>
      <c r="P2082" t="s">
        <v>49</v>
      </c>
      <c r="R2082">
        <v>6</v>
      </c>
      <c r="S2082">
        <v>1</v>
      </c>
      <c r="U2082" t="s">
        <v>5666</v>
      </c>
      <c r="V2082" t="s">
        <v>5667</v>
      </c>
      <c r="W2082">
        <v>290012512600711</v>
      </c>
      <c r="X2082">
        <v>32898</v>
      </c>
      <c r="AC2082" t="s">
        <v>5668</v>
      </c>
      <c r="AF2082">
        <v>70</v>
      </c>
      <c r="AG2082">
        <v>174</v>
      </c>
      <c r="AH2082">
        <v>-4</v>
      </c>
      <c r="AJ2082" t="s">
        <v>5669</v>
      </c>
    </row>
    <row r="2083" spans="1:36" ht="18.75" customHeight="1" x14ac:dyDescent="0.3">
      <c r="A2083" s="1">
        <v>2010130400971</v>
      </c>
      <c r="B2083" t="s">
        <v>75</v>
      </c>
      <c r="C2083" t="s">
        <v>5670</v>
      </c>
      <c r="D2083" t="s">
        <v>770</v>
      </c>
      <c r="E2083" t="s">
        <v>718</v>
      </c>
      <c r="F2083">
        <v>144</v>
      </c>
      <c r="G2083">
        <v>40376</v>
      </c>
      <c r="H2083">
        <v>40849</v>
      </c>
      <c r="I2083">
        <v>44197</v>
      </c>
      <c r="J2083">
        <v>45626</v>
      </c>
      <c r="L2083" t="s">
        <v>771</v>
      </c>
      <c r="M2083" t="s">
        <v>158</v>
      </c>
      <c r="N2083" t="s">
        <v>78</v>
      </c>
      <c r="O2083" t="s">
        <v>5671</v>
      </c>
      <c r="P2083" t="s">
        <v>49</v>
      </c>
      <c r="R2083">
        <v>39</v>
      </c>
      <c r="S2083">
        <v>3</v>
      </c>
      <c r="T2083">
        <v>0</v>
      </c>
      <c r="U2083" t="s">
        <v>5672</v>
      </c>
      <c r="V2083" t="s">
        <v>5673</v>
      </c>
      <c r="W2083">
        <v>29112011315056</v>
      </c>
      <c r="X2083">
        <v>33573</v>
      </c>
      <c r="AF2083">
        <v>85</v>
      </c>
      <c r="AG2083">
        <v>176</v>
      </c>
      <c r="AH2083">
        <v>9</v>
      </c>
      <c r="AJ2083" t="s">
        <v>5674</v>
      </c>
    </row>
    <row r="2084" spans="1:36" ht="18.75" customHeight="1" x14ac:dyDescent="0.3">
      <c r="A2084" s="1">
        <v>2010138310669</v>
      </c>
      <c r="B2084" t="s">
        <v>75</v>
      </c>
      <c r="C2084" t="s">
        <v>5675</v>
      </c>
      <c r="D2084" t="s">
        <v>770</v>
      </c>
      <c r="E2084" t="s">
        <v>718</v>
      </c>
      <c r="F2084">
        <v>144</v>
      </c>
      <c r="G2084">
        <v>40376</v>
      </c>
      <c r="H2084">
        <v>40558</v>
      </c>
      <c r="I2084">
        <v>44562</v>
      </c>
      <c r="J2084">
        <v>44941</v>
      </c>
      <c r="L2084" t="s">
        <v>771</v>
      </c>
      <c r="M2084" t="s">
        <v>812</v>
      </c>
      <c r="N2084" t="s">
        <v>127</v>
      </c>
      <c r="O2084" t="s">
        <v>1756</v>
      </c>
      <c r="P2084" t="s">
        <v>49</v>
      </c>
      <c r="R2084">
        <v>31</v>
      </c>
      <c r="S2084">
        <v>3</v>
      </c>
      <c r="U2084" t="s">
        <v>5676</v>
      </c>
      <c r="V2084" t="s">
        <v>5677</v>
      </c>
      <c r="W2084">
        <v>29108102202133</v>
      </c>
      <c r="X2084">
        <v>33460</v>
      </c>
      <c r="AC2084" t="s">
        <v>5678</v>
      </c>
      <c r="AF2084">
        <v>77</v>
      </c>
      <c r="AG2084">
        <v>168</v>
      </c>
      <c r="AH2084">
        <v>9</v>
      </c>
      <c r="AJ2084" t="s">
        <v>5679</v>
      </c>
    </row>
    <row r="2085" spans="1:36" ht="18.75" customHeight="1" x14ac:dyDescent="0.3">
      <c r="A2085" s="1">
        <v>2012130400753</v>
      </c>
      <c r="B2085" t="s">
        <v>75</v>
      </c>
      <c r="C2085" t="s">
        <v>5680</v>
      </c>
      <c r="D2085" t="s">
        <v>770</v>
      </c>
      <c r="E2085" t="s">
        <v>718</v>
      </c>
      <c r="F2085">
        <v>147</v>
      </c>
      <c r="G2085">
        <v>40936</v>
      </c>
      <c r="H2085">
        <v>41426</v>
      </c>
      <c r="I2085">
        <v>45108</v>
      </c>
      <c r="J2085">
        <v>45950</v>
      </c>
      <c r="L2085" t="s">
        <v>771</v>
      </c>
      <c r="M2085" t="s">
        <v>158</v>
      </c>
      <c r="N2085" t="s">
        <v>78</v>
      </c>
      <c r="O2085" t="s">
        <v>1469</v>
      </c>
      <c r="P2085" t="s">
        <v>49</v>
      </c>
      <c r="R2085">
        <v>1</v>
      </c>
      <c r="U2085" t="s">
        <v>5681</v>
      </c>
      <c r="V2085" t="s">
        <v>5682</v>
      </c>
      <c r="W2085">
        <v>29508201306771</v>
      </c>
      <c r="X2085">
        <v>34931</v>
      </c>
      <c r="AC2085" t="s">
        <v>5683</v>
      </c>
      <c r="AF2085">
        <v>80</v>
      </c>
      <c r="AG2085">
        <v>176</v>
      </c>
      <c r="AH2085">
        <v>4</v>
      </c>
      <c r="AI2085" t="s">
        <v>5684</v>
      </c>
      <c r="AJ2085" t="s">
        <v>5685</v>
      </c>
    </row>
    <row r="2086" spans="1:36" ht="18.75" customHeight="1" x14ac:dyDescent="0.3">
      <c r="A2086" s="1">
        <v>2012138302563</v>
      </c>
      <c r="B2086" t="s">
        <v>75</v>
      </c>
      <c r="C2086" t="s">
        <v>5686</v>
      </c>
      <c r="D2086" t="s">
        <v>770</v>
      </c>
      <c r="E2086" t="s">
        <v>718</v>
      </c>
      <c r="F2086">
        <v>147</v>
      </c>
      <c r="G2086">
        <v>40936</v>
      </c>
      <c r="H2086">
        <v>41407</v>
      </c>
      <c r="I2086">
        <v>45474</v>
      </c>
      <c r="J2086">
        <v>44864</v>
      </c>
      <c r="L2086" t="s">
        <v>771</v>
      </c>
      <c r="M2086" t="s">
        <v>812</v>
      </c>
      <c r="N2086" t="s">
        <v>127</v>
      </c>
      <c r="O2086" t="s">
        <v>5665</v>
      </c>
      <c r="Q2086" t="s">
        <v>49</v>
      </c>
      <c r="R2086">
        <v>11</v>
      </c>
      <c r="T2086">
        <v>2</v>
      </c>
      <c r="U2086" t="s">
        <v>5687</v>
      </c>
      <c r="V2086" t="s">
        <v>5688</v>
      </c>
      <c r="W2086">
        <v>29309081302618</v>
      </c>
      <c r="X2086">
        <v>34220</v>
      </c>
      <c r="AC2086" t="s">
        <v>5689</v>
      </c>
      <c r="AF2086">
        <v>78</v>
      </c>
      <c r="AG2086">
        <v>175</v>
      </c>
      <c r="AH2086">
        <v>3</v>
      </c>
      <c r="AJ2086" t="s">
        <v>5690</v>
      </c>
    </row>
    <row r="2087" spans="1:36" ht="18.75" customHeight="1" x14ac:dyDescent="0.3">
      <c r="A2087" s="1">
        <v>2014138306032</v>
      </c>
      <c r="B2087" t="s">
        <v>75</v>
      </c>
      <c r="C2087" t="s">
        <v>5691</v>
      </c>
      <c r="D2087" t="s">
        <v>770</v>
      </c>
      <c r="E2087" t="s">
        <v>718</v>
      </c>
      <c r="F2087">
        <v>151</v>
      </c>
      <c r="G2087">
        <v>41665</v>
      </c>
      <c r="H2087">
        <v>42135</v>
      </c>
      <c r="I2087">
        <v>46023</v>
      </c>
      <c r="J2087">
        <v>44858</v>
      </c>
      <c r="L2087" t="s">
        <v>771</v>
      </c>
      <c r="M2087" t="s">
        <v>812</v>
      </c>
      <c r="N2087" t="s">
        <v>127</v>
      </c>
      <c r="O2087" t="s">
        <v>1756</v>
      </c>
      <c r="P2087" t="s">
        <v>49</v>
      </c>
      <c r="Q2087">
        <v>0</v>
      </c>
      <c r="R2087">
        <v>16</v>
      </c>
      <c r="S2087">
        <v>3</v>
      </c>
      <c r="T2087">
        <v>0</v>
      </c>
      <c r="U2087" t="s">
        <v>5692</v>
      </c>
      <c r="V2087" t="s">
        <v>5693</v>
      </c>
      <c r="W2087">
        <v>29403082200157</v>
      </c>
      <c r="X2087">
        <v>34401</v>
      </c>
      <c r="AC2087" t="s">
        <v>5694</v>
      </c>
      <c r="AF2087">
        <v>69</v>
      </c>
      <c r="AG2087">
        <v>176</v>
      </c>
      <c r="AH2087">
        <v>-7</v>
      </c>
      <c r="AJ2087" t="s">
        <v>5695</v>
      </c>
    </row>
    <row r="2088" spans="1:36" ht="18.75" customHeight="1" x14ac:dyDescent="0.3">
      <c r="A2088" s="1">
        <v>2014138326246</v>
      </c>
      <c r="B2088" t="s">
        <v>106</v>
      </c>
      <c r="C2088" t="s">
        <v>5696</v>
      </c>
      <c r="D2088" t="s">
        <v>770</v>
      </c>
      <c r="E2088" t="s">
        <v>718</v>
      </c>
      <c r="G2088">
        <v>41853</v>
      </c>
      <c r="H2088">
        <v>42326</v>
      </c>
      <c r="I2088">
        <v>44378</v>
      </c>
      <c r="L2088" t="s">
        <v>771</v>
      </c>
      <c r="M2088" t="s">
        <v>812</v>
      </c>
      <c r="N2088" t="s">
        <v>127</v>
      </c>
      <c r="O2088" t="s">
        <v>5079</v>
      </c>
      <c r="P2088" t="s">
        <v>49</v>
      </c>
      <c r="R2088">
        <v>19</v>
      </c>
      <c r="S2088">
        <v>3</v>
      </c>
      <c r="U2088" t="s">
        <v>5697</v>
      </c>
      <c r="V2088" t="s">
        <v>5698</v>
      </c>
      <c r="W2088">
        <v>29801112200594</v>
      </c>
      <c r="X2088">
        <v>35806</v>
      </c>
      <c r="AC2088" t="s">
        <v>5699</v>
      </c>
      <c r="AF2088">
        <v>80</v>
      </c>
      <c r="AG2088">
        <v>157</v>
      </c>
      <c r="AH2088">
        <v>23</v>
      </c>
      <c r="AI2088" t="s">
        <v>5700</v>
      </c>
      <c r="AJ2088" t="s">
        <v>5701</v>
      </c>
    </row>
    <row r="2089" spans="1:36" ht="18.75" customHeight="1" x14ac:dyDescent="0.3">
      <c r="A2089" s="1">
        <v>2015138300115</v>
      </c>
      <c r="B2089" t="s">
        <v>106</v>
      </c>
      <c r="C2089" t="s">
        <v>5702</v>
      </c>
      <c r="D2089" t="s">
        <v>770</v>
      </c>
      <c r="E2089" t="s">
        <v>718</v>
      </c>
      <c r="F2089">
        <v>153</v>
      </c>
      <c r="G2089">
        <v>42030</v>
      </c>
      <c r="H2089">
        <v>42501</v>
      </c>
      <c r="I2089">
        <v>44197</v>
      </c>
      <c r="J2089">
        <v>45583</v>
      </c>
      <c r="L2089" t="s">
        <v>771</v>
      </c>
      <c r="M2089" t="s">
        <v>812</v>
      </c>
      <c r="N2089" t="s">
        <v>127</v>
      </c>
      <c r="O2089" t="s">
        <v>5076</v>
      </c>
      <c r="P2089" t="s">
        <v>49</v>
      </c>
      <c r="R2089">
        <v>7</v>
      </c>
      <c r="T2089">
        <v>1</v>
      </c>
      <c r="U2089" t="s">
        <v>5703</v>
      </c>
      <c r="V2089" t="s">
        <v>5704</v>
      </c>
      <c r="W2089">
        <v>29707310101813</v>
      </c>
      <c r="X2089">
        <v>35642</v>
      </c>
      <c r="AC2089" t="s">
        <v>5705</v>
      </c>
      <c r="AF2089">
        <v>84</v>
      </c>
      <c r="AG2089">
        <v>183</v>
      </c>
      <c r="AH2089">
        <v>1</v>
      </c>
      <c r="AJ2089" t="s">
        <v>5706</v>
      </c>
    </row>
    <row r="2090" spans="1:36" ht="18.75" customHeight="1" x14ac:dyDescent="0.3">
      <c r="A2090" s="1">
        <v>2015138307707</v>
      </c>
      <c r="B2090" t="s">
        <v>106</v>
      </c>
      <c r="C2090" t="s">
        <v>5707</v>
      </c>
      <c r="D2090" t="s">
        <v>770</v>
      </c>
      <c r="E2090" t="s">
        <v>718</v>
      </c>
      <c r="F2090">
        <v>154</v>
      </c>
      <c r="G2090">
        <v>42224</v>
      </c>
      <c r="H2090">
        <v>42790</v>
      </c>
      <c r="I2090">
        <v>44743</v>
      </c>
      <c r="J2090">
        <v>42904</v>
      </c>
      <c r="L2090" t="s">
        <v>771</v>
      </c>
      <c r="M2090" t="s">
        <v>812</v>
      </c>
      <c r="N2090" t="s">
        <v>127</v>
      </c>
      <c r="O2090" t="s">
        <v>5076</v>
      </c>
      <c r="P2090" t="s">
        <v>49</v>
      </c>
      <c r="Q2090">
        <v>0</v>
      </c>
      <c r="R2090">
        <v>2</v>
      </c>
      <c r="S2090">
        <v>0</v>
      </c>
      <c r="T2090">
        <v>0</v>
      </c>
      <c r="U2090" t="s">
        <v>5708</v>
      </c>
      <c r="W2090">
        <v>29711011804678</v>
      </c>
      <c r="X2090">
        <v>35735</v>
      </c>
      <c r="AF2090">
        <v>77</v>
      </c>
      <c r="AG2090">
        <v>175</v>
      </c>
      <c r="AH2090">
        <v>2</v>
      </c>
      <c r="AJ2090" t="s">
        <v>5709</v>
      </c>
    </row>
    <row r="2091" spans="1:36" ht="18.75" customHeight="1" x14ac:dyDescent="0.3">
      <c r="A2091" s="1">
        <v>2017131801596</v>
      </c>
      <c r="B2091" t="s">
        <v>106</v>
      </c>
      <c r="C2091" t="s">
        <v>5710</v>
      </c>
      <c r="D2091" t="s">
        <v>3500</v>
      </c>
      <c r="E2091" t="s">
        <v>335</v>
      </c>
      <c r="F2091">
        <v>157</v>
      </c>
      <c r="G2091">
        <v>42915</v>
      </c>
      <c r="H2091">
        <v>43663</v>
      </c>
      <c r="I2091">
        <v>43663</v>
      </c>
      <c r="L2091" t="s">
        <v>135</v>
      </c>
      <c r="M2091" t="s">
        <v>335</v>
      </c>
      <c r="N2091" t="s">
        <v>727</v>
      </c>
      <c r="P2091" t="s">
        <v>49</v>
      </c>
      <c r="R2091">
        <v>3</v>
      </c>
      <c r="S2091" t="s">
        <v>3501</v>
      </c>
      <c r="U2091">
        <v>1066700539</v>
      </c>
      <c r="V2091">
        <v>1066700539</v>
      </c>
      <c r="W2091">
        <v>29505011605072</v>
      </c>
      <c r="X2091">
        <v>34820</v>
      </c>
      <c r="Y2091" t="s">
        <v>103</v>
      </c>
      <c r="AE2091">
        <v>78</v>
      </c>
      <c r="AF2091">
        <v>182</v>
      </c>
      <c r="AG2091">
        <v>-4</v>
      </c>
      <c r="AJ2091" t="s">
        <v>5711</v>
      </c>
    </row>
    <row r="2092" spans="1:36" ht="18.75" customHeight="1" x14ac:dyDescent="0.3">
      <c r="A2092" s="1">
        <v>2018138300169</v>
      </c>
      <c r="B2092" t="s">
        <v>106</v>
      </c>
      <c r="C2092" t="s">
        <v>5712</v>
      </c>
      <c r="D2092" t="s">
        <v>770</v>
      </c>
      <c r="E2092" t="s">
        <v>718</v>
      </c>
      <c r="F2092">
        <v>158</v>
      </c>
      <c r="G2092">
        <v>43279</v>
      </c>
      <c r="H2092">
        <v>44117</v>
      </c>
      <c r="I2092">
        <v>46023</v>
      </c>
      <c r="J2092">
        <v>45657</v>
      </c>
      <c r="L2092" t="s">
        <v>771</v>
      </c>
      <c r="M2092" t="s">
        <v>812</v>
      </c>
      <c r="N2092" t="s">
        <v>127</v>
      </c>
      <c r="O2092" t="s">
        <v>5076</v>
      </c>
      <c r="P2092" t="s">
        <v>49</v>
      </c>
      <c r="Q2092">
        <v>0</v>
      </c>
      <c r="R2092">
        <v>6</v>
      </c>
      <c r="U2092" t="s">
        <v>5713</v>
      </c>
      <c r="V2092" t="s">
        <v>5714</v>
      </c>
      <c r="W2092">
        <v>30102011401696</v>
      </c>
      <c r="X2092">
        <v>36923</v>
      </c>
      <c r="AC2092" t="s">
        <v>5715</v>
      </c>
      <c r="AF2092">
        <v>77</v>
      </c>
      <c r="AG2092">
        <v>176</v>
      </c>
      <c r="AH2092">
        <v>1</v>
      </c>
      <c r="AJ2092" t="s">
        <v>5716</v>
      </c>
    </row>
    <row r="2093" spans="1:36" ht="18.75" customHeight="1" x14ac:dyDescent="0.3">
      <c r="A2093" s="1">
        <v>2019130402325</v>
      </c>
      <c r="B2093" t="s">
        <v>125</v>
      </c>
      <c r="C2093" t="s">
        <v>5717</v>
      </c>
      <c r="D2093" t="s">
        <v>770</v>
      </c>
      <c r="E2093" t="s">
        <v>718</v>
      </c>
      <c r="F2093">
        <v>159</v>
      </c>
      <c r="G2093">
        <v>43692</v>
      </c>
      <c r="H2093">
        <v>44482</v>
      </c>
      <c r="I2093">
        <v>44533</v>
      </c>
      <c r="J2093">
        <v>44504</v>
      </c>
      <c r="L2093" t="s">
        <v>771</v>
      </c>
      <c r="M2093" t="s">
        <v>812</v>
      </c>
      <c r="N2093" t="s">
        <v>78</v>
      </c>
      <c r="O2093" t="s">
        <v>78</v>
      </c>
      <c r="P2093" t="s">
        <v>49</v>
      </c>
      <c r="R2093">
        <v>5</v>
      </c>
      <c r="S2093">
        <v>2</v>
      </c>
      <c r="T2093">
        <v>1</v>
      </c>
      <c r="U2093" t="s">
        <v>5718</v>
      </c>
      <c r="V2093" t="s">
        <v>5719</v>
      </c>
      <c r="W2093">
        <v>30108172601111</v>
      </c>
      <c r="X2093">
        <v>37120</v>
      </c>
      <c r="AC2093" t="s">
        <v>2013</v>
      </c>
      <c r="AF2093">
        <v>80</v>
      </c>
      <c r="AG2093">
        <v>168</v>
      </c>
      <c r="AH2093">
        <v>12</v>
      </c>
    </row>
    <row r="2094" spans="1:36" ht="18.75" customHeight="1" x14ac:dyDescent="0.3">
      <c r="A2094" s="1">
        <v>2019138304135</v>
      </c>
      <c r="B2094" t="s">
        <v>125</v>
      </c>
      <c r="C2094" t="s">
        <v>5720</v>
      </c>
      <c r="D2094" t="s">
        <v>770</v>
      </c>
      <c r="E2094" t="s">
        <v>718</v>
      </c>
      <c r="F2094">
        <v>159</v>
      </c>
      <c r="G2094">
        <v>43692</v>
      </c>
      <c r="H2094">
        <v>44482</v>
      </c>
      <c r="I2094">
        <v>44533</v>
      </c>
      <c r="J2094">
        <v>44504</v>
      </c>
      <c r="L2094" t="s">
        <v>771</v>
      </c>
      <c r="M2094" t="s">
        <v>812</v>
      </c>
      <c r="N2094" t="s">
        <v>127</v>
      </c>
      <c r="O2094" t="s">
        <v>1756</v>
      </c>
      <c r="P2094" t="s">
        <v>49</v>
      </c>
      <c r="R2094">
        <v>4</v>
      </c>
      <c r="U2094" t="s">
        <v>5721</v>
      </c>
      <c r="V2094" t="s">
        <v>5722</v>
      </c>
      <c r="W2094">
        <v>30206131801337</v>
      </c>
      <c r="X2094">
        <v>37420</v>
      </c>
      <c r="AC2094" t="s">
        <v>5723</v>
      </c>
      <c r="AF2094">
        <v>64</v>
      </c>
      <c r="AG2094">
        <v>176</v>
      </c>
      <c r="AH2094">
        <v>-12</v>
      </c>
      <c r="AJ2094" t="s">
        <v>5724</v>
      </c>
    </row>
    <row r="2095" spans="1:36" ht="18.75" customHeight="1" x14ac:dyDescent="0.3">
      <c r="A2095" s="1">
        <v>2019138306412</v>
      </c>
      <c r="B2095" t="s">
        <v>125</v>
      </c>
      <c r="C2095" t="s">
        <v>5725</v>
      </c>
      <c r="D2095" t="s">
        <v>770</v>
      </c>
      <c r="E2095" t="s">
        <v>718</v>
      </c>
      <c r="F2095">
        <v>159</v>
      </c>
      <c r="G2095">
        <v>43600</v>
      </c>
      <c r="H2095">
        <v>44482</v>
      </c>
      <c r="I2095">
        <v>44533</v>
      </c>
      <c r="J2095">
        <v>44504</v>
      </c>
      <c r="L2095" t="s">
        <v>771</v>
      </c>
      <c r="M2095" t="s">
        <v>812</v>
      </c>
      <c r="N2095" t="s">
        <v>127</v>
      </c>
      <c r="O2095" t="s">
        <v>1756</v>
      </c>
      <c r="P2095" t="s">
        <v>49</v>
      </c>
      <c r="R2095">
        <v>5</v>
      </c>
      <c r="U2095" t="s">
        <v>5726</v>
      </c>
      <c r="V2095" t="s">
        <v>5727</v>
      </c>
      <c r="W2095">
        <v>30307011312333</v>
      </c>
      <c r="X2095">
        <v>37803</v>
      </c>
      <c r="AC2095" t="s">
        <v>5728</v>
      </c>
      <c r="AF2095">
        <v>70</v>
      </c>
      <c r="AG2095">
        <v>157</v>
      </c>
      <c r="AH2095">
        <v>13</v>
      </c>
    </row>
    <row r="2096" spans="1:36" ht="18.75" customHeight="1" x14ac:dyDescent="0.3">
      <c r="A2096" s="1">
        <v>2019138306686</v>
      </c>
      <c r="B2096" t="s">
        <v>125</v>
      </c>
      <c r="C2096" t="s">
        <v>5729</v>
      </c>
      <c r="D2096" t="s">
        <v>770</v>
      </c>
      <c r="E2096" t="s">
        <v>718</v>
      </c>
      <c r="F2096">
        <v>159</v>
      </c>
      <c r="G2096">
        <v>43692</v>
      </c>
      <c r="H2096">
        <v>44482</v>
      </c>
      <c r="I2096">
        <v>44533</v>
      </c>
      <c r="J2096">
        <v>44504</v>
      </c>
      <c r="L2096" t="s">
        <v>771</v>
      </c>
      <c r="M2096" t="s">
        <v>812</v>
      </c>
      <c r="N2096" t="s">
        <v>127</v>
      </c>
      <c r="O2096" t="s">
        <v>1756</v>
      </c>
      <c r="P2096" t="s">
        <v>49</v>
      </c>
      <c r="R2096">
        <v>1</v>
      </c>
      <c r="U2096" t="s">
        <v>5730</v>
      </c>
      <c r="V2096" t="s">
        <v>5731</v>
      </c>
      <c r="W2096">
        <v>30307043400137</v>
      </c>
      <c r="X2096">
        <v>37806</v>
      </c>
      <c r="AC2096" t="s">
        <v>5732</v>
      </c>
      <c r="AF2096">
        <v>81</v>
      </c>
      <c r="AG2096">
        <v>173</v>
      </c>
      <c r="AH2096">
        <v>8</v>
      </c>
    </row>
    <row r="2097" spans="1:37" ht="18.75" customHeight="1" x14ac:dyDescent="0.3">
      <c r="A2097" s="1">
        <v>2019138307262</v>
      </c>
      <c r="B2097" t="s">
        <v>125</v>
      </c>
      <c r="C2097" t="s">
        <v>5733</v>
      </c>
      <c r="D2097" t="s">
        <v>770</v>
      </c>
      <c r="E2097" t="s">
        <v>718</v>
      </c>
      <c r="F2097">
        <v>159</v>
      </c>
      <c r="G2097">
        <v>43692</v>
      </c>
      <c r="H2097">
        <v>44482</v>
      </c>
      <c r="I2097">
        <v>44533</v>
      </c>
      <c r="J2097">
        <v>44504</v>
      </c>
      <c r="L2097" t="s">
        <v>771</v>
      </c>
      <c r="M2097" t="s">
        <v>812</v>
      </c>
      <c r="N2097" t="s">
        <v>127</v>
      </c>
      <c r="O2097" t="s">
        <v>5076</v>
      </c>
      <c r="P2097" t="s">
        <v>49</v>
      </c>
      <c r="R2097">
        <v>2</v>
      </c>
      <c r="U2097" t="s">
        <v>5734</v>
      </c>
      <c r="V2097" t="s">
        <v>5735</v>
      </c>
      <c r="W2097">
        <v>30308101308595</v>
      </c>
      <c r="X2097">
        <v>37843</v>
      </c>
      <c r="AC2097" t="s">
        <v>5736</v>
      </c>
      <c r="AF2097">
        <v>71</v>
      </c>
      <c r="AG2097">
        <v>173</v>
      </c>
      <c r="AH2097">
        <v>-2</v>
      </c>
    </row>
    <row r="2098" spans="1:37" ht="18.75" customHeight="1" x14ac:dyDescent="0.3">
      <c r="A2098" s="1">
        <v>2019138309937</v>
      </c>
      <c r="B2098" t="s">
        <v>125</v>
      </c>
      <c r="C2098" t="s">
        <v>5737</v>
      </c>
      <c r="D2098" t="s">
        <v>770</v>
      </c>
      <c r="E2098" t="s">
        <v>718</v>
      </c>
      <c r="F2098">
        <v>159</v>
      </c>
      <c r="G2098">
        <v>43692</v>
      </c>
      <c r="H2098">
        <v>44482</v>
      </c>
      <c r="I2098">
        <v>44533</v>
      </c>
      <c r="J2098">
        <v>44504</v>
      </c>
      <c r="L2098" t="s">
        <v>771</v>
      </c>
      <c r="M2098" t="s">
        <v>812</v>
      </c>
      <c r="N2098" t="s">
        <v>127</v>
      </c>
      <c r="O2098" t="s">
        <v>1756</v>
      </c>
      <c r="P2098" t="s">
        <v>49</v>
      </c>
      <c r="R2098">
        <v>6</v>
      </c>
      <c r="S2098">
        <v>2</v>
      </c>
      <c r="U2098" t="s">
        <v>5738</v>
      </c>
      <c r="V2098" t="s">
        <v>5739</v>
      </c>
      <c r="W2098">
        <v>30106201304455</v>
      </c>
      <c r="X2098">
        <v>37062</v>
      </c>
      <c r="AC2098" t="s">
        <v>5740</v>
      </c>
      <c r="AF2098">
        <v>70</v>
      </c>
      <c r="AG2098">
        <v>173</v>
      </c>
      <c r="AH2098">
        <v>-3</v>
      </c>
      <c r="AK2098" t="s">
        <v>5741</v>
      </c>
    </row>
    <row r="2099" spans="1:37" ht="18.75" customHeight="1" x14ac:dyDescent="0.3">
      <c r="A2099" s="1">
        <v>2019138311320</v>
      </c>
      <c r="B2099" t="s">
        <v>125</v>
      </c>
      <c r="C2099" t="s">
        <v>5742</v>
      </c>
      <c r="D2099" t="s">
        <v>770</v>
      </c>
      <c r="E2099" t="s">
        <v>718</v>
      </c>
      <c r="F2099">
        <v>159</v>
      </c>
      <c r="G2099">
        <v>43692</v>
      </c>
      <c r="H2099">
        <v>44482</v>
      </c>
      <c r="I2099">
        <v>44533</v>
      </c>
      <c r="J2099">
        <v>44514</v>
      </c>
      <c r="L2099" t="s">
        <v>771</v>
      </c>
      <c r="M2099" t="s">
        <v>812</v>
      </c>
      <c r="N2099" t="s">
        <v>127</v>
      </c>
      <c r="O2099" t="s">
        <v>1756</v>
      </c>
      <c r="P2099" t="s">
        <v>49</v>
      </c>
      <c r="R2099">
        <v>1</v>
      </c>
      <c r="U2099" t="s">
        <v>5743</v>
      </c>
      <c r="W2099">
        <v>29604031701459</v>
      </c>
      <c r="X2099">
        <v>35158</v>
      </c>
      <c r="AC2099" t="s">
        <v>5744</v>
      </c>
      <c r="AF2099">
        <v>74</v>
      </c>
      <c r="AG2099">
        <v>174</v>
      </c>
      <c r="AH2099">
        <v>0</v>
      </c>
    </row>
    <row r="2100" spans="1:37" ht="18.75" customHeight="1" x14ac:dyDescent="0.3">
      <c r="A2100" s="1">
        <v>2019138312229</v>
      </c>
      <c r="B2100" t="s">
        <v>125</v>
      </c>
      <c r="C2100" t="s">
        <v>5745</v>
      </c>
      <c r="D2100" t="s">
        <v>770</v>
      </c>
      <c r="E2100" t="s">
        <v>718</v>
      </c>
      <c r="F2100">
        <v>159</v>
      </c>
      <c r="G2100">
        <v>43692</v>
      </c>
      <c r="H2100">
        <v>44482</v>
      </c>
      <c r="I2100">
        <v>44533</v>
      </c>
      <c r="J2100">
        <v>44504</v>
      </c>
      <c r="L2100" t="s">
        <v>771</v>
      </c>
      <c r="M2100" t="s">
        <v>812</v>
      </c>
      <c r="N2100" t="s">
        <v>127</v>
      </c>
      <c r="O2100" t="s">
        <v>4719</v>
      </c>
      <c r="P2100" t="s">
        <v>49</v>
      </c>
      <c r="U2100" t="s">
        <v>5746</v>
      </c>
      <c r="V2100" t="s">
        <v>5747</v>
      </c>
      <c r="W2100">
        <v>29502181700641</v>
      </c>
      <c r="X2100">
        <v>34748</v>
      </c>
      <c r="AC2100" t="s">
        <v>5748</v>
      </c>
      <c r="AF2100">
        <v>73</v>
      </c>
      <c r="AG2100">
        <v>176</v>
      </c>
      <c r="AH2100">
        <v>-3</v>
      </c>
    </row>
    <row r="2101" spans="1:37" ht="18.75" customHeight="1" x14ac:dyDescent="0.3">
      <c r="A2101" s="1">
        <v>2019138314069</v>
      </c>
      <c r="B2101" t="s">
        <v>125</v>
      </c>
      <c r="C2101" t="s">
        <v>5749</v>
      </c>
      <c r="D2101" t="s">
        <v>770</v>
      </c>
      <c r="E2101" t="s">
        <v>718</v>
      </c>
      <c r="F2101">
        <v>159</v>
      </c>
      <c r="G2101">
        <v>43692</v>
      </c>
      <c r="H2101">
        <v>44482</v>
      </c>
      <c r="I2101">
        <v>44533</v>
      </c>
      <c r="J2101">
        <v>44504</v>
      </c>
      <c r="L2101" t="s">
        <v>771</v>
      </c>
      <c r="M2101" t="s">
        <v>812</v>
      </c>
      <c r="N2101" t="s">
        <v>127</v>
      </c>
      <c r="O2101" t="s">
        <v>1756</v>
      </c>
      <c r="P2101" t="s">
        <v>49</v>
      </c>
      <c r="R2101">
        <v>1</v>
      </c>
      <c r="U2101" t="s">
        <v>5750</v>
      </c>
      <c r="V2101" t="s">
        <v>5751</v>
      </c>
      <c r="W2101">
        <v>30307201700275</v>
      </c>
      <c r="X2101">
        <v>37822</v>
      </c>
      <c r="AC2101" t="s">
        <v>5752</v>
      </c>
      <c r="AF2101">
        <v>68</v>
      </c>
      <c r="AG2101">
        <v>177</v>
      </c>
      <c r="AH2101">
        <v>-9</v>
      </c>
    </row>
    <row r="2102" spans="1:37" ht="18.75" customHeight="1" x14ac:dyDescent="0.3">
      <c r="A2102" s="1">
        <v>2017131802213</v>
      </c>
      <c r="B2102" t="s">
        <v>106</v>
      </c>
      <c r="C2102" t="s">
        <v>5753</v>
      </c>
      <c r="D2102" t="s">
        <v>3500</v>
      </c>
      <c r="E2102" t="s">
        <v>335</v>
      </c>
      <c r="F2102">
        <v>157</v>
      </c>
      <c r="G2102">
        <v>42915</v>
      </c>
      <c r="H2102">
        <v>43663</v>
      </c>
      <c r="I2102">
        <v>43663</v>
      </c>
      <c r="L2102" t="s">
        <v>135</v>
      </c>
      <c r="M2102" t="s">
        <v>335</v>
      </c>
      <c r="N2102" t="s">
        <v>727</v>
      </c>
      <c r="P2102" t="s">
        <v>49</v>
      </c>
      <c r="R2102">
        <v>2</v>
      </c>
      <c r="S2102" t="s">
        <v>3501</v>
      </c>
      <c r="U2102">
        <v>1225955412</v>
      </c>
      <c r="V2102">
        <v>1094554394</v>
      </c>
      <c r="W2102">
        <v>30102211401259</v>
      </c>
      <c r="X2102">
        <v>36943</v>
      </c>
      <c r="Y2102" t="s">
        <v>103</v>
      </c>
      <c r="AE2102">
        <v>72</v>
      </c>
      <c r="AF2102">
        <v>171</v>
      </c>
      <c r="AG2102">
        <v>1</v>
      </c>
      <c r="AJ2102" t="s">
        <v>3574</v>
      </c>
    </row>
    <row r="2103" spans="1:37" ht="18.75" customHeight="1" x14ac:dyDescent="0.3">
      <c r="A2103" s="1">
        <v>2018131810743</v>
      </c>
      <c r="B2103" t="s">
        <v>106</v>
      </c>
      <c r="C2103" t="s">
        <v>5754</v>
      </c>
      <c r="D2103" t="s">
        <v>3500</v>
      </c>
      <c r="E2103" t="s">
        <v>335</v>
      </c>
      <c r="F2103">
        <v>158</v>
      </c>
      <c r="G2103">
        <v>37349</v>
      </c>
      <c r="H2103">
        <v>44117</v>
      </c>
      <c r="I2103">
        <v>44117</v>
      </c>
      <c r="L2103" t="s">
        <v>135</v>
      </c>
      <c r="M2103" t="s">
        <v>335</v>
      </c>
      <c r="N2103" t="s">
        <v>727</v>
      </c>
      <c r="P2103" t="s">
        <v>49</v>
      </c>
      <c r="R2103">
        <v>7</v>
      </c>
      <c r="S2103" t="s">
        <v>3501</v>
      </c>
      <c r="U2103">
        <v>1065611433</v>
      </c>
      <c r="V2103">
        <v>1030130025</v>
      </c>
      <c r="W2103">
        <v>30204031602377</v>
      </c>
      <c r="X2103">
        <v>37349</v>
      </c>
      <c r="Y2103" t="s">
        <v>153</v>
      </c>
      <c r="AE2103">
        <v>74</v>
      </c>
      <c r="AF2103">
        <v>182</v>
      </c>
      <c r="AG2103">
        <v>-8</v>
      </c>
    </row>
    <row r="2104" spans="1:37" ht="18.75" customHeight="1" x14ac:dyDescent="0.3">
      <c r="A2104" s="1">
        <v>2021138304429</v>
      </c>
      <c r="B2104" t="s">
        <v>125</v>
      </c>
      <c r="C2104" t="s">
        <v>5755</v>
      </c>
      <c r="D2104" t="s">
        <v>770</v>
      </c>
      <c r="E2104" t="s">
        <v>718</v>
      </c>
      <c r="F2104">
        <v>160</v>
      </c>
      <c r="G2104">
        <v>44205</v>
      </c>
      <c r="H2104">
        <v>45197</v>
      </c>
      <c r="I2104">
        <v>45197</v>
      </c>
      <c r="J2104">
        <v>45273</v>
      </c>
      <c r="L2104" t="s">
        <v>771</v>
      </c>
      <c r="M2104" t="s">
        <v>812</v>
      </c>
      <c r="N2104" t="s">
        <v>127</v>
      </c>
      <c r="O2104" t="s">
        <v>1756</v>
      </c>
      <c r="P2104" t="s">
        <v>49</v>
      </c>
      <c r="R2104">
        <v>2</v>
      </c>
      <c r="U2104" t="s">
        <v>5756</v>
      </c>
      <c r="V2104" t="s">
        <v>5757</v>
      </c>
      <c r="W2104">
        <v>30203012612896</v>
      </c>
      <c r="X2104">
        <v>37121</v>
      </c>
      <c r="AC2104" t="s">
        <v>2013</v>
      </c>
      <c r="AF2104">
        <v>76</v>
      </c>
      <c r="AG2104">
        <v>184</v>
      </c>
      <c r="AH2104">
        <v>-8</v>
      </c>
    </row>
    <row r="2105" spans="1:37" ht="18.75" customHeight="1" x14ac:dyDescent="0.3">
      <c r="A2105" s="1">
        <v>2023138300671</v>
      </c>
      <c r="B2105" t="s">
        <v>125</v>
      </c>
      <c r="C2105" t="s">
        <v>5758</v>
      </c>
      <c r="D2105" t="s">
        <v>770</v>
      </c>
      <c r="E2105" t="s">
        <v>718</v>
      </c>
      <c r="F2105">
        <v>162</v>
      </c>
      <c r="G2105">
        <v>44941</v>
      </c>
      <c r="I2105">
        <v>45976</v>
      </c>
      <c r="J2105">
        <v>45967</v>
      </c>
      <c r="L2105" t="s">
        <v>771</v>
      </c>
      <c r="M2105" t="s">
        <v>812</v>
      </c>
      <c r="N2105" t="s">
        <v>127</v>
      </c>
      <c r="O2105" t="s">
        <v>5076</v>
      </c>
      <c r="P2105" t="s">
        <v>49</v>
      </c>
      <c r="U2105" t="s">
        <v>5759</v>
      </c>
      <c r="V2105" t="s">
        <v>5760</v>
      </c>
      <c r="W2105">
        <v>30602220103557</v>
      </c>
      <c r="X2105">
        <v>38770</v>
      </c>
      <c r="AC2105" t="s">
        <v>5761</v>
      </c>
      <c r="AF2105">
        <v>64</v>
      </c>
      <c r="AG2105">
        <v>181</v>
      </c>
      <c r="AH2105">
        <v>-17</v>
      </c>
    </row>
    <row r="2106" spans="1:37" ht="18.75" customHeight="1" x14ac:dyDescent="0.3">
      <c r="A2106" s="1">
        <v>2023138300960</v>
      </c>
      <c r="B2106" t="s">
        <v>125</v>
      </c>
      <c r="C2106" t="s">
        <v>5762</v>
      </c>
      <c r="D2106" t="s">
        <v>770</v>
      </c>
      <c r="E2106" t="s">
        <v>718</v>
      </c>
      <c r="F2106">
        <v>162</v>
      </c>
      <c r="G2106">
        <v>44941</v>
      </c>
      <c r="I2106">
        <v>45976</v>
      </c>
      <c r="J2106">
        <v>45967</v>
      </c>
      <c r="L2106" t="s">
        <v>771</v>
      </c>
      <c r="M2106" t="s">
        <v>812</v>
      </c>
      <c r="N2106" t="s">
        <v>127</v>
      </c>
      <c r="O2106" t="s">
        <v>5076</v>
      </c>
      <c r="P2106" t="s">
        <v>49</v>
      </c>
      <c r="U2106" t="s">
        <v>5763</v>
      </c>
      <c r="V2106" t="s">
        <v>5764</v>
      </c>
      <c r="W2106">
        <v>30504161700137</v>
      </c>
      <c r="X2106">
        <v>38458</v>
      </c>
      <c r="AC2106" t="s">
        <v>5765</v>
      </c>
      <c r="AF2106">
        <v>77</v>
      </c>
      <c r="AG2106">
        <v>183</v>
      </c>
      <c r="AH2106">
        <v>-6</v>
      </c>
    </row>
    <row r="2107" spans="1:37" ht="18.75" customHeight="1" x14ac:dyDescent="0.3">
      <c r="A2107" s="1">
        <v>2023138309053</v>
      </c>
      <c r="B2107" t="s">
        <v>125</v>
      </c>
      <c r="C2107" t="s">
        <v>5766</v>
      </c>
      <c r="D2107" t="s">
        <v>770</v>
      </c>
      <c r="E2107" t="s">
        <v>718</v>
      </c>
      <c r="F2107">
        <v>162</v>
      </c>
      <c r="G2107">
        <v>44941</v>
      </c>
      <c r="H2107">
        <v>45976</v>
      </c>
      <c r="I2107">
        <v>45976</v>
      </c>
      <c r="J2107">
        <v>45967</v>
      </c>
      <c r="L2107" t="s">
        <v>771</v>
      </c>
      <c r="M2107" t="s">
        <v>812</v>
      </c>
      <c r="N2107" t="s">
        <v>127</v>
      </c>
      <c r="O2107" t="s">
        <v>4654</v>
      </c>
      <c r="P2107" t="s">
        <v>49</v>
      </c>
      <c r="R2107">
        <v>0</v>
      </c>
      <c r="S2107">
        <v>0</v>
      </c>
      <c r="T2107">
        <v>0</v>
      </c>
      <c r="U2107" t="s">
        <v>5767</v>
      </c>
      <c r="V2107" t="s">
        <v>5768</v>
      </c>
      <c r="W2107">
        <v>30411242401195</v>
      </c>
      <c r="X2107">
        <v>38315</v>
      </c>
      <c r="AC2107" t="s">
        <v>5769</v>
      </c>
      <c r="AF2107">
        <v>67</v>
      </c>
      <c r="AG2107">
        <v>181</v>
      </c>
      <c r="AH2107">
        <v>-14</v>
      </c>
      <c r="AI2107">
        <v>0</v>
      </c>
      <c r="AJ2107">
        <v>0</v>
      </c>
    </row>
    <row r="2108" spans="1:37" ht="18.75" customHeight="1" x14ac:dyDescent="0.3">
      <c r="A2108" s="1">
        <v>2003130400744</v>
      </c>
      <c r="B2108" t="s">
        <v>57</v>
      </c>
      <c r="C2108" t="s">
        <v>5770</v>
      </c>
      <c r="D2108" t="s">
        <v>5771</v>
      </c>
      <c r="E2108" t="s">
        <v>718</v>
      </c>
      <c r="F2108">
        <v>106</v>
      </c>
      <c r="G2108">
        <v>37821</v>
      </c>
      <c r="H2108">
        <v>38294</v>
      </c>
      <c r="I2108">
        <v>44378</v>
      </c>
      <c r="J2108">
        <v>45977</v>
      </c>
      <c r="L2108" t="s">
        <v>45</v>
      </c>
      <c r="M2108" t="s">
        <v>812</v>
      </c>
      <c r="N2108" t="s">
        <v>127</v>
      </c>
      <c r="O2108" t="s">
        <v>78</v>
      </c>
      <c r="Q2108" t="s">
        <v>49</v>
      </c>
      <c r="R2108">
        <v>26</v>
      </c>
      <c r="S2108">
        <v>3</v>
      </c>
      <c r="T2108">
        <v>0</v>
      </c>
      <c r="U2108" t="s">
        <v>5772</v>
      </c>
      <c r="W2108">
        <v>28304121201772</v>
      </c>
      <c r="X2108">
        <v>30418</v>
      </c>
      <c r="AC2108" t="s">
        <v>5773</v>
      </c>
      <c r="AF2108">
        <v>95</v>
      </c>
      <c r="AG2108">
        <v>185</v>
      </c>
      <c r="AH2108">
        <f>IF([2]!Table1[[#This Row],[الوزن]]&lt;&gt;"",[2]!Table1[[#This Row],[الوزن]]-([2]!Table1[[#This Row],[الطول]]-100),"")</f>
        <v>10</v>
      </c>
      <c r="AJ2108" t="s">
        <v>5774</v>
      </c>
    </row>
    <row r="2109" spans="1:37" ht="18.75" customHeight="1" x14ac:dyDescent="0.3">
      <c r="A2109" s="1">
        <v>2004138300902</v>
      </c>
      <c r="B2109" t="s">
        <v>210</v>
      </c>
      <c r="C2109" t="s">
        <v>5775</v>
      </c>
      <c r="D2109" t="s">
        <v>5771</v>
      </c>
      <c r="E2109" t="s">
        <v>718</v>
      </c>
      <c r="F2109">
        <v>131</v>
      </c>
      <c r="G2109">
        <v>38003</v>
      </c>
      <c r="H2109">
        <v>38475</v>
      </c>
      <c r="I2109">
        <v>45839</v>
      </c>
      <c r="J2109">
        <v>44860</v>
      </c>
      <c r="L2109" t="s">
        <v>135</v>
      </c>
      <c r="M2109" t="s">
        <v>812</v>
      </c>
      <c r="N2109" t="s">
        <v>127</v>
      </c>
      <c r="O2109" t="s">
        <v>1105</v>
      </c>
      <c r="P2109" t="s">
        <v>49</v>
      </c>
      <c r="R2109">
        <v>5</v>
      </c>
      <c r="S2109">
        <v>0</v>
      </c>
      <c r="T2109">
        <v>0</v>
      </c>
      <c r="U2109" t="s">
        <v>5776</v>
      </c>
      <c r="W2109">
        <v>2840501221732</v>
      </c>
      <c r="X2109">
        <v>30803</v>
      </c>
      <c r="AC2109" t="s">
        <v>5777</v>
      </c>
      <c r="AF2109">
        <v>80</v>
      </c>
      <c r="AG2109">
        <v>170</v>
      </c>
      <c r="AH2109">
        <v>10</v>
      </c>
      <c r="AJ2109" t="s">
        <v>5778</v>
      </c>
    </row>
    <row r="2110" spans="1:37" ht="18.75" customHeight="1" x14ac:dyDescent="0.3">
      <c r="A2110" s="1">
        <v>2008138308403</v>
      </c>
      <c r="B2110" t="s">
        <v>57</v>
      </c>
      <c r="C2110" t="s">
        <v>5779</v>
      </c>
      <c r="D2110" t="s">
        <v>5771</v>
      </c>
      <c r="E2110" t="s">
        <v>718</v>
      </c>
      <c r="F2110">
        <v>140</v>
      </c>
      <c r="G2110">
        <v>41846</v>
      </c>
      <c r="H2110">
        <v>40128</v>
      </c>
      <c r="I2110">
        <v>45658</v>
      </c>
      <c r="J2110">
        <v>45026</v>
      </c>
      <c r="L2110" t="s">
        <v>135</v>
      </c>
      <c r="M2110" t="s">
        <v>812</v>
      </c>
      <c r="N2110" t="s">
        <v>127</v>
      </c>
      <c r="O2110" t="s">
        <v>1105</v>
      </c>
      <c r="P2110" t="s">
        <v>49</v>
      </c>
      <c r="R2110">
        <v>11</v>
      </c>
      <c r="S2110">
        <v>1</v>
      </c>
      <c r="T2110">
        <v>0</v>
      </c>
      <c r="U2110" t="s">
        <v>5780</v>
      </c>
      <c r="W2110">
        <v>28904071600591</v>
      </c>
      <c r="X2110">
        <v>32605</v>
      </c>
      <c r="AC2110" t="s">
        <v>5781</v>
      </c>
      <c r="AF2110">
        <v>88</v>
      </c>
      <c r="AG2110">
        <v>177</v>
      </c>
      <c r="AH2110">
        <v>11</v>
      </c>
      <c r="AJ2110" t="s">
        <v>5537</v>
      </c>
    </row>
    <row r="2111" spans="1:37" ht="18.75" customHeight="1" x14ac:dyDescent="0.3">
      <c r="A2111" s="1">
        <v>2010138305115</v>
      </c>
      <c r="B2111" t="s">
        <v>75</v>
      </c>
      <c r="C2111" t="s">
        <v>5782</v>
      </c>
      <c r="D2111" t="s">
        <v>5771</v>
      </c>
      <c r="E2111" t="s">
        <v>718</v>
      </c>
      <c r="F2111">
        <v>144</v>
      </c>
      <c r="G2111">
        <v>40376</v>
      </c>
      <c r="H2111">
        <v>40850</v>
      </c>
      <c r="I2111">
        <v>44743</v>
      </c>
      <c r="J2111">
        <v>45971</v>
      </c>
      <c r="L2111" t="s">
        <v>135</v>
      </c>
      <c r="M2111" t="s">
        <v>812</v>
      </c>
      <c r="N2111" t="s">
        <v>127</v>
      </c>
      <c r="O2111" t="s">
        <v>1756</v>
      </c>
      <c r="P2111" t="s">
        <v>49</v>
      </c>
      <c r="R2111">
        <v>1</v>
      </c>
      <c r="S2111">
        <v>1</v>
      </c>
      <c r="T2111">
        <v>0</v>
      </c>
      <c r="U2111" t="s">
        <v>5783</v>
      </c>
      <c r="W2111">
        <v>29010011809779</v>
      </c>
      <c r="X2111">
        <v>33147</v>
      </c>
      <c r="AC2111" t="s">
        <v>5784</v>
      </c>
      <c r="AF2111">
        <v>78</v>
      </c>
      <c r="AG2111">
        <v>176</v>
      </c>
      <c r="AH2111">
        <v>2</v>
      </c>
      <c r="AJ2111" t="s">
        <v>5785</v>
      </c>
    </row>
    <row r="2112" spans="1:37" ht="18.75" customHeight="1" x14ac:dyDescent="0.3">
      <c r="A2112" s="1">
        <v>2011138304602</v>
      </c>
      <c r="B2112" t="s">
        <v>75</v>
      </c>
      <c r="C2112" t="s">
        <v>5786</v>
      </c>
      <c r="D2112" t="s">
        <v>5771</v>
      </c>
      <c r="E2112" t="s">
        <v>718</v>
      </c>
      <c r="F2112">
        <v>145</v>
      </c>
      <c r="G2112">
        <v>40558</v>
      </c>
      <c r="H2112">
        <v>41030</v>
      </c>
      <c r="I2112">
        <v>44743</v>
      </c>
      <c r="J2112">
        <v>45592</v>
      </c>
      <c r="L2112" t="s">
        <v>135</v>
      </c>
      <c r="M2112" t="s">
        <v>812</v>
      </c>
      <c r="N2112" t="s">
        <v>127</v>
      </c>
      <c r="O2112" t="s">
        <v>5787</v>
      </c>
      <c r="Q2112" t="s">
        <v>49</v>
      </c>
      <c r="R2112">
        <v>4</v>
      </c>
      <c r="S2112">
        <v>0</v>
      </c>
      <c r="T2112">
        <v>0</v>
      </c>
      <c r="U2112" t="s">
        <v>5788</v>
      </c>
      <c r="V2112" t="s">
        <v>5789</v>
      </c>
      <c r="W2112">
        <v>28710251700918</v>
      </c>
      <c r="X2112">
        <v>32075</v>
      </c>
      <c r="AC2112" t="s">
        <v>2828</v>
      </c>
      <c r="AF2112">
        <v>75</v>
      </c>
      <c r="AG2112">
        <v>172</v>
      </c>
      <c r="AH2112">
        <v>3</v>
      </c>
      <c r="AI2112" t="s">
        <v>5790</v>
      </c>
      <c r="AJ2112" t="s">
        <v>5791</v>
      </c>
    </row>
    <row r="2113" spans="1:40" ht="18.75" customHeight="1" x14ac:dyDescent="0.3">
      <c r="A2113" s="1">
        <v>2011138306351</v>
      </c>
      <c r="B2113" t="s">
        <v>75</v>
      </c>
      <c r="C2113" t="s">
        <v>5792</v>
      </c>
      <c r="D2113" t="s">
        <v>5771</v>
      </c>
      <c r="E2113" t="s">
        <v>718</v>
      </c>
      <c r="F2113">
        <v>145</v>
      </c>
      <c r="G2113">
        <v>40558</v>
      </c>
      <c r="H2113">
        <v>40664</v>
      </c>
      <c r="I2113">
        <v>44743</v>
      </c>
      <c r="J2113">
        <v>44516</v>
      </c>
      <c r="L2113" t="s">
        <v>135</v>
      </c>
      <c r="M2113" t="s">
        <v>812</v>
      </c>
      <c r="N2113" t="s">
        <v>127</v>
      </c>
      <c r="O2113" t="s">
        <v>1730</v>
      </c>
      <c r="Q2113" t="s">
        <v>49</v>
      </c>
      <c r="R2113">
        <v>3</v>
      </c>
      <c r="S2113">
        <v>2</v>
      </c>
      <c r="T2113">
        <v>0</v>
      </c>
      <c r="U2113" t="s">
        <v>5793</v>
      </c>
      <c r="W2113">
        <v>29304232200594</v>
      </c>
      <c r="X2113">
        <v>34082</v>
      </c>
      <c r="AC2113" t="s">
        <v>5794</v>
      </c>
      <c r="AF2113">
        <v>84</v>
      </c>
      <c r="AG2113">
        <v>172</v>
      </c>
      <c r="AH2113">
        <v>12</v>
      </c>
      <c r="AI2113" t="s">
        <v>5795</v>
      </c>
      <c r="AJ2113" t="s">
        <v>5796</v>
      </c>
    </row>
    <row r="2114" spans="1:40" ht="18.75" customHeight="1" x14ac:dyDescent="0.3">
      <c r="A2114" s="1">
        <v>2012138304626</v>
      </c>
      <c r="B2114" t="s">
        <v>75</v>
      </c>
      <c r="C2114" t="s">
        <v>5797</v>
      </c>
      <c r="D2114" t="s">
        <v>5771</v>
      </c>
      <c r="E2114" t="s">
        <v>718</v>
      </c>
      <c r="F2114">
        <v>147</v>
      </c>
      <c r="G2114">
        <v>40936</v>
      </c>
      <c r="H2114">
        <v>41407</v>
      </c>
      <c r="I2114">
        <v>45108</v>
      </c>
      <c r="J2114">
        <v>45971</v>
      </c>
      <c r="L2114" t="s">
        <v>135</v>
      </c>
      <c r="M2114" t="s">
        <v>812</v>
      </c>
      <c r="N2114" t="s">
        <v>127</v>
      </c>
      <c r="O2114" t="s">
        <v>5798</v>
      </c>
      <c r="Q2114" t="s">
        <v>49</v>
      </c>
      <c r="R2114">
        <v>1</v>
      </c>
      <c r="S2114">
        <v>0</v>
      </c>
      <c r="T2114">
        <v>0</v>
      </c>
      <c r="U2114" t="s">
        <v>5799</v>
      </c>
      <c r="W2114">
        <v>29201202505117</v>
      </c>
      <c r="X2114">
        <v>33623</v>
      </c>
      <c r="AC2114" t="s">
        <v>5800</v>
      </c>
      <c r="AF2114">
        <v>84</v>
      </c>
      <c r="AG2114">
        <v>186</v>
      </c>
      <c r="AH2114">
        <v>-2</v>
      </c>
      <c r="AJ2114" t="s">
        <v>5801</v>
      </c>
    </row>
    <row r="2115" spans="1:40" ht="18.75" customHeight="1" x14ac:dyDescent="0.3">
      <c r="A2115" s="1">
        <v>2012138311259</v>
      </c>
      <c r="B2115" t="s">
        <v>75</v>
      </c>
      <c r="C2115" t="s">
        <v>5802</v>
      </c>
      <c r="D2115" t="s">
        <v>5771</v>
      </c>
      <c r="E2115" t="s">
        <v>718</v>
      </c>
      <c r="F2115">
        <v>148</v>
      </c>
      <c r="G2115">
        <v>41111</v>
      </c>
      <c r="H2115">
        <v>41583</v>
      </c>
      <c r="I2115">
        <v>45293</v>
      </c>
      <c r="J2115">
        <v>44868</v>
      </c>
      <c r="L2115" t="s">
        <v>135</v>
      </c>
      <c r="M2115" t="s">
        <v>812</v>
      </c>
      <c r="N2115" t="s">
        <v>127</v>
      </c>
      <c r="O2115" t="s">
        <v>5803</v>
      </c>
      <c r="Q2115" t="s">
        <v>49</v>
      </c>
      <c r="R2115">
        <v>6</v>
      </c>
      <c r="S2115">
        <v>0</v>
      </c>
      <c r="T2115">
        <v>0</v>
      </c>
      <c r="U2115" t="s">
        <v>5804</v>
      </c>
      <c r="W2115">
        <v>296216052</v>
      </c>
      <c r="X2115">
        <v>33195</v>
      </c>
      <c r="AC2115" t="s">
        <v>5805</v>
      </c>
      <c r="AF2115">
        <v>69</v>
      </c>
      <c r="AG2115">
        <v>176</v>
      </c>
      <c r="AH2115">
        <v>-7</v>
      </c>
      <c r="AJ2115" t="s">
        <v>5806</v>
      </c>
    </row>
    <row r="2116" spans="1:40" ht="18.75" customHeight="1" x14ac:dyDescent="0.3">
      <c r="A2116" s="1">
        <v>2013138314847</v>
      </c>
      <c r="B2116" t="s">
        <v>75</v>
      </c>
      <c r="C2116" t="s">
        <v>5807</v>
      </c>
      <c r="D2116" t="s">
        <v>5771</v>
      </c>
      <c r="E2116" t="s">
        <v>718</v>
      </c>
      <c r="F2116">
        <v>150</v>
      </c>
      <c r="G2116">
        <v>41510</v>
      </c>
      <c r="H2116">
        <v>41982</v>
      </c>
      <c r="I2116">
        <v>45658</v>
      </c>
      <c r="J2116">
        <v>45139</v>
      </c>
      <c r="L2116" t="s">
        <v>135</v>
      </c>
      <c r="M2116" t="s">
        <v>812</v>
      </c>
      <c r="N2116" t="s">
        <v>127</v>
      </c>
      <c r="O2116" t="s">
        <v>4916</v>
      </c>
      <c r="Q2116" t="s">
        <v>49</v>
      </c>
      <c r="R2116">
        <v>1</v>
      </c>
      <c r="S2116">
        <v>0</v>
      </c>
      <c r="T2116">
        <v>0</v>
      </c>
      <c r="U2116" t="s">
        <v>5808</v>
      </c>
      <c r="W2116">
        <v>29709091801297</v>
      </c>
      <c r="X2116">
        <v>35682</v>
      </c>
      <c r="AC2116" t="s">
        <v>5809</v>
      </c>
      <c r="AF2116">
        <v>62</v>
      </c>
      <c r="AG2116">
        <v>172</v>
      </c>
      <c r="AH2116">
        <v>-10</v>
      </c>
      <c r="AI2116" t="s">
        <v>5810</v>
      </c>
      <c r="AJ2116" t="s">
        <v>5811</v>
      </c>
    </row>
    <row r="2117" spans="1:40" ht="18.75" customHeight="1" x14ac:dyDescent="0.3">
      <c r="A2117" s="1">
        <v>2013138315572</v>
      </c>
      <c r="B2117" t="s">
        <v>75</v>
      </c>
      <c r="C2117" t="s">
        <v>5812</v>
      </c>
      <c r="D2117" t="s">
        <v>5771</v>
      </c>
      <c r="E2117" t="s">
        <v>718</v>
      </c>
      <c r="F2117">
        <v>150</v>
      </c>
      <c r="G2117">
        <v>41510</v>
      </c>
      <c r="H2117">
        <v>41982</v>
      </c>
      <c r="I2117">
        <v>45658</v>
      </c>
      <c r="J2117">
        <v>45582</v>
      </c>
      <c r="L2117" t="s">
        <v>135</v>
      </c>
      <c r="M2117" t="s">
        <v>812</v>
      </c>
      <c r="N2117" t="s">
        <v>127</v>
      </c>
      <c r="O2117" t="s">
        <v>4634</v>
      </c>
      <c r="Q2117" t="s">
        <v>49</v>
      </c>
      <c r="R2117">
        <v>11</v>
      </c>
      <c r="S2117">
        <v>0</v>
      </c>
      <c r="T2117">
        <v>0</v>
      </c>
      <c r="U2117" t="s">
        <v>5813</v>
      </c>
      <c r="V2117" t="s">
        <v>5814</v>
      </c>
      <c r="W2117">
        <v>29704011805996</v>
      </c>
      <c r="X2117">
        <v>35521</v>
      </c>
      <c r="AC2117" t="s">
        <v>5815</v>
      </c>
      <c r="AF2117">
        <v>71</v>
      </c>
      <c r="AG2117">
        <v>174</v>
      </c>
      <c r="AH2117">
        <v>-3</v>
      </c>
      <c r="AJ2117" t="s">
        <v>5816</v>
      </c>
    </row>
    <row r="2118" spans="1:40" ht="18.75" customHeight="1" x14ac:dyDescent="0.3">
      <c r="A2118" s="1">
        <v>2014138300109</v>
      </c>
      <c r="B2118" t="s">
        <v>75</v>
      </c>
      <c r="C2118" t="s">
        <v>5817</v>
      </c>
      <c r="D2118" t="s">
        <v>5771</v>
      </c>
      <c r="E2118" t="s">
        <v>718</v>
      </c>
      <c r="F2118">
        <v>151</v>
      </c>
      <c r="G2118">
        <v>41665</v>
      </c>
      <c r="H2118">
        <v>42135</v>
      </c>
      <c r="I2118">
        <v>45839</v>
      </c>
      <c r="L2118" t="s">
        <v>135</v>
      </c>
      <c r="M2118" t="s">
        <v>812</v>
      </c>
      <c r="N2118" t="s">
        <v>127</v>
      </c>
      <c r="O2118" t="s">
        <v>4634</v>
      </c>
      <c r="P2118" t="s">
        <v>49</v>
      </c>
      <c r="R2118">
        <v>5</v>
      </c>
      <c r="S2118">
        <v>0</v>
      </c>
      <c r="T2118">
        <v>0</v>
      </c>
      <c r="U2118" t="s">
        <v>5818</v>
      </c>
      <c r="V2118" t="s">
        <v>5819</v>
      </c>
      <c r="X2118">
        <v>34608</v>
      </c>
      <c r="Y2118" t="s">
        <v>103</v>
      </c>
      <c r="Z2118">
        <v>2</v>
      </c>
      <c r="AA2118">
        <v>2</v>
      </c>
      <c r="AB2118" t="s">
        <v>176</v>
      </c>
      <c r="AC2118" t="s">
        <v>396</v>
      </c>
      <c r="AF2118">
        <v>85</v>
      </c>
      <c r="AG2118">
        <v>183</v>
      </c>
      <c r="AH2118">
        <v>2</v>
      </c>
      <c r="AI2118" t="s">
        <v>5820</v>
      </c>
      <c r="AJ2118" t="s">
        <v>5821</v>
      </c>
      <c r="AN2118" t="s">
        <v>1036</v>
      </c>
    </row>
    <row r="2119" spans="1:40" ht="18.75" customHeight="1" x14ac:dyDescent="0.3">
      <c r="A2119" s="1">
        <v>2014138310009</v>
      </c>
      <c r="B2119" t="s">
        <v>75</v>
      </c>
      <c r="C2119" t="s">
        <v>5822</v>
      </c>
      <c r="D2119" t="s">
        <v>5771</v>
      </c>
      <c r="E2119" t="s">
        <v>718</v>
      </c>
      <c r="F2119">
        <v>152</v>
      </c>
      <c r="G2119">
        <v>41853</v>
      </c>
      <c r="H2119">
        <v>42326</v>
      </c>
      <c r="I2119">
        <v>46023</v>
      </c>
      <c r="J2119">
        <v>45221</v>
      </c>
      <c r="L2119" t="s">
        <v>135</v>
      </c>
      <c r="M2119" t="s">
        <v>812</v>
      </c>
      <c r="N2119" t="s">
        <v>127</v>
      </c>
      <c r="O2119" t="s">
        <v>5554</v>
      </c>
      <c r="Q2119" t="s">
        <v>49</v>
      </c>
      <c r="R2119">
        <v>2</v>
      </c>
      <c r="S2119">
        <v>0</v>
      </c>
      <c r="T2119">
        <v>0</v>
      </c>
      <c r="U2119" t="s">
        <v>5823</v>
      </c>
      <c r="V2119" t="s">
        <v>5824</v>
      </c>
      <c r="W2119">
        <v>29804100101417</v>
      </c>
      <c r="X2119">
        <v>35895</v>
      </c>
      <c r="AC2119" t="s">
        <v>5825</v>
      </c>
      <c r="AF2119">
        <v>76</v>
      </c>
      <c r="AG2119">
        <v>179</v>
      </c>
      <c r="AH2119">
        <v>-3</v>
      </c>
      <c r="AI2119" t="s">
        <v>5826</v>
      </c>
      <c r="AJ2119" t="s">
        <v>5827</v>
      </c>
    </row>
    <row r="2120" spans="1:40" ht="18.75" customHeight="1" x14ac:dyDescent="0.3">
      <c r="A2120" s="1">
        <v>2015138305909</v>
      </c>
      <c r="B2120" t="s">
        <v>106</v>
      </c>
      <c r="C2120" t="s">
        <v>5828</v>
      </c>
      <c r="D2120" t="s">
        <v>5771</v>
      </c>
      <c r="E2120" t="s">
        <v>718</v>
      </c>
      <c r="F2120">
        <v>153</v>
      </c>
      <c r="G2120">
        <v>42030</v>
      </c>
      <c r="H2120">
        <v>42501</v>
      </c>
      <c r="I2120">
        <v>44382</v>
      </c>
      <c r="J2120">
        <v>45973</v>
      </c>
      <c r="L2120" t="s">
        <v>135</v>
      </c>
      <c r="M2120" t="s">
        <v>812</v>
      </c>
      <c r="N2120" t="s">
        <v>127</v>
      </c>
      <c r="O2120" t="s">
        <v>1730</v>
      </c>
      <c r="Q2120" t="s">
        <v>49</v>
      </c>
      <c r="R2120">
        <v>5</v>
      </c>
      <c r="S2120">
        <v>2</v>
      </c>
      <c r="T2120">
        <v>1</v>
      </c>
      <c r="U2120" t="s">
        <v>5829</v>
      </c>
      <c r="V2120" t="s">
        <v>5830</v>
      </c>
      <c r="W2120">
        <v>29501251303078</v>
      </c>
      <c r="X2120">
        <v>34724</v>
      </c>
      <c r="AC2120" t="s">
        <v>5831</v>
      </c>
      <c r="AF2120">
        <v>63</v>
      </c>
      <c r="AG2120">
        <v>174</v>
      </c>
      <c r="AH2120">
        <v>-11</v>
      </c>
      <c r="AJ2120" t="s">
        <v>5832</v>
      </c>
    </row>
    <row r="2121" spans="1:40" ht="18.75" customHeight="1" x14ac:dyDescent="0.3">
      <c r="A2121" s="1">
        <v>2015138309381</v>
      </c>
      <c r="B2121" t="s">
        <v>106</v>
      </c>
      <c r="C2121" t="s">
        <v>5833</v>
      </c>
      <c r="D2121" t="s">
        <v>5771</v>
      </c>
      <c r="E2121" t="s">
        <v>718</v>
      </c>
      <c r="F2121">
        <v>154</v>
      </c>
      <c r="G2121">
        <v>42224</v>
      </c>
      <c r="H2121">
        <v>42790</v>
      </c>
      <c r="I2121">
        <v>44743</v>
      </c>
      <c r="J2121">
        <v>44857</v>
      </c>
      <c r="L2121" t="s">
        <v>135</v>
      </c>
      <c r="M2121" t="s">
        <v>812</v>
      </c>
      <c r="N2121" t="s">
        <v>127</v>
      </c>
      <c r="O2121" t="s">
        <v>1756</v>
      </c>
      <c r="P2121" t="s">
        <v>49</v>
      </c>
      <c r="R2121">
        <v>0</v>
      </c>
      <c r="S2121">
        <v>0</v>
      </c>
      <c r="T2121">
        <v>0</v>
      </c>
      <c r="U2121" t="s">
        <v>5834</v>
      </c>
      <c r="W2121">
        <v>29803241800711</v>
      </c>
      <c r="X2121">
        <v>35878</v>
      </c>
      <c r="AC2121" t="s">
        <v>5835</v>
      </c>
      <c r="AF2121">
        <v>72</v>
      </c>
      <c r="AG2121">
        <v>180</v>
      </c>
      <c r="AH2121">
        <v>-8</v>
      </c>
      <c r="AJ2121" t="s">
        <v>5836</v>
      </c>
      <c r="AK2121" t="s">
        <v>5837</v>
      </c>
    </row>
    <row r="2122" spans="1:40" ht="18.75" customHeight="1" x14ac:dyDescent="0.3">
      <c r="A2122" s="1">
        <v>2016130402058</v>
      </c>
      <c r="B2122" t="s">
        <v>106</v>
      </c>
      <c r="C2122" t="s">
        <v>5838</v>
      </c>
      <c r="D2122" t="s">
        <v>5771</v>
      </c>
      <c r="E2122" t="s">
        <v>718</v>
      </c>
      <c r="F2122">
        <v>157</v>
      </c>
      <c r="G2122">
        <v>42575</v>
      </c>
      <c r="H2122">
        <v>43663</v>
      </c>
      <c r="I2122">
        <v>45658</v>
      </c>
      <c r="J2122">
        <v>45589</v>
      </c>
      <c r="L2122" t="s">
        <v>135</v>
      </c>
      <c r="M2122" t="s">
        <v>812</v>
      </c>
      <c r="N2122" t="s">
        <v>127</v>
      </c>
      <c r="O2122" t="s">
        <v>78</v>
      </c>
      <c r="Q2122" t="s">
        <v>49</v>
      </c>
      <c r="R2122">
        <v>0</v>
      </c>
      <c r="S2122">
        <v>0</v>
      </c>
      <c r="T2122">
        <v>0</v>
      </c>
      <c r="U2122" t="s">
        <v>5839</v>
      </c>
      <c r="V2122" t="s">
        <v>5840</v>
      </c>
      <c r="W2122">
        <v>29805011508399</v>
      </c>
      <c r="X2122">
        <v>35916</v>
      </c>
      <c r="AC2122" t="s">
        <v>5841</v>
      </c>
      <c r="AF2122">
        <v>60</v>
      </c>
      <c r="AG2122">
        <v>169</v>
      </c>
      <c r="AH2122">
        <v>-9</v>
      </c>
      <c r="AI2122" t="s">
        <v>5842</v>
      </c>
      <c r="AJ2122" t="s">
        <v>5843</v>
      </c>
    </row>
    <row r="2123" spans="1:40" ht="18.75" customHeight="1" x14ac:dyDescent="0.3">
      <c r="A2123" s="1">
        <v>2017131800879</v>
      </c>
      <c r="B2123" t="s">
        <v>106</v>
      </c>
      <c r="C2123" t="s">
        <v>5844</v>
      </c>
      <c r="D2123" t="s">
        <v>5771</v>
      </c>
      <c r="E2123" t="s">
        <v>718</v>
      </c>
      <c r="F2123">
        <v>157</v>
      </c>
      <c r="G2123">
        <v>42915</v>
      </c>
      <c r="H2123">
        <v>43663</v>
      </c>
      <c r="I2123">
        <v>43663</v>
      </c>
      <c r="J2123">
        <v>45792</v>
      </c>
      <c r="L2123" t="s">
        <v>135</v>
      </c>
      <c r="M2123" t="s">
        <v>812</v>
      </c>
      <c r="N2123" t="s">
        <v>127</v>
      </c>
      <c r="O2123" t="s">
        <v>743</v>
      </c>
      <c r="Q2123" t="s">
        <v>49</v>
      </c>
      <c r="R2123">
        <v>5</v>
      </c>
      <c r="S2123">
        <v>0</v>
      </c>
      <c r="T2123">
        <v>0</v>
      </c>
      <c r="U2123" t="s">
        <v>5845</v>
      </c>
      <c r="V2123" t="s">
        <v>5846</v>
      </c>
      <c r="W2123">
        <v>29507261300814</v>
      </c>
      <c r="X2123">
        <v>34906</v>
      </c>
      <c r="AC2123" t="s">
        <v>5847</v>
      </c>
      <c r="AF2123">
        <v>86</v>
      </c>
      <c r="AG2123">
        <v>184</v>
      </c>
      <c r="AH2123">
        <v>2</v>
      </c>
      <c r="AJ2123" t="s">
        <v>577</v>
      </c>
    </row>
    <row r="2124" spans="1:40" ht="18.75" customHeight="1" x14ac:dyDescent="0.3">
      <c r="A2124" s="1">
        <v>2017138305781</v>
      </c>
      <c r="B2124" t="s">
        <v>106</v>
      </c>
      <c r="C2124" t="s">
        <v>5848</v>
      </c>
      <c r="D2124" t="s">
        <v>5771</v>
      </c>
      <c r="E2124" t="s">
        <v>718</v>
      </c>
      <c r="F2124">
        <v>157</v>
      </c>
      <c r="G2124">
        <v>42915</v>
      </c>
      <c r="H2124">
        <v>43663</v>
      </c>
      <c r="I2124">
        <v>45658</v>
      </c>
      <c r="J2124">
        <v>45974</v>
      </c>
      <c r="L2124" t="s">
        <v>135</v>
      </c>
      <c r="M2124" t="s">
        <v>812</v>
      </c>
      <c r="N2124" t="s">
        <v>127</v>
      </c>
      <c r="O2124" t="s">
        <v>5554</v>
      </c>
      <c r="P2124" t="s">
        <v>49</v>
      </c>
      <c r="R2124">
        <v>2</v>
      </c>
      <c r="S2124">
        <v>0</v>
      </c>
      <c r="T2124">
        <v>1</v>
      </c>
      <c r="U2124" t="s">
        <v>5849</v>
      </c>
      <c r="V2124" t="s">
        <v>5850</v>
      </c>
      <c r="W2124">
        <v>29802011213276</v>
      </c>
      <c r="X2124">
        <v>35827</v>
      </c>
      <c r="AC2124" t="s">
        <v>5851</v>
      </c>
      <c r="AF2124">
        <v>70</v>
      </c>
      <c r="AG2124">
        <v>176</v>
      </c>
      <c r="AH2124">
        <v>-6</v>
      </c>
      <c r="AI2124" t="s">
        <v>5852</v>
      </c>
      <c r="AJ2124" t="s">
        <v>5853</v>
      </c>
    </row>
    <row r="2125" spans="1:40" ht="18.75" customHeight="1" x14ac:dyDescent="0.3">
      <c r="A2125" s="1">
        <v>2018130400826</v>
      </c>
      <c r="B2125" t="s">
        <v>106</v>
      </c>
      <c r="C2125" t="s">
        <v>5854</v>
      </c>
      <c r="D2125" t="s">
        <v>5771</v>
      </c>
      <c r="E2125" t="s">
        <v>718</v>
      </c>
      <c r="F2125">
        <v>158</v>
      </c>
      <c r="G2125">
        <v>43279</v>
      </c>
      <c r="H2125">
        <v>44117</v>
      </c>
      <c r="I2125">
        <v>46023</v>
      </c>
      <c r="J2125">
        <v>46333</v>
      </c>
      <c r="L2125" t="s">
        <v>135</v>
      </c>
      <c r="M2125" t="s">
        <v>812</v>
      </c>
      <c r="N2125" t="s">
        <v>127</v>
      </c>
      <c r="O2125" t="s">
        <v>78</v>
      </c>
      <c r="Q2125" t="s">
        <v>49</v>
      </c>
      <c r="R2125">
        <v>3</v>
      </c>
      <c r="S2125">
        <v>0</v>
      </c>
      <c r="T2125">
        <v>0</v>
      </c>
      <c r="U2125" t="s">
        <v>5855</v>
      </c>
      <c r="V2125" t="s">
        <v>5856</v>
      </c>
      <c r="W2125">
        <v>29904011816598</v>
      </c>
      <c r="X2125">
        <v>36251</v>
      </c>
      <c r="AC2125" t="s">
        <v>3953</v>
      </c>
      <c r="AF2125">
        <v>73</v>
      </c>
      <c r="AG2125">
        <v>178</v>
      </c>
      <c r="AH2125">
        <v>-5</v>
      </c>
      <c r="AJ2125" t="s">
        <v>5857</v>
      </c>
    </row>
    <row r="2126" spans="1:40" ht="18.75" customHeight="1" x14ac:dyDescent="0.3">
      <c r="A2126" s="1">
        <v>2019131812234</v>
      </c>
      <c r="B2126" t="s">
        <v>125</v>
      </c>
      <c r="C2126" t="s">
        <v>5858</v>
      </c>
      <c r="D2126" t="s">
        <v>5771</v>
      </c>
      <c r="E2126" t="s">
        <v>718</v>
      </c>
      <c r="F2126">
        <v>159</v>
      </c>
      <c r="G2126">
        <v>43753</v>
      </c>
      <c r="H2126">
        <v>44482</v>
      </c>
      <c r="I2126">
        <v>44481</v>
      </c>
      <c r="J2126">
        <v>44515</v>
      </c>
      <c r="L2126" t="s">
        <v>135</v>
      </c>
      <c r="M2126" t="s">
        <v>46</v>
      </c>
      <c r="N2126" t="s">
        <v>127</v>
      </c>
      <c r="O2126" t="s">
        <v>5859</v>
      </c>
      <c r="P2126" t="s">
        <v>49</v>
      </c>
      <c r="R2126">
        <v>3</v>
      </c>
      <c r="S2126">
        <v>0</v>
      </c>
      <c r="T2126">
        <v>0</v>
      </c>
      <c r="U2126" t="s">
        <v>5860</v>
      </c>
      <c r="W2126">
        <v>30108032400957</v>
      </c>
      <c r="X2126">
        <v>37106</v>
      </c>
      <c r="AC2126" t="s">
        <v>5861</v>
      </c>
      <c r="AF2126">
        <v>66</v>
      </c>
      <c r="AG2126">
        <v>165</v>
      </c>
      <c r="AH2126">
        <v>1</v>
      </c>
    </row>
    <row r="2127" spans="1:40" ht="18.75" customHeight="1" x14ac:dyDescent="0.3">
      <c r="A2127" s="1">
        <v>2019138302303</v>
      </c>
      <c r="B2127" t="s">
        <v>125</v>
      </c>
      <c r="C2127" t="s">
        <v>5862</v>
      </c>
      <c r="D2127" t="s">
        <v>5771</v>
      </c>
      <c r="E2127" t="s">
        <v>718</v>
      </c>
      <c r="F2127">
        <v>159</v>
      </c>
      <c r="G2127">
        <v>43692</v>
      </c>
      <c r="H2127">
        <v>44482</v>
      </c>
      <c r="I2127">
        <v>44209</v>
      </c>
      <c r="J2127">
        <v>45975</v>
      </c>
      <c r="L2127" t="s">
        <v>135</v>
      </c>
      <c r="M2127" t="s">
        <v>812</v>
      </c>
      <c r="N2127" t="s">
        <v>127</v>
      </c>
      <c r="O2127" t="s">
        <v>1756</v>
      </c>
      <c r="P2127" t="s">
        <v>49</v>
      </c>
      <c r="R2127">
        <v>4</v>
      </c>
      <c r="S2127">
        <v>0</v>
      </c>
      <c r="T2127">
        <v>0</v>
      </c>
      <c r="U2127" t="s">
        <v>5863</v>
      </c>
      <c r="V2127" t="s">
        <v>5864</v>
      </c>
      <c r="W2127">
        <v>30304281401274</v>
      </c>
      <c r="X2127">
        <v>37739</v>
      </c>
      <c r="AC2127" t="s">
        <v>5865</v>
      </c>
      <c r="AF2127">
        <v>54</v>
      </c>
      <c r="AG2127">
        <v>173</v>
      </c>
      <c r="AH2127">
        <v>-19</v>
      </c>
      <c r="AJ2127" t="s">
        <v>5866</v>
      </c>
    </row>
    <row r="2128" spans="1:40" ht="18.75" customHeight="1" x14ac:dyDescent="0.3">
      <c r="A2128" s="1">
        <v>2019138310778</v>
      </c>
      <c r="B2128" t="s">
        <v>125</v>
      </c>
      <c r="C2128" t="s">
        <v>5867</v>
      </c>
      <c r="D2128" t="s">
        <v>5771</v>
      </c>
      <c r="E2128" t="s">
        <v>718</v>
      </c>
      <c r="F2128">
        <v>159</v>
      </c>
      <c r="G2128">
        <v>43692</v>
      </c>
      <c r="H2128">
        <v>44482</v>
      </c>
      <c r="I2128">
        <v>44481</v>
      </c>
      <c r="J2128">
        <v>44504</v>
      </c>
      <c r="L2128" t="s">
        <v>135</v>
      </c>
      <c r="M2128" t="s">
        <v>812</v>
      </c>
      <c r="N2128" t="s">
        <v>127</v>
      </c>
      <c r="O2128" t="s">
        <v>5868</v>
      </c>
      <c r="P2128" t="s">
        <v>49</v>
      </c>
      <c r="R2128">
        <v>1</v>
      </c>
      <c r="S2128">
        <v>0</v>
      </c>
      <c r="T2128">
        <v>0</v>
      </c>
      <c r="U2128" t="s">
        <v>5869</v>
      </c>
      <c r="W2128">
        <v>3001205251736</v>
      </c>
      <c r="X2128">
        <v>36865</v>
      </c>
      <c r="AC2128" t="s">
        <v>5870</v>
      </c>
      <c r="AF2128">
        <v>58</v>
      </c>
      <c r="AG2128">
        <v>172</v>
      </c>
      <c r="AH2128">
        <v>-14</v>
      </c>
    </row>
    <row r="2129" spans="1:40" ht="18.75" customHeight="1" x14ac:dyDescent="0.3">
      <c r="A2129" s="1">
        <v>2019138310885</v>
      </c>
      <c r="B2129" t="s">
        <v>125</v>
      </c>
      <c r="C2129" t="s">
        <v>5871</v>
      </c>
      <c r="D2129" t="s">
        <v>5771</v>
      </c>
      <c r="E2129" t="s">
        <v>718</v>
      </c>
      <c r="F2129">
        <v>159</v>
      </c>
      <c r="G2129">
        <v>43692</v>
      </c>
      <c r="H2129">
        <v>44482</v>
      </c>
      <c r="I2129">
        <v>44481</v>
      </c>
      <c r="J2129">
        <v>44504</v>
      </c>
      <c r="L2129" t="s">
        <v>135</v>
      </c>
      <c r="M2129" t="s">
        <v>812</v>
      </c>
      <c r="N2129" t="s">
        <v>127</v>
      </c>
      <c r="O2129" t="s">
        <v>5872</v>
      </c>
      <c r="P2129" t="s">
        <v>49</v>
      </c>
      <c r="R2129">
        <v>0</v>
      </c>
      <c r="S2129">
        <v>0</v>
      </c>
      <c r="T2129">
        <v>0</v>
      </c>
      <c r="U2129" t="s">
        <v>5873</v>
      </c>
      <c r="W2129">
        <v>30010182501433</v>
      </c>
      <c r="X2129" t="s">
        <v>5874</v>
      </c>
      <c r="AC2129" t="s">
        <v>5875</v>
      </c>
      <c r="AF2129">
        <v>67</v>
      </c>
      <c r="AG2129">
        <v>174</v>
      </c>
      <c r="AH2129">
        <v>-7</v>
      </c>
    </row>
    <row r="2130" spans="1:40" ht="18.75" customHeight="1" x14ac:dyDescent="0.3">
      <c r="A2130" s="1">
        <v>2019138316932</v>
      </c>
      <c r="B2130" t="s">
        <v>125</v>
      </c>
      <c r="C2130" t="s">
        <v>5876</v>
      </c>
      <c r="D2130" t="s">
        <v>5771</v>
      </c>
      <c r="E2130" t="s">
        <v>718</v>
      </c>
      <c r="F2130">
        <v>159</v>
      </c>
      <c r="G2130">
        <v>43692</v>
      </c>
      <c r="H2130">
        <v>44482</v>
      </c>
      <c r="I2130">
        <v>44481</v>
      </c>
      <c r="J2130">
        <v>44504</v>
      </c>
      <c r="L2130" t="s">
        <v>135</v>
      </c>
      <c r="M2130" t="s">
        <v>812</v>
      </c>
      <c r="N2130" t="s">
        <v>127</v>
      </c>
      <c r="O2130" t="s">
        <v>5787</v>
      </c>
      <c r="P2130" t="s">
        <v>49</v>
      </c>
      <c r="R2130">
        <v>0</v>
      </c>
      <c r="S2130">
        <v>0</v>
      </c>
      <c r="T2130">
        <v>0</v>
      </c>
      <c r="U2130" t="s">
        <v>5877</v>
      </c>
      <c r="W2130">
        <v>30010272400032</v>
      </c>
      <c r="X2130">
        <v>36826</v>
      </c>
      <c r="AC2130" t="s">
        <v>5878</v>
      </c>
      <c r="AF2130">
        <v>71</v>
      </c>
      <c r="AG2130">
        <v>173</v>
      </c>
      <c r="AH2130">
        <v>-2</v>
      </c>
      <c r="AI2130" t="s">
        <v>5197</v>
      </c>
      <c r="AK2130" t="s">
        <v>5879</v>
      </c>
    </row>
    <row r="2131" spans="1:40" ht="18.75" customHeight="1" x14ac:dyDescent="0.3">
      <c r="A2131" s="1">
        <v>2019138316958</v>
      </c>
      <c r="B2131" t="s">
        <v>125</v>
      </c>
      <c r="C2131" t="s">
        <v>5880</v>
      </c>
      <c r="D2131" t="s">
        <v>5771</v>
      </c>
      <c r="E2131" t="s">
        <v>718</v>
      </c>
      <c r="F2131">
        <v>159</v>
      </c>
      <c r="G2131">
        <v>43692</v>
      </c>
      <c r="H2131">
        <v>44482</v>
      </c>
      <c r="I2131">
        <v>44481</v>
      </c>
      <c r="J2131">
        <v>44504</v>
      </c>
      <c r="L2131" t="s">
        <v>135</v>
      </c>
      <c r="M2131" t="s">
        <v>812</v>
      </c>
      <c r="N2131" t="s">
        <v>127</v>
      </c>
      <c r="O2131" t="s">
        <v>5798</v>
      </c>
      <c r="P2131" t="s">
        <v>49</v>
      </c>
      <c r="R2131">
        <v>2</v>
      </c>
      <c r="S2131">
        <v>0</v>
      </c>
      <c r="T2131">
        <v>0</v>
      </c>
      <c r="U2131" t="s">
        <v>5881</v>
      </c>
      <c r="V2131" t="s">
        <v>5882</v>
      </c>
      <c r="W2131">
        <v>30101012427897</v>
      </c>
      <c r="X2131">
        <v>36892</v>
      </c>
      <c r="AC2131" t="s">
        <v>5883</v>
      </c>
      <c r="AF2131">
        <v>72</v>
      </c>
      <c r="AG2131">
        <v>181</v>
      </c>
      <c r="AH2131">
        <v>-9</v>
      </c>
    </row>
    <row r="2132" spans="1:40" ht="18.75" customHeight="1" x14ac:dyDescent="0.3">
      <c r="A2132" s="1">
        <v>2021131804418</v>
      </c>
      <c r="B2132" t="s">
        <v>125</v>
      </c>
      <c r="C2132" t="s">
        <v>5884</v>
      </c>
      <c r="D2132" t="s">
        <v>5771</v>
      </c>
      <c r="E2132" t="s">
        <v>718</v>
      </c>
      <c r="F2132">
        <v>160</v>
      </c>
      <c r="G2132">
        <v>44205</v>
      </c>
      <c r="H2132">
        <v>45197</v>
      </c>
      <c r="I2132">
        <v>45196</v>
      </c>
      <c r="L2132" t="s">
        <v>135</v>
      </c>
      <c r="M2132" t="s">
        <v>812</v>
      </c>
      <c r="N2132" t="s">
        <v>127</v>
      </c>
      <c r="O2132" t="s">
        <v>743</v>
      </c>
      <c r="P2132" t="s">
        <v>49</v>
      </c>
      <c r="R2132">
        <v>1</v>
      </c>
      <c r="S2132">
        <v>0</v>
      </c>
      <c r="T2132">
        <v>0</v>
      </c>
      <c r="V2132" t="s">
        <v>5885</v>
      </c>
      <c r="W2132">
        <v>30301202605138</v>
      </c>
      <c r="X2132">
        <v>37653</v>
      </c>
      <c r="AC2132" t="s">
        <v>5886</v>
      </c>
      <c r="AF2132">
        <v>71</v>
      </c>
      <c r="AG2132">
        <v>177</v>
      </c>
      <c r="AH2132">
        <v>-6</v>
      </c>
    </row>
    <row r="2133" spans="1:40" ht="18.75" customHeight="1" x14ac:dyDescent="0.3">
      <c r="A2133" s="1">
        <v>2023138300754</v>
      </c>
      <c r="B2133" t="s">
        <v>125</v>
      </c>
      <c r="C2133" t="s">
        <v>5887</v>
      </c>
      <c r="D2133" t="s">
        <v>5771</v>
      </c>
      <c r="E2133" t="s">
        <v>718</v>
      </c>
      <c r="F2133">
        <v>162</v>
      </c>
      <c r="G2133">
        <v>44941</v>
      </c>
      <c r="H2133">
        <v>45976</v>
      </c>
      <c r="I2133">
        <v>45976</v>
      </c>
      <c r="J2133">
        <v>45967</v>
      </c>
      <c r="L2133" t="s">
        <v>135</v>
      </c>
      <c r="M2133" t="s">
        <v>812</v>
      </c>
      <c r="N2133" t="s">
        <v>127</v>
      </c>
      <c r="O2133" t="s">
        <v>5798</v>
      </c>
      <c r="P2133" t="s">
        <v>49</v>
      </c>
      <c r="R2133">
        <v>0</v>
      </c>
      <c r="S2133">
        <v>0</v>
      </c>
      <c r="T2133">
        <v>0</v>
      </c>
      <c r="U2133" t="s">
        <v>5888</v>
      </c>
      <c r="W2133">
        <v>30506222105035</v>
      </c>
      <c r="X2133">
        <v>38525</v>
      </c>
      <c r="AC2133" t="s">
        <v>5889</v>
      </c>
      <c r="AF2133">
        <v>68</v>
      </c>
      <c r="AG2133">
        <v>182</v>
      </c>
      <c r="AH2133">
        <v>-14</v>
      </c>
    </row>
    <row r="2134" spans="1:40" ht="18.75" customHeight="1" x14ac:dyDescent="0.3">
      <c r="A2134" s="1">
        <v>2023138301728</v>
      </c>
      <c r="B2134" t="s">
        <v>125</v>
      </c>
      <c r="C2134" t="s">
        <v>5890</v>
      </c>
      <c r="D2134" t="s">
        <v>5771</v>
      </c>
      <c r="E2134" t="s">
        <v>718</v>
      </c>
      <c r="F2134">
        <v>162</v>
      </c>
      <c r="G2134">
        <v>44941</v>
      </c>
      <c r="H2134">
        <v>45672</v>
      </c>
      <c r="I2134">
        <v>45672</v>
      </c>
      <c r="J2134">
        <v>45967</v>
      </c>
      <c r="L2134" t="s">
        <v>135</v>
      </c>
      <c r="M2134" t="s">
        <v>812</v>
      </c>
      <c r="N2134" t="s">
        <v>127</v>
      </c>
      <c r="O2134" t="s">
        <v>5798</v>
      </c>
      <c r="P2134" t="s">
        <v>49</v>
      </c>
      <c r="R2134">
        <v>1</v>
      </c>
      <c r="S2134">
        <v>0</v>
      </c>
      <c r="T2134">
        <v>0</v>
      </c>
      <c r="U2134" t="s">
        <v>5891</v>
      </c>
      <c r="V2134" t="s">
        <v>5892</v>
      </c>
      <c r="W2134">
        <v>30403280103898</v>
      </c>
      <c r="X2134">
        <v>38074</v>
      </c>
      <c r="AC2134" t="s">
        <v>5893</v>
      </c>
      <c r="AF2134">
        <v>78</v>
      </c>
      <c r="AG2134">
        <v>184</v>
      </c>
      <c r="AH2134">
        <v>-6</v>
      </c>
    </row>
    <row r="2135" spans="1:40" ht="18.75" customHeight="1" x14ac:dyDescent="0.3">
      <c r="A2135" s="1">
        <v>2006134790187</v>
      </c>
      <c r="B2135" t="s">
        <v>40</v>
      </c>
      <c r="C2135" t="s">
        <v>5894</v>
      </c>
      <c r="D2135" t="s">
        <v>1749</v>
      </c>
      <c r="E2135" t="s">
        <v>718</v>
      </c>
      <c r="F2135">
        <v>136</v>
      </c>
      <c r="G2135">
        <v>38963</v>
      </c>
      <c r="H2135">
        <v>38963</v>
      </c>
      <c r="I2135">
        <v>44743</v>
      </c>
      <c r="L2135" t="s">
        <v>5895</v>
      </c>
      <c r="M2135" t="s">
        <v>46</v>
      </c>
      <c r="N2135" t="s">
        <v>47</v>
      </c>
      <c r="O2135" t="s">
        <v>5896</v>
      </c>
      <c r="P2135" t="s">
        <v>49</v>
      </c>
      <c r="R2135">
        <v>14</v>
      </c>
      <c r="S2135">
        <v>2</v>
      </c>
      <c r="T2135">
        <v>0</v>
      </c>
      <c r="U2135" t="s">
        <v>5897</v>
      </c>
      <c r="W2135">
        <v>29107031601299</v>
      </c>
      <c r="AE2135" t="s">
        <v>73</v>
      </c>
      <c r="AF2135">
        <v>78</v>
      </c>
      <c r="AG2135">
        <v>177</v>
      </c>
      <c r="AH2135">
        <v>1</v>
      </c>
      <c r="AJ2135" t="s">
        <v>5898</v>
      </c>
      <c r="AN2135" t="s">
        <v>625</v>
      </c>
    </row>
    <row r="2136" spans="1:40" ht="18.75" customHeight="1" x14ac:dyDescent="0.3">
      <c r="A2136" s="1">
        <v>2009131800884</v>
      </c>
      <c r="B2136" t="s">
        <v>57</v>
      </c>
      <c r="C2136" t="s">
        <v>5899</v>
      </c>
      <c r="D2136" t="s">
        <v>1749</v>
      </c>
      <c r="E2136" t="s">
        <v>718</v>
      </c>
      <c r="G2136">
        <v>40012</v>
      </c>
      <c r="H2136">
        <v>40487</v>
      </c>
      <c r="I2136">
        <v>46023</v>
      </c>
      <c r="L2136" t="s">
        <v>135</v>
      </c>
      <c r="M2136" t="s">
        <v>46</v>
      </c>
      <c r="N2136" t="s">
        <v>127</v>
      </c>
      <c r="O2136" t="s">
        <v>743</v>
      </c>
      <c r="Q2136" t="s">
        <v>49</v>
      </c>
      <c r="R2136">
        <v>11</v>
      </c>
      <c r="S2136">
        <v>0</v>
      </c>
      <c r="T2136">
        <v>0</v>
      </c>
      <c r="U2136" t="s">
        <v>5900</v>
      </c>
      <c r="V2136" t="s">
        <v>5900</v>
      </c>
      <c r="W2136">
        <v>28809111801192</v>
      </c>
      <c r="AE2136" t="s">
        <v>54</v>
      </c>
      <c r="AF2136">
        <v>79</v>
      </c>
      <c r="AG2136">
        <v>175</v>
      </c>
      <c r="AH2136">
        <v>4</v>
      </c>
      <c r="AJ2136" t="s">
        <v>5901</v>
      </c>
      <c r="AN2136" t="s">
        <v>625</v>
      </c>
    </row>
    <row r="2137" spans="1:40" ht="18.75" customHeight="1" x14ac:dyDescent="0.3">
      <c r="A2137" s="1">
        <v>2011134704939</v>
      </c>
      <c r="B2137" t="s">
        <v>57</v>
      </c>
      <c r="C2137" t="s">
        <v>5902</v>
      </c>
      <c r="D2137" t="s">
        <v>1749</v>
      </c>
      <c r="E2137" t="s">
        <v>718</v>
      </c>
      <c r="F2137">
        <v>132</v>
      </c>
      <c r="G2137">
        <v>38185</v>
      </c>
      <c r="H2137">
        <v>40967</v>
      </c>
      <c r="I2137">
        <v>44743</v>
      </c>
      <c r="L2137" t="s">
        <v>5903</v>
      </c>
      <c r="M2137" t="s">
        <v>46</v>
      </c>
      <c r="N2137" t="s">
        <v>47</v>
      </c>
      <c r="O2137" t="s">
        <v>5904</v>
      </c>
      <c r="P2137" t="s">
        <v>49</v>
      </c>
      <c r="R2137">
        <v>1</v>
      </c>
      <c r="S2137">
        <v>0</v>
      </c>
      <c r="T2137">
        <v>0</v>
      </c>
      <c r="U2137" t="s">
        <v>5905</v>
      </c>
      <c r="V2137" t="s">
        <v>5906</v>
      </c>
      <c r="W2137">
        <v>29207192200795</v>
      </c>
      <c r="AE2137" t="s">
        <v>1520</v>
      </c>
      <c r="AF2137">
        <v>61.6</v>
      </c>
      <c r="AG2137">
        <v>167</v>
      </c>
      <c r="AH2137">
        <v>-5.3999999999999986</v>
      </c>
      <c r="AJ2137" t="s">
        <v>5907</v>
      </c>
      <c r="AN2137" t="s">
        <v>145</v>
      </c>
    </row>
    <row r="2138" spans="1:40" ht="18.75" customHeight="1" x14ac:dyDescent="0.3">
      <c r="A2138" s="1">
        <v>2015131809031</v>
      </c>
      <c r="B2138" t="s">
        <v>106</v>
      </c>
      <c r="C2138" t="s">
        <v>5908</v>
      </c>
      <c r="D2138" t="s">
        <v>1749</v>
      </c>
      <c r="E2138" t="s">
        <v>718</v>
      </c>
      <c r="F2138">
        <v>155</v>
      </c>
      <c r="G2138">
        <v>42351</v>
      </c>
      <c r="H2138">
        <v>42932</v>
      </c>
      <c r="I2138">
        <v>44943</v>
      </c>
      <c r="L2138" t="s">
        <v>135</v>
      </c>
      <c r="M2138" t="s">
        <v>136</v>
      </c>
      <c r="N2138" t="s">
        <v>127</v>
      </c>
      <c r="O2138" t="s">
        <v>743</v>
      </c>
      <c r="Q2138" t="s">
        <v>49</v>
      </c>
      <c r="R2138">
        <v>2</v>
      </c>
      <c r="S2138">
        <v>2</v>
      </c>
      <c r="T2138">
        <v>0</v>
      </c>
      <c r="W2138">
        <v>29907170203253</v>
      </c>
      <c r="AE2138" t="s">
        <v>4048</v>
      </c>
      <c r="AF2138">
        <v>75</v>
      </c>
      <c r="AG2138">
        <v>175</v>
      </c>
      <c r="AH2138">
        <v>0</v>
      </c>
      <c r="AJ2138" t="s">
        <v>5909</v>
      </c>
      <c r="AN2138" t="s">
        <v>145</v>
      </c>
    </row>
    <row r="2139" spans="1:40" ht="18.75" customHeight="1" x14ac:dyDescent="0.3">
      <c r="A2139" s="1">
        <v>2016134701448</v>
      </c>
      <c r="B2139" t="s">
        <v>75</v>
      </c>
      <c r="C2139" t="s">
        <v>5910</v>
      </c>
      <c r="D2139" t="s">
        <v>1749</v>
      </c>
      <c r="E2139" t="s">
        <v>718</v>
      </c>
      <c r="F2139">
        <v>156</v>
      </c>
      <c r="G2139">
        <v>42575</v>
      </c>
      <c r="H2139">
        <v>43321</v>
      </c>
      <c r="I2139">
        <v>45292</v>
      </c>
      <c r="L2139" t="s">
        <v>88</v>
      </c>
      <c r="M2139" t="s">
        <v>136</v>
      </c>
      <c r="N2139" t="s">
        <v>127</v>
      </c>
      <c r="O2139" t="s">
        <v>499</v>
      </c>
      <c r="Q2139" t="s">
        <v>49</v>
      </c>
      <c r="R2139">
        <v>1</v>
      </c>
      <c r="S2139">
        <v>0</v>
      </c>
      <c r="T2139">
        <v>0</v>
      </c>
      <c r="U2139" t="s">
        <v>5911</v>
      </c>
      <c r="V2139" t="s">
        <v>5912</v>
      </c>
      <c r="W2139">
        <v>29606212101618</v>
      </c>
      <c r="AE2139" t="s">
        <v>1127</v>
      </c>
      <c r="AF2139">
        <v>79</v>
      </c>
      <c r="AG2139">
        <v>185</v>
      </c>
      <c r="AH2139">
        <v>-6</v>
      </c>
      <c r="AJ2139" t="s">
        <v>5913</v>
      </c>
      <c r="AN2139" t="s">
        <v>145</v>
      </c>
    </row>
    <row r="2140" spans="1:40" ht="18.75" customHeight="1" x14ac:dyDescent="0.3">
      <c r="A2140" s="1">
        <v>2019131811004</v>
      </c>
      <c r="B2140" t="s">
        <v>125</v>
      </c>
      <c r="C2140" t="s">
        <v>5914</v>
      </c>
      <c r="D2140" t="s">
        <v>3500</v>
      </c>
      <c r="E2140" t="s">
        <v>335</v>
      </c>
      <c r="F2140">
        <v>159</v>
      </c>
      <c r="G2140">
        <v>43692</v>
      </c>
      <c r="H2140">
        <v>44482</v>
      </c>
      <c r="I2140">
        <v>44481</v>
      </c>
      <c r="L2140" t="s">
        <v>135</v>
      </c>
      <c r="M2140" t="s">
        <v>335</v>
      </c>
      <c r="N2140" t="s">
        <v>727</v>
      </c>
      <c r="P2140" t="s">
        <v>49</v>
      </c>
      <c r="R2140">
        <v>6</v>
      </c>
      <c r="S2140" t="s">
        <v>3501</v>
      </c>
      <c r="U2140">
        <v>1004208693</v>
      </c>
      <c r="V2140">
        <v>11262214803</v>
      </c>
      <c r="W2140" t="s">
        <v>5915</v>
      </c>
      <c r="X2140">
        <v>36657</v>
      </c>
      <c r="Y2140" t="s">
        <v>103</v>
      </c>
      <c r="AE2140">
        <v>80</v>
      </c>
      <c r="AF2140">
        <v>176</v>
      </c>
      <c r="AG2140">
        <v>4</v>
      </c>
      <c r="AJ2140" t="s">
        <v>298</v>
      </c>
    </row>
    <row r="2141" spans="1:40" ht="18.75" customHeight="1" x14ac:dyDescent="0.3">
      <c r="A2141" s="1">
        <v>2018134702294</v>
      </c>
      <c r="B2141" t="s">
        <v>75</v>
      </c>
      <c r="C2141" t="s">
        <v>5916</v>
      </c>
      <c r="D2141" t="s">
        <v>1749</v>
      </c>
      <c r="E2141" t="s">
        <v>718</v>
      </c>
      <c r="F2141">
        <v>158</v>
      </c>
      <c r="G2141">
        <v>43279</v>
      </c>
      <c r="H2141">
        <v>44117</v>
      </c>
      <c r="I2141">
        <v>46023</v>
      </c>
      <c r="L2141" t="s">
        <v>1599</v>
      </c>
      <c r="M2141" t="s">
        <v>136</v>
      </c>
      <c r="N2141" t="s">
        <v>47</v>
      </c>
      <c r="O2141" t="s">
        <v>4832</v>
      </c>
      <c r="Q2141" t="s">
        <v>49</v>
      </c>
      <c r="R2141">
        <v>0</v>
      </c>
      <c r="S2141">
        <v>0</v>
      </c>
      <c r="T2141">
        <v>0</v>
      </c>
      <c r="U2141" t="s">
        <v>5917</v>
      </c>
      <c r="W2141">
        <v>29910011811839</v>
      </c>
      <c r="AE2141" t="s">
        <v>54</v>
      </c>
      <c r="AF2141">
        <v>74</v>
      </c>
      <c r="AG2141">
        <v>172</v>
      </c>
      <c r="AH2141">
        <v>2</v>
      </c>
      <c r="AJ2141" t="s">
        <v>5918</v>
      </c>
      <c r="AN2141" t="s">
        <v>145</v>
      </c>
    </row>
    <row r="2142" spans="1:40" ht="18.75" customHeight="1" x14ac:dyDescent="0.3">
      <c r="A2142" s="1">
        <v>2019130400824</v>
      </c>
      <c r="B2142" t="s">
        <v>125</v>
      </c>
      <c r="C2142" t="s">
        <v>5919</v>
      </c>
      <c r="D2142" t="s">
        <v>1749</v>
      </c>
      <c r="E2142" t="s">
        <v>718</v>
      </c>
      <c r="F2142">
        <v>159</v>
      </c>
      <c r="G2142">
        <v>43692</v>
      </c>
      <c r="H2142">
        <v>44481</v>
      </c>
      <c r="I2142">
        <v>44481</v>
      </c>
      <c r="L2142" t="s">
        <v>135</v>
      </c>
      <c r="M2142" t="s">
        <v>158</v>
      </c>
      <c r="N2142" t="s">
        <v>127</v>
      </c>
      <c r="O2142" t="s">
        <v>78</v>
      </c>
      <c r="P2142" t="s">
        <v>49</v>
      </c>
      <c r="R2142">
        <v>10</v>
      </c>
      <c r="S2142">
        <v>0</v>
      </c>
      <c r="T2142">
        <v>0</v>
      </c>
      <c r="U2142" t="s">
        <v>5920</v>
      </c>
      <c r="V2142" t="s">
        <v>5921</v>
      </c>
      <c r="W2142">
        <v>30211071801336</v>
      </c>
      <c r="AE2142" t="s">
        <v>54</v>
      </c>
      <c r="AF2142">
        <v>72</v>
      </c>
      <c r="AG2142">
        <v>167</v>
      </c>
      <c r="AH2142">
        <v>5</v>
      </c>
      <c r="AJ2142" t="s">
        <v>5922</v>
      </c>
      <c r="AN2142" t="s">
        <v>145</v>
      </c>
    </row>
    <row r="2143" spans="1:40" ht="18.75" customHeight="1" x14ac:dyDescent="0.3">
      <c r="A2143" s="1">
        <v>2019134700014</v>
      </c>
      <c r="B2143" t="s">
        <v>125</v>
      </c>
      <c r="C2143" t="s">
        <v>5923</v>
      </c>
      <c r="D2143" t="s">
        <v>1749</v>
      </c>
      <c r="E2143" t="s">
        <v>718</v>
      </c>
      <c r="F2143">
        <v>159</v>
      </c>
      <c r="G2143">
        <v>43692</v>
      </c>
      <c r="H2143">
        <v>44482</v>
      </c>
      <c r="I2143">
        <v>44482</v>
      </c>
      <c r="L2143" t="s">
        <v>135</v>
      </c>
      <c r="M2143" t="s">
        <v>342</v>
      </c>
      <c r="N2143" t="s">
        <v>47</v>
      </c>
      <c r="O2143" t="s">
        <v>472</v>
      </c>
      <c r="P2143" t="s">
        <v>49</v>
      </c>
      <c r="R2143">
        <v>1</v>
      </c>
      <c r="S2143">
        <v>0</v>
      </c>
      <c r="T2143">
        <v>0</v>
      </c>
      <c r="U2143" t="s">
        <v>5924</v>
      </c>
      <c r="V2143" t="s">
        <v>5925</v>
      </c>
      <c r="W2143">
        <v>29902151400712</v>
      </c>
      <c r="AE2143" t="s">
        <v>176</v>
      </c>
      <c r="AF2143">
        <v>73</v>
      </c>
      <c r="AG2143">
        <v>174</v>
      </c>
      <c r="AH2143">
        <v>-1</v>
      </c>
      <c r="AN2143" t="s">
        <v>145</v>
      </c>
    </row>
    <row r="2144" spans="1:40" ht="18.75" customHeight="1" x14ac:dyDescent="0.3">
      <c r="A2144" s="1">
        <v>2021134701497</v>
      </c>
      <c r="B2144" t="s">
        <v>125</v>
      </c>
      <c r="C2144" t="s">
        <v>5926</v>
      </c>
      <c r="D2144" t="s">
        <v>1749</v>
      </c>
      <c r="E2144" t="s">
        <v>718</v>
      </c>
      <c r="F2144">
        <v>160</v>
      </c>
      <c r="G2144">
        <v>44205</v>
      </c>
      <c r="H2144">
        <v>45197</v>
      </c>
      <c r="I2144">
        <v>45197</v>
      </c>
      <c r="L2144" t="s">
        <v>135</v>
      </c>
      <c r="M2144" t="s">
        <v>342</v>
      </c>
      <c r="N2144" t="s">
        <v>47</v>
      </c>
      <c r="O2144" t="s">
        <v>5180</v>
      </c>
      <c r="P2144" t="s">
        <v>49</v>
      </c>
      <c r="R2144">
        <v>1</v>
      </c>
      <c r="S2144">
        <v>0</v>
      </c>
      <c r="T2144">
        <v>0</v>
      </c>
      <c r="U2144" t="s">
        <v>5927</v>
      </c>
      <c r="W2144">
        <v>30108221803019</v>
      </c>
      <c r="AE2144" t="s">
        <v>54</v>
      </c>
      <c r="AF2144">
        <v>74</v>
      </c>
      <c r="AG2144">
        <v>171</v>
      </c>
      <c r="AH2144">
        <v>3</v>
      </c>
      <c r="AN2144" t="s">
        <v>145</v>
      </c>
    </row>
    <row r="2145" spans="1:40" ht="18.75" customHeight="1" x14ac:dyDescent="0.3">
      <c r="A2145" s="1">
        <v>2021134703013</v>
      </c>
      <c r="B2145" t="s">
        <v>125</v>
      </c>
      <c r="C2145" t="s">
        <v>5928</v>
      </c>
      <c r="D2145" t="s">
        <v>1749</v>
      </c>
      <c r="E2145" t="s">
        <v>718</v>
      </c>
      <c r="F2145">
        <v>160</v>
      </c>
      <c r="G2145">
        <v>44205</v>
      </c>
      <c r="H2145">
        <v>45197</v>
      </c>
      <c r="I2145">
        <v>45197</v>
      </c>
      <c r="L2145" t="s">
        <v>135</v>
      </c>
      <c r="M2145" t="s">
        <v>342</v>
      </c>
      <c r="N2145" t="s">
        <v>47</v>
      </c>
      <c r="O2145" t="s">
        <v>5929</v>
      </c>
      <c r="P2145" t="s">
        <v>49</v>
      </c>
      <c r="R2145">
        <v>0</v>
      </c>
      <c r="S2145">
        <v>0</v>
      </c>
      <c r="T2145">
        <v>0</v>
      </c>
      <c r="U2145" t="s">
        <v>5930</v>
      </c>
      <c r="W2145">
        <v>30102171302473</v>
      </c>
      <c r="AE2145" t="s">
        <v>64</v>
      </c>
      <c r="AF2145">
        <v>28</v>
      </c>
      <c r="AG2145">
        <v>178</v>
      </c>
      <c r="AH2145">
        <v>-50</v>
      </c>
      <c r="AN2145" t="s">
        <v>145</v>
      </c>
    </row>
    <row r="2146" spans="1:40" ht="18.75" customHeight="1" x14ac:dyDescent="0.3">
      <c r="A2146" s="1">
        <v>2021134703906</v>
      </c>
      <c r="B2146" t="s">
        <v>125</v>
      </c>
      <c r="C2146" t="s">
        <v>5931</v>
      </c>
      <c r="D2146" t="s">
        <v>1749</v>
      </c>
      <c r="E2146" t="s">
        <v>718</v>
      </c>
      <c r="F2146">
        <v>160</v>
      </c>
      <c r="G2146">
        <v>44205</v>
      </c>
      <c r="H2146">
        <v>45197</v>
      </c>
      <c r="I2146">
        <v>45197</v>
      </c>
      <c r="L2146" t="s">
        <v>135</v>
      </c>
      <c r="M2146" t="s">
        <v>46</v>
      </c>
      <c r="N2146" t="s">
        <v>47</v>
      </c>
      <c r="O2146" t="s">
        <v>2118</v>
      </c>
      <c r="P2146" t="s">
        <v>49</v>
      </c>
      <c r="R2146">
        <v>0</v>
      </c>
      <c r="S2146">
        <v>0</v>
      </c>
      <c r="T2146">
        <v>0</v>
      </c>
      <c r="U2146" t="s">
        <v>5932</v>
      </c>
      <c r="W2146">
        <v>30007222501112</v>
      </c>
      <c r="AE2146" t="s">
        <v>2250</v>
      </c>
      <c r="AF2146">
        <v>63</v>
      </c>
      <c r="AG2146">
        <v>168</v>
      </c>
      <c r="AH2146">
        <v>-5</v>
      </c>
    </row>
    <row r="2147" spans="1:40" ht="18.75" customHeight="1" x14ac:dyDescent="0.3">
      <c r="A2147" s="1">
        <v>2021134705902</v>
      </c>
      <c r="B2147" t="s">
        <v>125</v>
      </c>
      <c r="C2147" t="s">
        <v>5933</v>
      </c>
      <c r="D2147" t="s">
        <v>1749</v>
      </c>
      <c r="E2147" t="s">
        <v>718</v>
      </c>
      <c r="F2147">
        <v>160</v>
      </c>
      <c r="G2147">
        <v>44205</v>
      </c>
      <c r="H2147">
        <v>45197</v>
      </c>
      <c r="I2147">
        <v>45197</v>
      </c>
      <c r="L2147" t="s">
        <v>135</v>
      </c>
      <c r="M2147" t="s">
        <v>46</v>
      </c>
      <c r="N2147" t="s">
        <v>47</v>
      </c>
      <c r="O2147" t="s">
        <v>48</v>
      </c>
      <c r="P2147" t="s">
        <v>49</v>
      </c>
      <c r="R2147">
        <v>0</v>
      </c>
      <c r="S2147">
        <v>0</v>
      </c>
      <c r="T2147">
        <v>0</v>
      </c>
      <c r="U2147" t="s">
        <v>5934</v>
      </c>
      <c r="W2147">
        <v>29802221701133</v>
      </c>
      <c r="AE2147" t="s">
        <v>167</v>
      </c>
      <c r="AF2147">
        <v>76</v>
      </c>
      <c r="AG2147">
        <v>173</v>
      </c>
      <c r="AH2147">
        <v>3</v>
      </c>
    </row>
    <row r="2148" spans="1:40" ht="18.75" customHeight="1" x14ac:dyDescent="0.3">
      <c r="A2148" s="1">
        <v>2021134714648</v>
      </c>
      <c r="B2148" t="s">
        <v>125</v>
      </c>
      <c r="C2148" t="s">
        <v>5935</v>
      </c>
      <c r="D2148" t="s">
        <v>1749</v>
      </c>
      <c r="E2148" t="s">
        <v>718</v>
      </c>
      <c r="F2148">
        <v>161</v>
      </c>
      <c r="G2148">
        <v>44546</v>
      </c>
      <c r="H2148">
        <v>45581</v>
      </c>
      <c r="I2148">
        <v>45581</v>
      </c>
      <c r="L2148" t="s">
        <v>135</v>
      </c>
      <c r="M2148" t="s">
        <v>46</v>
      </c>
      <c r="N2148" t="s">
        <v>47</v>
      </c>
      <c r="O2148" t="s">
        <v>2118</v>
      </c>
      <c r="P2148" t="s">
        <v>49</v>
      </c>
      <c r="R2148">
        <v>0</v>
      </c>
      <c r="S2148">
        <v>0</v>
      </c>
      <c r="T2148">
        <v>0</v>
      </c>
      <c r="U2148" t="s">
        <v>5936</v>
      </c>
      <c r="V2148" t="s">
        <v>5937</v>
      </c>
      <c r="W2148">
        <v>30212281800479</v>
      </c>
      <c r="AE2148" t="s">
        <v>54</v>
      </c>
      <c r="AF2148">
        <v>66</v>
      </c>
      <c r="AG2148">
        <v>175</v>
      </c>
      <c r="AH2148">
        <v>-9</v>
      </c>
    </row>
    <row r="2149" spans="1:40" ht="18.75" customHeight="1" x14ac:dyDescent="0.3">
      <c r="A2149" s="1">
        <v>2021134723227</v>
      </c>
      <c r="B2149" t="s">
        <v>125</v>
      </c>
      <c r="C2149" t="s">
        <v>5938</v>
      </c>
      <c r="D2149" t="s">
        <v>1749</v>
      </c>
      <c r="E2149" t="s">
        <v>718</v>
      </c>
      <c r="F2149">
        <v>161</v>
      </c>
      <c r="G2149">
        <v>44546</v>
      </c>
      <c r="H2149">
        <v>44546</v>
      </c>
      <c r="I2149">
        <v>44546</v>
      </c>
      <c r="L2149" t="s">
        <v>135</v>
      </c>
      <c r="M2149" t="s">
        <v>136</v>
      </c>
      <c r="N2149" t="s">
        <v>47</v>
      </c>
      <c r="O2149" t="s">
        <v>499</v>
      </c>
      <c r="P2149" t="s">
        <v>49</v>
      </c>
      <c r="R2149">
        <v>0</v>
      </c>
      <c r="S2149">
        <v>0</v>
      </c>
      <c r="T2149">
        <v>0</v>
      </c>
      <c r="U2149" t="s">
        <v>5939</v>
      </c>
      <c r="W2149">
        <v>29802251601338</v>
      </c>
      <c r="AE2149" t="s">
        <v>73</v>
      </c>
      <c r="AF2149">
        <v>73</v>
      </c>
      <c r="AG2149">
        <v>174</v>
      </c>
      <c r="AH2149">
        <v>-1</v>
      </c>
      <c r="AJ2149" t="s">
        <v>5940</v>
      </c>
    </row>
    <row r="2150" spans="1:40" ht="18.75" customHeight="1" x14ac:dyDescent="0.3">
      <c r="A2150" s="1">
        <v>2023134705122</v>
      </c>
      <c r="B2150" t="s">
        <v>125</v>
      </c>
      <c r="C2150" t="s">
        <v>5941</v>
      </c>
      <c r="D2150" t="s">
        <v>1749</v>
      </c>
      <c r="E2150" t="s">
        <v>718</v>
      </c>
      <c r="F2150">
        <v>162</v>
      </c>
      <c r="G2150">
        <v>44941</v>
      </c>
      <c r="H2150">
        <v>45976</v>
      </c>
      <c r="I2150">
        <v>45976</v>
      </c>
      <c r="L2150" t="s">
        <v>135</v>
      </c>
      <c r="M2150" t="s">
        <v>46</v>
      </c>
      <c r="N2150" t="s">
        <v>47</v>
      </c>
      <c r="O2150" t="s">
        <v>48</v>
      </c>
      <c r="P2150" t="s">
        <v>49</v>
      </c>
      <c r="R2150">
        <v>0</v>
      </c>
      <c r="S2150">
        <v>0</v>
      </c>
      <c r="T2150">
        <v>0</v>
      </c>
      <c r="W2150">
        <v>30209281200296</v>
      </c>
      <c r="X2150">
        <v>38623</v>
      </c>
      <c r="AE2150" t="s">
        <v>118</v>
      </c>
      <c r="AF2150">
        <v>70</v>
      </c>
      <c r="AG2150">
        <v>176</v>
      </c>
      <c r="AH2150">
        <v>-6</v>
      </c>
    </row>
  </sheetData>
  <autoFilter ref="A1:AN2150" xr:uid="{00000000-0001-0000-0000-000000000000}"/>
  <conditionalFormatting sqref="A1:A1048576">
    <cfRule type="duplicateValues" dxfId="186" priority="187"/>
  </conditionalFormatting>
  <conditionalFormatting sqref="A3">
    <cfRule type="duplicateValues" dxfId="185" priority="182"/>
  </conditionalFormatting>
  <conditionalFormatting sqref="A483">
    <cfRule type="duplicateValues" dxfId="184" priority="181"/>
  </conditionalFormatting>
  <conditionalFormatting sqref="A484:A492">
    <cfRule type="duplicateValues" dxfId="183" priority="179"/>
  </conditionalFormatting>
  <conditionalFormatting sqref="A484:A560">
    <cfRule type="duplicateValues" dxfId="182" priority="180"/>
  </conditionalFormatting>
  <conditionalFormatting sqref="A496:A497">
    <cfRule type="duplicateValues" dxfId="181" priority="178"/>
  </conditionalFormatting>
  <conditionalFormatting sqref="A498:A501">
    <cfRule type="duplicateValues" dxfId="180" priority="177"/>
  </conditionalFormatting>
  <conditionalFormatting sqref="A502">
    <cfRule type="duplicateValues" dxfId="179" priority="176"/>
  </conditionalFormatting>
  <conditionalFormatting sqref="A503:A513">
    <cfRule type="duplicateValues" dxfId="178" priority="175"/>
  </conditionalFormatting>
  <conditionalFormatting sqref="A515:A521">
    <cfRule type="duplicateValues" dxfId="177" priority="174"/>
  </conditionalFormatting>
  <conditionalFormatting sqref="A522:A532">
    <cfRule type="duplicateValues" dxfId="176" priority="173"/>
  </conditionalFormatting>
  <conditionalFormatting sqref="A539 A541 A543 A545 A547:A549 A534 A536">
    <cfRule type="duplicateValues" dxfId="175" priority="172"/>
  </conditionalFormatting>
  <conditionalFormatting sqref="A551:A552">
    <cfRule type="duplicateValues" dxfId="174" priority="171"/>
  </conditionalFormatting>
  <conditionalFormatting sqref="A553:A560">
    <cfRule type="duplicateValues" dxfId="173" priority="170"/>
  </conditionalFormatting>
  <conditionalFormatting sqref="A567:A569">
    <cfRule type="duplicateValues" dxfId="172" priority="183"/>
  </conditionalFormatting>
  <conditionalFormatting sqref="A612:A613">
    <cfRule type="duplicateValues" dxfId="171" priority="167"/>
  </conditionalFormatting>
  <conditionalFormatting sqref="A612:A636">
    <cfRule type="duplicateValues" dxfId="170" priority="169"/>
  </conditionalFormatting>
  <conditionalFormatting sqref="A616:A619">
    <cfRule type="duplicateValues" dxfId="169" priority="166"/>
  </conditionalFormatting>
  <conditionalFormatting sqref="A620:A623">
    <cfRule type="duplicateValues" dxfId="168" priority="165"/>
  </conditionalFormatting>
  <conditionalFormatting sqref="A624:A626">
    <cfRule type="duplicateValues" dxfId="167" priority="168"/>
  </conditionalFormatting>
  <conditionalFormatting sqref="A627:A628">
    <cfRule type="duplicateValues" dxfId="166" priority="164"/>
  </conditionalFormatting>
  <conditionalFormatting sqref="A629">
    <cfRule type="duplicateValues" dxfId="165" priority="162"/>
  </conditionalFormatting>
  <conditionalFormatting sqref="A630:A631">
    <cfRule type="duplicateValues" dxfId="164" priority="163"/>
  </conditionalFormatting>
  <conditionalFormatting sqref="A632:A634">
    <cfRule type="duplicateValues" dxfId="163" priority="161"/>
  </conditionalFormatting>
  <conditionalFormatting sqref="A635:A636">
    <cfRule type="duplicateValues" dxfId="162" priority="160"/>
  </conditionalFormatting>
  <conditionalFormatting sqref="A637">
    <cfRule type="duplicateValues" dxfId="161" priority="159"/>
  </conditionalFormatting>
  <conditionalFormatting sqref="A638">
    <cfRule type="duplicateValues" dxfId="160" priority="158"/>
  </conditionalFormatting>
  <conditionalFormatting sqref="A639">
    <cfRule type="duplicateValues" dxfId="159" priority="157"/>
  </conditionalFormatting>
  <conditionalFormatting sqref="A688:A691">
    <cfRule type="duplicateValues" dxfId="158" priority="155"/>
  </conditionalFormatting>
  <conditionalFormatting sqref="A692:A700">
    <cfRule type="duplicateValues" dxfId="157" priority="154"/>
  </conditionalFormatting>
  <conditionalFormatting sqref="A692:A772 A657:A687">
    <cfRule type="duplicateValues" dxfId="156" priority="156"/>
  </conditionalFormatting>
  <conditionalFormatting sqref="A701">
    <cfRule type="duplicateValues" dxfId="155" priority="153"/>
  </conditionalFormatting>
  <conditionalFormatting sqref="A702:A705">
    <cfRule type="duplicateValues" dxfId="154" priority="152"/>
  </conditionalFormatting>
  <conditionalFormatting sqref="A706">
    <cfRule type="duplicateValues" dxfId="153" priority="150"/>
  </conditionalFormatting>
  <conditionalFormatting sqref="A707:A710">
    <cfRule type="duplicateValues" dxfId="152" priority="149"/>
  </conditionalFormatting>
  <conditionalFormatting sqref="A711">
    <cfRule type="duplicateValues" dxfId="151" priority="151"/>
  </conditionalFormatting>
  <conditionalFormatting sqref="A712:A716">
    <cfRule type="duplicateValues" dxfId="150" priority="148"/>
  </conditionalFormatting>
  <conditionalFormatting sqref="A717 A719">
    <cfRule type="duplicateValues" dxfId="149" priority="147"/>
  </conditionalFormatting>
  <conditionalFormatting sqref="A721">
    <cfRule type="duplicateValues" dxfId="148" priority="145"/>
  </conditionalFormatting>
  <conditionalFormatting sqref="A735 A723 A725 A727 A729 A731 A737">
    <cfRule type="duplicateValues" dxfId="147" priority="146"/>
  </conditionalFormatting>
  <conditionalFormatting sqref="A738:A747">
    <cfRule type="duplicateValues" dxfId="146" priority="144"/>
  </conditionalFormatting>
  <conditionalFormatting sqref="A748:A751">
    <cfRule type="duplicateValues" dxfId="145" priority="143"/>
  </conditionalFormatting>
  <conditionalFormatting sqref="A752:A753">
    <cfRule type="duplicateValues" dxfId="144" priority="142"/>
  </conditionalFormatting>
  <conditionalFormatting sqref="A754:A758">
    <cfRule type="duplicateValues" dxfId="143" priority="141"/>
  </conditionalFormatting>
  <conditionalFormatting sqref="A759:A766">
    <cfRule type="duplicateValues" dxfId="142" priority="140"/>
  </conditionalFormatting>
  <conditionalFormatting sqref="A769:A772">
    <cfRule type="duplicateValues" dxfId="141" priority="139"/>
  </conditionalFormatting>
  <conditionalFormatting sqref="A774">
    <cfRule type="duplicateValues" dxfId="140" priority="137"/>
  </conditionalFormatting>
  <conditionalFormatting sqref="A775">
    <cfRule type="duplicateValues" dxfId="139" priority="138"/>
  </conditionalFormatting>
  <conditionalFormatting sqref="A816">
    <cfRule type="duplicateValues" dxfId="138" priority="136"/>
  </conditionalFormatting>
  <conditionalFormatting sqref="A817:A818">
    <cfRule type="duplicateValues" dxfId="137" priority="134"/>
  </conditionalFormatting>
  <conditionalFormatting sqref="A820">
    <cfRule type="duplicateValues" dxfId="136" priority="133"/>
  </conditionalFormatting>
  <conditionalFormatting sqref="A822:A823">
    <cfRule type="duplicateValues" dxfId="135" priority="132"/>
  </conditionalFormatting>
  <conditionalFormatting sqref="A824:A825">
    <cfRule type="duplicateValues" dxfId="134" priority="131"/>
  </conditionalFormatting>
  <conditionalFormatting sqref="A826:A829">
    <cfRule type="duplicateValues" dxfId="133" priority="130"/>
  </conditionalFormatting>
  <conditionalFormatting sqref="A832:A833">
    <cfRule type="duplicateValues" dxfId="132" priority="128"/>
  </conditionalFormatting>
  <conditionalFormatting sqref="A836:A840 A842">
    <cfRule type="duplicateValues" dxfId="131" priority="127"/>
  </conditionalFormatting>
  <conditionalFormatting sqref="A842 A845:A847 A836:A840 A817:A833">
    <cfRule type="duplicateValues" dxfId="130" priority="135"/>
  </conditionalFormatting>
  <conditionalFormatting sqref="A846:A847">
    <cfRule type="duplicateValues" dxfId="129" priority="129"/>
  </conditionalFormatting>
  <conditionalFormatting sqref="A849">
    <cfRule type="duplicateValues" dxfId="128" priority="126"/>
  </conditionalFormatting>
  <conditionalFormatting sqref="A850">
    <cfRule type="duplicateValues" dxfId="127" priority="125"/>
  </conditionalFormatting>
  <conditionalFormatting sqref="A851">
    <cfRule type="duplicateValues" dxfId="126" priority="124"/>
  </conditionalFormatting>
  <conditionalFormatting sqref="A854">
    <cfRule type="duplicateValues" dxfId="125" priority="123"/>
  </conditionalFormatting>
  <conditionalFormatting sqref="A890">
    <cfRule type="duplicateValues" dxfId="124" priority="121"/>
  </conditionalFormatting>
  <conditionalFormatting sqref="A891">
    <cfRule type="duplicateValues" dxfId="123" priority="120"/>
  </conditionalFormatting>
  <conditionalFormatting sqref="A897:A901">
    <cfRule type="duplicateValues" dxfId="122" priority="119"/>
  </conditionalFormatting>
  <conditionalFormatting sqref="A936">
    <cfRule type="duplicateValues" dxfId="121" priority="117"/>
  </conditionalFormatting>
  <conditionalFormatting sqref="A937:A939">
    <cfRule type="duplicateValues" dxfId="120" priority="118"/>
  </conditionalFormatting>
  <conditionalFormatting sqref="A940:A941">
    <cfRule type="duplicateValues" dxfId="119" priority="116"/>
  </conditionalFormatting>
  <conditionalFormatting sqref="A942:A957">
    <cfRule type="duplicateValues" dxfId="118" priority="115"/>
  </conditionalFormatting>
  <conditionalFormatting sqref="A958:A959">
    <cfRule type="duplicateValues" dxfId="117" priority="114"/>
  </conditionalFormatting>
  <conditionalFormatting sqref="A960">
    <cfRule type="duplicateValues" dxfId="116" priority="113"/>
  </conditionalFormatting>
  <conditionalFormatting sqref="A960:A1075 A855:A941">
    <cfRule type="duplicateValues" dxfId="115" priority="122"/>
  </conditionalFormatting>
  <conditionalFormatting sqref="A962:A963">
    <cfRule type="duplicateValues" dxfId="114" priority="112"/>
  </conditionalFormatting>
  <conditionalFormatting sqref="A964:A966">
    <cfRule type="duplicateValues" dxfId="113" priority="109"/>
  </conditionalFormatting>
  <conditionalFormatting sqref="A968:A981">
    <cfRule type="duplicateValues" dxfId="112" priority="110"/>
  </conditionalFormatting>
  <conditionalFormatting sqref="A983:A997">
    <cfRule type="duplicateValues" dxfId="111" priority="111"/>
  </conditionalFormatting>
  <conditionalFormatting sqref="A998:A1001">
    <cfRule type="duplicateValues" dxfId="110" priority="108"/>
  </conditionalFormatting>
  <conditionalFormatting sqref="A1002:A1005">
    <cfRule type="duplicateValues" dxfId="109" priority="107"/>
  </conditionalFormatting>
  <conditionalFormatting sqref="A1006">
    <cfRule type="duplicateValues" dxfId="108" priority="106"/>
  </conditionalFormatting>
  <conditionalFormatting sqref="A1008 A1010 A1012">
    <cfRule type="duplicateValues" dxfId="107" priority="105"/>
  </conditionalFormatting>
  <conditionalFormatting sqref="A1013:A1022">
    <cfRule type="duplicateValues" dxfId="106" priority="104"/>
  </conditionalFormatting>
  <conditionalFormatting sqref="A1023:A1036">
    <cfRule type="duplicateValues" dxfId="105" priority="103"/>
  </conditionalFormatting>
  <conditionalFormatting sqref="A1037:A1049">
    <cfRule type="duplicateValues" dxfId="104" priority="102"/>
  </conditionalFormatting>
  <conditionalFormatting sqref="A1050:A1055">
    <cfRule type="duplicateValues" dxfId="103" priority="101"/>
  </conditionalFormatting>
  <conditionalFormatting sqref="A1056:A1066">
    <cfRule type="duplicateValues" dxfId="102" priority="100"/>
  </conditionalFormatting>
  <conditionalFormatting sqref="A1067:A1073">
    <cfRule type="duplicateValues" dxfId="101" priority="99"/>
  </conditionalFormatting>
  <conditionalFormatting sqref="A1074">
    <cfRule type="duplicateValues" dxfId="100" priority="98"/>
  </conditionalFormatting>
  <conditionalFormatting sqref="A1075">
    <cfRule type="duplicateValues" dxfId="99" priority="97"/>
  </conditionalFormatting>
  <conditionalFormatting sqref="A1093:A1097">
    <cfRule type="duplicateValues" dxfId="98" priority="94"/>
  </conditionalFormatting>
  <conditionalFormatting sqref="A1098">
    <cfRule type="duplicateValues" dxfId="97" priority="96"/>
  </conditionalFormatting>
  <conditionalFormatting sqref="A1099:A1100">
    <cfRule type="duplicateValues" dxfId="96" priority="95"/>
  </conditionalFormatting>
  <conditionalFormatting sqref="A1101">
    <cfRule type="duplicateValues" dxfId="95" priority="92"/>
  </conditionalFormatting>
  <conditionalFormatting sqref="A1102:A1103">
    <cfRule type="duplicateValues" dxfId="94" priority="184"/>
  </conditionalFormatting>
  <conditionalFormatting sqref="A1104">
    <cfRule type="duplicateValues" dxfId="93" priority="88"/>
  </conditionalFormatting>
  <conditionalFormatting sqref="A1105:A1106">
    <cfRule type="duplicateValues" dxfId="92" priority="91"/>
  </conditionalFormatting>
  <conditionalFormatting sqref="A1107:A1108">
    <cfRule type="duplicateValues" dxfId="91" priority="90"/>
  </conditionalFormatting>
  <conditionalFormatting sqref="A1109:A1112">
    <cfRule type="duplicateValues" dxfId="90" priority="93"/>
  </conditionalFormatting>
  <conditionalFormatting sqref="A1113:A1117">
    <cfRule type="duplicateValues" dxfId="89" priority="87"/>
  </conditionalFormatting>
  <conditionalFormatting sqref="A1118:A1120">
    <cfRule type="duplicateValues" dxfId="88" priority="89"/>
  </conditionalFormatting>
  <conditionalFormatting sqref="A1121 A1125 A1127 A1129">
    <cfRule type="duplicateValues" dxfId="87" priority="81"/>
  </conditionalFormatting>
  <conditionalFormatting sqref="A1122:A1124">
    <cfRule type="duplicateValues" dxfId="86" priority="67"/>
  </conditionalFormatting>
  <conditionalFormatting sqref="A1146 A1131 A1133 A1135 A1137 A1139 A1141 A1143 A1148 A1150 A1152 A1154 A1156 A1158 A1160 A1162 A1164 A1166 A1168 A1170 A1172 A1174 A1176 A1178 A1180 A1182 A1184 A1186 A1188 A1190 A1192 A1194 A1196 A1198">
    <cfRule type="duplicateValues" dxfId="85" priority="82"/>
  </conditionalFormatting>
  <conditionalFormatting sqref="A1200 A1202 A1204 A1206 A1208 A1210 A1212 A1214 A1216 A1218 A1220 A1228 A1230 A1232 A1234 A1236 A1238 A1240 A1242 A1244 A1246 A1248 A1250 A1252 A1254 A1256 A1258 A1260 A1262 A1264 A1266 A1268 A1270 A1272 A1274">
    <cfRule type="duplicateValues" dxfId="84" priority="80"/>
  </conditionalFormatting>
  <conditionalFormatting sqref="A1222">
    <cfRule type="duplicateValues" dxfId="83" priority="64"/>
  </conditionalFormatting>
  <conditionalFormatting sqref="A1224 A1226">
    <cfRule type="duplicateValues" dxfId="82" priority="65"/>
  </conditionalFormatting>
  <conditionalFormatting sqref="A1224:A1227">
    <cfRule type="duplicateValues" dxfId="81" priority="66"/>
  </conditionalFormatting>
  <conditionalFormatting sqref="A1275:A1314">
    <cfRule type="duplicateValues" dxfId="80" priority="6"/>
  </conditionalFormatting>
  <conditionalFormatting sqref="A1276 A1278 A1280 A1282 A1284 A1286">
    <cfRule type="duplicateValues" dxfId="79" priority="4"/>
  </conditionalFormatting>
  <conditionalFormatting sqref="A1287">
    <cfRule type="duplicateValues" dxfId="78" priority="3"/>
  </conditionalFormatting>
  <conditionalFormatting sqref="A1288">
    <cfRule type="duplicateValues" dxfId="77" priority="2"/>
  </conditionalFormatting>
  <conditionalFormatting sqref="A1289:A1291">
    <cfRule type="duplicateValues" dxfId="76" priority="1"/>
  </conditionalFormatting>
  <conditionalFormatting sqref="A1292:A1314">
    <cfRule type="duplicateValues" dxfId="75" priority="5"/>
  </conditionalFormatting>
  <conditionalFormatting sqref="A1350">
    <cfRule type="duplicateValues" dxfId="74" priority="62"/>
  </conditionalFormatting>
  <conditionalFormatting sqref="A1358">
    <cfRule type="duplicateValues" dxfId="73" priority="61"/>
  </conditionalFormatting>
  <conditionalFormatting sqref="A1369:A1396">
    <cfRule type="duplicateValues" dxfId="72" priority="86"/>
  </conditionalFormatting>
  <conditionalFormatting sqref="A1369:A1605 A1118:A1274 A1093:A1112">
    <cfRule type="duplicateValues" dxfId="71" priority="185"/>
  </conditionalFormatting>
  <conditionalFormatting sqref="A1400:A1413">
    <cfRule type="duplicateValues" dxfId="70" priority="83"/>
  </conditionalFormatting>
  <conditionalFormatting sqref="A1414:A1417">
    <cfRule type="duplicateValues" dxfId="69" priority="79"/>
  </conditionalFormatting>
  <conditionalFormatting sqref="A1418:A1429">
    <cfRule type="duplicateValues" dxfId="68" priority="85"/>
  </conditionalFormatting>
  <conditionalFormatting sqref="A1418:A1434">
    <cfRule type="duplicateValues" dxfId="67" priority="84"/>
  </conditionalFormatting>
  <conditionalFormatting sqref="A1431:A1434">
    <cfRule type="duplicateValues" dxfId="66" priority="63"/>
  </conditionalFormatting>
  <conditionalFormatting sqref="A1435:A1446">
    <cfRule type="duplicateValues" dxfId="65" priority="78"/>
  </conditionalFormatting>
  <conditionalFormatting sqref="A1447:A1449">
    <cfRule type="duplicateValues" dxfId="64" priority="77"/>
  </conditionalFormatting>
  <conditionalFormatting sqref="A1450:A1475">
    <cfRule type="duplicateValues" dxfId="63" priority="76"/>
  </conditionalFormatting>
  <conditionalFormatting sqref="A1477:A1504">
    <cfRule type="duplicateValues" dxfId="62" priority="75"/>
  </conditionalFormatting>
  <conditionalFormatting sqref="A1505:A1513">
    <cfRule type="duplicateValues" dxfId="61" priority="74"/>
  </conditionalFormatting>
  <conditionalFormatting sqref="A1514:A1526">
    <cfRule type="duplicateValues" dxfId="60" priority="73"/>
  </conditionalFormatting>
  <conditionalFormatting sqref="A1527:A1528">
    <cfRule type="duplicateValues" dxfId="59" priority="72"/>
  </conditionalFormatting>
  <conditionalFormatting sqref="A1529:A1535">
    <cfRule type="duplicateValues" dxfId="58" priority="71"/>
  </conditionalFormatting>
  <conditionalFormatting sqref="A1536:A1548">
    <cfRule type="duplicateValues" dxfId="57" priority="70"/>
  </conditionalFormatting>
  <conditionalFormatting sqref="A1550:A1557">
    <cfRule type="duplicateValues" dxfId="56" priority="69"/>
  </conditionalFormatting>
  <conditionalFormatting sqref="A1558:A1575">
    <cfRule type="duplicateValues" dxfId="55" priority="68"/>
  </conditionalFormatting>
  <conditionalFormatting sqref="A1576:A1605">
    <cfRule type="duplicateValues" dxfId="54" priority="186"/>
  </conditionalFormatting>
  <conditionalFormatting sqref="A1606:A1620">
    <cfRule type="duplicateValues" dxfId="53" priority="59"/>
  </conditionalFormatting>
  <conditionalFormatting sqref="A1606:A1785">
    <cfRule type="duplicateValues" dxfId="52" priority="60"/>
  </conditionalFormatting>
  <conditionalFormatting sqref="A1622:A1626">
    <cfRule type="duplicateValues" dxfId="51" priority="58"/>
  </conditionalFormatting>
  <conditionalFormatting sqref="A1627:A1634">
    <cfRule type="duplicateValues" dxfId="50" priority="57"/>
  </conditionalFormatting>
  <conditionalFormatting sqref="A1635">
    <cfRule type="duplicateValues" dxfId="49" priority="56"/>
  </conditionalFormatting>
  <conditionalFormatting sqref="A1636:A1638">
    <cfRule type="duplicateValues" dxfId="48" priority="55"/>
  </conditionalFormatting>
  <conditionalFormatting sqref="A1639:A1640">
    <cfRule type="duplicateValues" dxfId="47" priority="54"/>
  </conditionalFormatting>
  <conditionalFormatting sqref="A1641:A1643">
    <cfRule type="duplicateValues" dxfId="46" priority="53"/>
  </conditionalFormatting>
  <conditionalFormatting sqref="A1646:A1649">
    <cfRule type="duplicateValues" dxfId="45" priority="52"/>
  </conditionalFormatting>
  <conditionalFormatting sqref="A1650">
    <cfRule type="duplicateValues" dxfId="44" priority="51"/>
  </conditionalFormatting>
  <conditionalFormatting sqref="A1651:A1657">
    <cfRule type="duplicateValues" dxfId="43" priority="50"/>
  </conditionalFormatting>
  <conditionalFormatting sqref="A1658:A1660">
    <cfRule type="duplicateValues" dxfId="42" priority="49"/>
  </conditionalFormatting>
  <conditionalFormatting sqref="A1661:A1664">
    <cfRule type="duplicateValues" dxfId="41" priority="48"/>
  </conditionalFormatting>
  <conditionalFormatting sqref="A1665:A1666">
    <cfRule type="duplicateValues" dxfId="40" priority="47"/>
  </conditionalFormatting>
  <conditionalFormatting sqref="A1667:A1678">
    <cfRule type="duplicateValues" dxfId="39" priority="46"/>
  </conditionalFormatting>
  <conditionalFormatting sqref="A1680:A1682">
    <cfRule type="duplicateValues" dxfId="38" priority="45"/>
  </conditionalFormatting>
  <conditionalFormatting sqref="A1683:A1684">
    <cfRule type="duplicateValues" dxfId="37" priority="44"/>
  </conditionalFormatting>
  <conditionalFormatting sqref="A1685:A1692">
    <cfRule type="duplicateValues" dxfId="36" priority="43"/>
  </conditionalFormatting>
  <conditionalFormatting sqref="A1694">
    <cfRule type="duplicateValues" dxfId="35" priority="42"/>
  </conditionalFormatting>
  <conditionalFormatting sqref="A1744 A1721 A1717 A1723 A1725 A1727 A1729 A1731 A1733 A1735 A1737 A1739 A1741 A1703 A1696 A1698 A1700 A1705 A1707:A1708 A1710 A1712 A1714:A1715">
    <cfRule type="duplicateValues" dxfId="34" priority="41"/>
  </conditionalFormatting>
  <conditionalFormatting sqref="A1770 A1772 A1774 A1747 A1749 A1751 A1753 A1755 A1757 A1759 A1761 A1763 A1765 A1767">
    <cfRule type="duplicateValues" dxfId="33" priority="40"/>
  </conditionalFormatting>
  <conditionalFormatting sqref="A1785 A1779 A1781 A1783 A1776:A1777">
    <cfRule type="duplicateValues" dxfId="32" priority="39"/>
  </conditionalFormatting>
  <conditionalFormatting sqref="A1801:A1957">
    <cfRule type="duplicateValues" dxfId="31" priority="38"/>
  </conditionalFormatting>
  <conditionalFormatting sqref="A1812:A1817">
    <cfRule type="duplicateValues" dxfId="30" priority="37"/>
  </conditionalFormatting>
  <conditionalFormatting sqref="A1818">
    <cfRule type="duplicateValues" dxfId="29" priority="36"/>
  </conditionalFormatting>
  <conditionalFormatting sqref="A1819:A1822">
    <cfRule type="duplicateValues" dxfId="28" priority="35"/>
  </conditionalFormatting>
  <conditionalFormatting sqref="A1823">
    <cfRule type="duplicateValues" dxfId="27" priority="33"/>
  </conditionalFormatting>
  <conditionalFormatting sqref="A1823:A1824">
    <cfRule type="duplicateValues" dxfId="26" priority="34"/>
  </conditionalFormatting>
  <conditionalFormatting sqref="A1824">
    <cfRule type="duplicateValues" dxfId="25" priority="32"/>
  </conditionalFormatting>
  <conditionalFormatting sqref="A1825">
    <cfRule type="duplicateValues" dxfId="24" priority="31"/>
  </conditionalFormatting>
  <conditionalFormatting sqref="A1826:A1828">
    <cfRule type="duplicateValues" dxfId="23" priority="30"/>
  </conditionalFormatting>
  <conditionalFormatting sqref="A1829:A1830">
    <cfRule type="duplicateValues" dxfId="22" priority="29"/>
  </conditionalFormatting>
  <conditionalFormatting sqref="A1831">
    <cfRule type="duplicateValues" dxfId="21" priority="28"/>
  </conditionalFormatting>
  <conditionalFormatting sqref="A1833">
    <cfRule type="duplicateValues" dxfId="20" priority="27"/>
  </conditionalFormatting>
  <conditionalFormatting sqref="A1834:A1841">
    <cfRule type="duplicateValues" dxfId="19" priority="26"/>
  </conditionalFormatting>
  <conditionalFormatting sqref="A1842:A1869">
    <cfRule type="duplicateValues" dxfId="18" priority="25"/>
  </conditionalFormatting>
  <conditionalFormatting sqref="A1872:A1875">
    <cfRule type="duplicateValues" dxfId="17" priority="24"/>
  </conditionalFormatting>
  <conditionalFormatting sqref="A1876">
    <cfRule type="duplicateValues" dxfId="16" priority="23"/>
  </conditionalFormatting>
  <conditionalFormatting sqref="A1877:A1880">
    <cfRule type="duplicateValues" dxfId="15" priority="22"/>
  </conditionalFormatting>
  <conditionalFormatting sqref="A1881:A1882 A1884:A1890">
    <cfRule type="duplicateValues" dxfId="14" priority="21"/>
  </conditionalFormatting>
  <conditionalFormatting sqref="A1883">
    <cfRule type="duplicateValues" dxfId="13" priority="20"/>
  </conditionalFormatting>
  <conditionalFormatting sqref="A1891:A1893">
    <cfRule type="duplicateValues" dxfId="12" priority="19"/>
  </conditionalFormatting>
  <conditionalFormatting sqref="A1895">
    <cfRule type="duplicateValues" dxfId="11" priority="18"/>
  </conditionalFormatting>
  <conditionalFormatting sqref="A1948 A1943 A1939 A1934 A1936 A1941 A1945 A1950 A1952 A1954:A1955 A1957 A1931 A1922 A1924 A1926 A1928:A1929 A1916 A1914 A1896 A1898 A1900 A1902 A1904 A1906 A1908:A1909 A1911 A1918 A1920">
    <cfRule type="duplicateValues" dxfId="10" priority="17"/>
  </conditionalFormatting>
  <conditionalFormatting sqref="A1968:A1988">
    <cfRule type="duplicateValues" dxfId="9" priority="15"/>
  </conditionalFormatting>
  <conditionalFormatting sqref="A1968:A2134">
    <cfRule type="duplicateValues" dxfId="8" priority="16"/>
  </conditionalFormatting>
  <conditionalFormatting sqref="A1991:A1994">
    <cfRule type="duplicateValues" dxfId="7" priority="14"/>
  </conditionalFormatting>
  <conditionalFormatting sqref="A1995">
    <cfRule type="duplicateValues" dxfId="6" priority="13"/>
  </conditionalFormatting>
  <conditionalFormatting sqref="A1996:A2004">
    <cfRule type="duplicateValues" dxfId="5" priority="12"/>
  </conditionalFormatting>
  <conditionalFormatting sqref="A2006:A2009">
    <cfRule type="duplicateValues" dxfId="4" priority="11"/>
  </conditionalFormatting>
  <conditionalFormatting sqref="A2010">
    <cfRule type="duplicateValues" dxfId="3" priority="10"/>
  </conditionalFormatting>
  <conditionalFormatting sqref="A2016 A2011 A2013">
    <cfRule type="duplicateValues" dxfId="2" priority="9"/>
  </conditionalFormatting>
  <conditionalFormatting sqref="A2064 A2066 A2068 A2070 A2072 A2074 A2076 A2078 A2080 A2082 A2084 A2086 A2088 A2090 A2092 A2094 A2096 A2098 A2100 A2102 A2104 A2106 A2108 A2110 A2112 A2114 A2116 A2118 A2120 A2122 A2124 A2126 A2128 A2130 A2132 A2134 A2053 A2055 A2057 A2059 A2061:A2062 A2021 A2023 A2025 A2027 A2029 A2031 A2033 A2035 A2037 A2039 A2041 A2043 A2045 A2047 A2049:A2050 A2018">
    <cfRule type="duplicateValues" dxfId="1" priority="8"/>
  </conditionalFormatting>
  <conditionalFormatting sqref="C2094 B2098:D2098 C2096">
    <cfRule type="duplicateValues" dxfId="0" priority="7"/>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moamen ramy</cp:lastModifiedBy>
  <dcterms:created xsi:type="dcterms:W3CDTF">2015-06-05T18:17:20Z</dcterms:created>
  <dcterms:modified xsi:type="dcterms:W3CDTF">2026-07-15T16:33:56Z</dcterms:modified>
</cp:coreProperties>
</file>